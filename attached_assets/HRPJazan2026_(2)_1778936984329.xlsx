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5a15e08407b532/"/>
    </mc:Choice>
  </mc:AlternateContent>
  <xr:revisionPtr revIDLastSave="0" documentId="8_{3ECA4D27-E61D-4E7A-9E71-7E19E717080E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📝_نموذج_الإدخال" sheetId="22" r:id="rId1"/>
    <sheet name="📖_دليل_العمل" sheetId="21" r:id="rId2"/>
    <sheet name="توزيع_الإحالات" sheetId="18" r:id="rId3"/>
    <sheet name="📊_لوحة_التحكم" sheetId="19" r:id="rId4"/>
    <sheet name="النظام_الذكي" sheetId="6" r:id="rId5"/>
    <sheet name="إحالات_KFCH" sheetId="17" r:id="rId6"/>
    <sheet name="إحالات_صبيا" sheetId="12" r:id="rId7"/>
    <sheet name="إحالات_جازان" sheetId="14" r:id="rId8"/>
    <sheet name="إحالات_أبو_عريش" sheetId="13" r:id="rId9"/>
    <sheet name="إحالات_صامطة" sheetId="15" r:id="rId10"/>
    <sheet name="إحالات_بيش" sheetId="16" r:id="rId11"/>
    <sheet name="الحالات_العاجلة" sheetId="7" r:id="rId12"/>
    <sheet name="تقييم_VTE" sheetId="9" r:id="rId13"/>
    <sheet name="البيانات" sheetId="1" r:id="rId14"/>
    <sheet name="مرجع_الإحالات" sheetId="11" state="hidden" r:id="rId15"/>
    <sheet name="قوائم" sheetId="10" state="hidden" r:id="rId16"/>
    <sheet name="📈_التقارير" sheetId="2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2" l="1" a="1"/>
  <c r="G15" i="22"/>
  <c r="G13" i="22" a="1"/>
  <c r="G13" i="22"/>
  <c r="G12" i="22" a="1"/>
  <c r="G12" i="22"/>
  <c r="G11" i="22" a="1"/>
  <c r="G11" i="22"/>
  <c r="G10" i="22" a="1"/>
  <c r="G10" i="22"/>
  <c r="G9" i="22" a="1"/>
  <c r="G9" i="22"/>
  <c r="G8" i="22" a="1"/>
  <c r="G8" i="22"/>
  <c r="G7" i="22" a="1"/>
  <c r="G7" i="22"/>
  <c r="G6" i="22" a="1"/>
  <c r="G6" i="22"/>
  <c r="G5" i="22" a="1"/>
  <c r="G5" i="22"/>
  <c r="C49" i="20" a="1"/>
  <c r="C49" i="20"/>
  <c r="B49" i="20" a="1"/>
  <c r="B49" i="20"/>
  <c r="C48" i="20" a="1"/>
  <c r="C48" i="20"/>
  <c r="B48" i="20" a="1"/>
  <c r="B48" i="20"/>
  <c r="C47" i="20" a="1"/>
  <c r="C47" i="20"/>
  <c r="B47" i="20" a="1"/>
  <c r="B47" i="20"/>
  <c r="C46" i="20" a="1"/>
  <c r="C46" i="20"/>
  <c r="B46" i="20" a="1"/>
  <c r="B46" i="20"/>
  <c r="C45" i="20" a="1"/>
  <c r="C45" i="20"/>
  <c r="B45" i="20" a="1"/>
  <c r="B45" i="20"/>
  <c r="C44" i="20" a="1"/>
  <c r="C44" i="20"/>
  <c r="B44" i="20" a="1"/>
  <c r="B44" i="20"/>
  <c r="C43" i="20" a="1"/>
  <c r="C43" i="20"/>
  <c r="B43" i="20" a="1"/>
  <c r="B43" i="20"/>
  <c r="C42" i="20" a="1"/>
  <c r="C42" i="20"/>
  <c r="B42" i="20" a="1"/>
  <c r="B42" i="20"/>
  <c r="C41" i="20" a="1"/>
  <c r="C41" i="20"/>
  <c r="B41" i="20" a="1"/>
  <c r="B41" i="20"/>
  <c r="C40" i="20" a="1"/>
  <c r="C40" i="20"/>
  <c r="B40" i="20" a="1"/>
  <c r="B40" i="20"/>
  <c r="C39" i="20" a="1"/>
  <c r="C39" i="20"/>
  <c r="B39" i="20" a="1"/>
  <c r="B39" i="20"/>
  <c r="C38" i="20" a="1"/>
  <c r="C38" i="20"/>
  <c r="C50" i="20"/>
  <c r="B38" i="20" a="1"/>
  <c r="B38" i="20"/>
  <c r="F17" i="20" a="1"/>
  <c r="F17" i="20"/>
  <c r="E17" i="20" a="1"/>
  <c r="E17" i="20"/>
  <c r="C17" i="20" a="1"/>
  <c r="C17" i="20"/>
  <c r="B17" i="20" a="1"/>
  <c r="B17" i="20"/>
  <c r="D17" i="20"/>
  <c r="O17" i="20"/>
  <c r="F16" i="20" a="1"/>
  <c r="F16" i="20"/>
  <c r="E16" i="20" a="1"/>
  <c r="E16" i="20"/>
  <c r="C16" i="20" a="1"/>
  <c r="C16" i="20"/>
  <c r="B16" i="20" a="1"/>
  <c r="B16" i="20"/>
  <c r="D16" i="20"/>
  <c r="O16" i="20"/>
  <c r="F15" i="20" a="1"/>
  <c r="F15" i="20"/>
  <c r="E15" i="20" a="1"/>
  <c r="E15" i="20"/>
  <c r="C15" i="20" a="1"/>
  <c r="C15" i="20"/>
  <c r="B15" i="20" a="1"/>
  <c r="B15" i="20"/>
  <c r="D15" i="20"/>
  <c r="O15" i="20"/>
  <c r="F14" i="20" a="1"/>
  <c r="F14" i="20"/>
  <c r="E14" i="20" a="1"/>
  <c r="E14" i="20"/>
  <c r="C14" i="20" a="1"/>
  <c r="C14" i="20"/>
  <c r="B14" i="20" a="1"/>
  <c r="B14" i="20"/>
  <c r="D14" i="20"/>
  <c r="O14" i="20"/>
  <c r="F13" i="20" a="1"/>
  <c r="F13" i="20"/>
  <c r="E13" i="20" a="1"/>
  <c r="E13" i="20"/>
  <c r="C13" i="20" a="1"/>
  <c r="C13" i="20"/>
  <c r="B13" i="20" a="1"/>
  <c r="B13" i="20"/>
  <c r="D13" i="20"/>
  <c r="O13" i="20"/>
  <c r="F12" i="20" a="1"/>
  <c r="F12" i="20"/>
  <c r="E12" i="20" a="1"/>
  <c r="E12" i="20"/>
  <c r="C12" i="20" a="1"/>
  <c r="C12" i="20"/>
  <c r="B12" i="20" a="1"/>
  <c r="B12" i="20"/>
  <c r="D12" i="20"/>
  <c r="O12" i="20"/>
  <c r="F11" i="20" a="1"/>
  <c r="F11" i="20"/>
  <c r="E11" i="20" a="1"/>
  <c r="E11" i="20"/>
  <c r="C11" i="20" a="1"/>
  <c r="C11" i="20"/>
  <c r="B11" i="20" a="1"/>
  <c r="B11" i="20"/>
  <c r="D11" i="20"/>
  <c r="O11" i="20"/>
  <c r="F10" i="20" a="1"/>
  <c r="F10" i="20"/>
  <c r="E10" i="20" a="1"/>
  <c r="E10" i="20"/>
  <c r="C10" i="20" a="1"/>
  <c r="C10" i="20"/>
  <c r="B10" i="20" a="1"/>
  <c r="B10" i="20"/>
  <c r="D10" i="20"/>
  <c r="O10" i="20"/>
  <c r="F9" i="20" a="1"/>
  <c r="F9" i="20"/>
  <c r="E9" i="20" a="1"/>
  <c r="E9" i="20"/>
  <c r="C9" i="20" a="1"/>
  <c r="C9" i="20"/>
  <c r="B9" i="20" a="1"/>
  <c r="B9" i="20"/>
  <c r="D9" i="20"/>
  <c r="O9" i="20"/>
  <c r="F8" i="20" a="1"/>
  <c r="F8" i="20"/>
  <c r="E8" i="20" a="1"/>
  <c r="E8" i="20"/>
  <c r="C8" i="20" a="1"/>
  <c r="C8" i="20"/>
  <c r="B8" i="20" a="1"/>
  <c r="B8" i="20"/>
  <c r="D8" i="20"/>
  <c r="O8" i="20"/>
  <c r="F7" i="20" a="1"/>
  <c r="F7" i="20"/>
  <c r="E7" i="20" a="1"/>
  <c r="E7" i="20"/>
  <c r="C7" i="20" a="1"/>
  <c r="C7" i="20"/>
  <c r="B7" i="20" a="1"/>
  <c r="B7" i="20"/>
  <c r="D7" i="20"/>
  <c r="O7" i="20"/>
  <c r="F6" i="20" a="1"/>
  <c r="F6" i="20"/>
  <c r="F18" i="20"/>
  <c r="E6" i="20" a="1"/>
  <c r="E6" i="20"/>
  <c r="E18" i="20"/>
  <c r="C57" i="20"/>
  <c r="C6" i="20" a="1"/>
  <c r="C6" i="20"/>
  <c r="C18" i="20"/>
  <c r="I7" i="20"/>
  <c r="B6" i="20" a="1"/>
  <c r="B6" i="20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B29" i="17" a="1"/>
  <c r="B29" i="17"/>
  <c r="L26" i="17" a="1"/>
  <c r="L26" i="17"/>
  <c r="J26" i="17" a="1"/>
  <c r="J26" i="17"/>
  <c r="I26" i="17" a="1"/>
  <c r="I26" i="17"/>
  <c r="F26" i="17" a="1"/>
  <c r="F26" i="17"/>
  <c r="E26" i="17" a="1"/>
  <c r="E26" i="17"/>
  <c r="D26" i="17" a="1"/>
  <c r="D26" i="17"/>
  <c r="C26" i="17" a="1"/>
  <c r="C26" i="17"/>
  <c r="B26" i="17" a="1"/>
  <c r="B26" i="17"/>
  <c r="L25" i="17" a="1"/>
  <c r="L25" i="17"/>
  <c r="J25" i="17" a="1"/>
  <c r="J25" i="17"/>
  <c r="I25" i="17" a="1"/>
  <c r="I25" i="17"/>
  <c r="F25" i="17" a="1"/>
  <c r="F25" i="17"/>
  <c r="E25" i="17" a="1"/>
  <c r="E25" i="17"/>
  <c r="D25" i="17" a="1"/>
  <c r="D25" i="17"/>
  <c r="C25" i="17" a="1"/>
  <c r="C25" i="17"/>
  <c r="B25" i="17" a="1"/>
  <c r="B25" i="17"/>
  <c r="L24" i="17" a="1"/>
  <c r="L24" i="17"/>
  <c r="J24" i="17" a="1"/>
  <c r="J24" i="17"/>
  <c r="I24" i="17" a="1"/>
  <c r="I24" i="17"/>
  <c r="F24" i="17" a="1"/>
  <c r="F24" i="17"/>
  <c r="E24" i="17" a="1"/>
  <c r="E24" i="17"/>
  <c r="D24" i="17" a="1"/>
  <c r="D24" i="17"/>
  <c r="C24" i="17" a="1"/>
  <c r="C24" i="17"/>
  <c r="B24" i="17" a="1"/>
  <c r="B24" i="17"/>
  <c r="L23" i="17" a="1"/>
  <c r="L23" i="17"/>
  <c r="J23" i="17" a="1"/>
  <c r="J23" i="17"/>
  <c r="I23" i="17" a="1"/>
  <c r="I23" i="17"/>
  <c r="F23" i="17" a="1"/>
  <c r="F23" i="17"/>
  <c r="E23" i="17" a="1"/>
  <c r="E23" i="17"/>
  <c r="D23" i="17" a="1"/>
  <c r="D23" i="17"/>
  <c r="C23" i="17" a="1"/>
  <c r="C23" i="17"/>
  <c r="B23" i="17" a="1"/>
  <c r="B23" i="17"/>
  <c r="L22" i="17" a="1"/>
  <c r="L22" i="17"/>
  <c r="J22" i="17" a="1"/>
  <c r="J22" i="17"/>
  <c r="I22" i="17" a="1"/>
  <c r="I22" i="17"/>
  <c r="F22" i="17" a="1"/>
  <c r="F22" i="17"/>
  <c r="E22" i="17" a="1"/>
  <c r="E22" i="17"/>
  <c r="D22" i="17" a="1"/>
  <c r="D22" i="17"/>
  <c r="C22" i="17" a="1"/>
  <c r="C22" i="17"/>
  <c r="B22" i="17" a="1"/>
  <c r="B22" i="17"/>
  <c r="L21" i="17" a="1"/>
  <c r="L21" i="17"/>
  <c r="J21" i="17" a="1"/>
  <c r="J21" i="17"/>
  <c r="I21" i="17" a="1"/>
  <c r="I21" i="17"/>
  <c r="F21" i="17" a="1"/>
  <c r="F21" i="17"/>
  <c r="E21" i="17" a="1"/>
  <c r="E21" i="17"/>
  <c r="D21" i="17" a="1"/>
  <c r="D21" i="17"/>
  <c r="C21" i="17" a="1"/>
  <c r="C21" i="17"/>
  <c r="B21" i="17" a="1"/>
  <c r="B21" i="17"/>
  <c r="L20" i="17" a="1"/>
  <c r="L20" i="17"/>
  <c r="J20" i="17" a="1"/>
  <c r="J20" i="17"/>
  <c r="I20" i="17" a="1"/>
  <c r="I20" i="17"/>
  <c r="F20" i="17" a="1"/>
  <c r="F20" i="17"/>
  <c r="E20" i="17" a="1"/>
  <c r="E20" i="17"/>
  <c r="D20" i="17" a="1"/>
  <c r="D20" i="17"/>
  <c r="C20" i="17" a="1"/>
  <c r="C20" i="17"/>
  <c r="B20" i="17" a="1"/>
  <c r="B20" i="17"/>
  <c r="L19" i="17" a="1"/>
  <c r="L19" i="17"/>
  <c r="J19" i="17" a="1"/>
  <c r="J19" i="17"/>
  <c r="I19" i="17" a="1"/>
  <c r="I19" i="17"/>
  <c r="F19" i="17" a="1"/>
  <c r="F19" i="17"/>
  <c r="E19" i="17" a="1"/>
  <c r="E19" i="17"/>
  <c r="D19" i="17" a="1"/>
  <c r="D19" i="17"/>
  <c r="C19" i="17" a="1"/>
  <c r="C19" i="17"/>
  <c r="B19" i="17" a="1"/>
  <c r="B19" i="17"/>
  <c r="L18" i="17" a="1"/>
  <c r="L18" i="17"/>
  <c r="J18" i="17" a="1"/>
  <c r="J18" i="17"/>
  <c r="I18" i="17" a="1"/>
  <c r="I18" i="17"/>
  <c r="F18" i="17" a="1"/>
  <c r="F18" i="17"/>
  <c r="E18" i="17" a="1"/>
  <c r="E18" i="17"/>
  <c r="D18" i="17" a="1"/>
  <c r="D18" i="17"/>
  <c r="C18" i="17" a="1"/>
  <c r="C18" i="17"/>
  <c r="B18" i="17" a="1"/>
  <c r="B18" i="17"/>
  <c r="L17" i="17" a="1"/>
  <c r="L17" i="17"/>
  <c r="J17" i="17" a="1"/>
  <c r="J17" i="17"/>
  <c r="I17" i="17" a="1"/>
  <c r="I17" i="17"/>
  <c r="F17" i="17" a="1"/>
  <c r="F17" i="17"/>
  <c r="E17" i="17" a="1"/>
  <c r="E17" i="17"/>
  <c r="D17" i="17" a="1"/>
  <c r="D17" i="17"/>
  <c r="C17" i="17" a="1"/>
  <c r="C17" i="17"/>
  <c r="B17" i="17" a="1"/>
  <c r="B17" i="17"/>
  <c r="B2" i="16"/>
  <c r="B2" i="12"/>
  <c r="B13" i="19"/>
  <c r="B10" i="19"/>
  <c r="B9" i="19"/>
  <c r="E8" i="18"/>
  <c r="E6" i="18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" i="1"/>
  <c r="AX231" i="1"/>
  <c r="AW2" i="1"/>
  <c r="AW3" i="1"/>
  <c r="AW4" i="1"/>
  <c r="AW5" i="1"/>
  <c r="AW6" i="1"/>
  <c r="AW7" i="1"/>
  <c r="AW8" i="1"/>
  <c r="AW9" i="1"/>
  <c r="AW10" i="1"/>
  <c r="AW11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B2" i="7"/>
  <c r="B4" i="18"/>
  <c r="J4" i="6"/>
  <c r="H4" i="6"/>
  <c r="F4" i="6"/>
  <c r="D4" i="6"/>
  <c r="B4" i="6"/>
  <c r="I5" i="19"/>
  <c r="G5" i="19"/>
  <c r="E5" i="19"/>
  <c r="C5" i="19"/>
  <c r="A5" i="19"/>
  <c r="F273" i="6"/>
  <c r="J273" i="6"/>
  <c r="E273" i="6"/>
  <c r="D273" i="6"/>
  <c r="C273" i="6"/>
  <c r="B273" i="6"/>
  <c r="F272" i="6"/>
  <c r="J272" i="6"/>
  <c r="E272" i="6"/>
  <c r="D272" i="6"/>
  <c r="C272" i="6"/>
  <c r="B272" i="6"/>
  <c r="G272" i="6"/>
  <c r="H272" i="6"/>
  <c r="F271" i="6"/>
  <c r="J271" i="6"/>
  <c r="E271" i="6"/>
  <c r="D271" i="6"/>
  <c r="C271" i="6"/>
  <c r="B271" i="6"/>
  <c r="F270" i="6"/>
  <c r="J270" i="6"/>
  <c r="E270" i="6"/>
  <c r="D270" i="6"/>
  <c r="C270" i="6"/>
  <c r="B270" i="6"/>
  <c r="F269" i="6"/>
  <c r="J269" i="6"/>
  <c r="E269" i="6"/>
  <c r="D269" i="6"/>
  <c r="C269" i="6"/>
  <c r="B269" i="6"/>
  <c r="F268" i="6"/>
  <c r="J268" i="6"/>
  <c r="E268" i="6"/>
  <c r="D268" i="6"/>
  <c r="C268" i="6"/>
  <c r="B268" i="6"/>
  <c r="F267" i="6"/>
  <c r="J267" i="6"/>
  <c r="E267" i="6"/>
  <c r="D267" i="6"/>
  <c r="C267" i="6"/>
  <c r="B267" i="6"/>
  <c r="F266" i="6"/>
  <c r="J266" i="6"/>
  <c r="E266" i="6"/>
  <c r="D266" i="6"/>
  <c r="C266" i="6"/>
  <c r="B266" i="6"/>
  <c r="F265" i="6"/>
  <c r="J265" i="6"/>
  <c r="E265" i="6"/>
  <c r="D265" i="6"/>
  <c r="C265" i="6"/>
  <c r="B265" i="6"/>
  <c r="F264" i="6"/>
  <c r="J264" i="6"/>
  <c r="E264" i="6"/>
  <c r="D264" i="6"/>
  <c r="C264" i="6"/>
  <c r="B264" i="6"/>
  <c r="F263" i="6"/>
  <c r="J263" i="6"/>
  <c r="E263" i="6"/>
  <c r="D263" i="6"/>
  <c r="C263" i="6"/>
  <c r="B263" i="6"/>
  <c r="F262" i="6"/>
  <c r="J262" i="6"/>
  <c r="E262" i="6"/>
  <c r="D262" i="6"/>
  <c r="C262" i="6"/>
  <c r="B262" i="6"/>
  <c r="F261" i="6"/>
  <c r="J261" i="6"/>
  <c r="E261" i="6"/>
  <c r="D261" i="6"/>
  <c r="C261" i="6"/>
  <c r="B261" i="6"/>
  <c r="F260" i="6"/>
  <c r="J260" i="6"/>
  <c r="E260" i="6"/>
  <c r="D260" i="6"/>
  <c r="C260" i="6"/>
  <c r="B260" i="6"/>
  <c r="F259" i="6"/>
  <c r="J259" i="6"/>
  <c r="E259" i="6"/>
  <c r="D259" i="6"/>
  <c r="C259" i="6"/>
  <c r="B259" i="6"/>
  <c r="F258" i="6"/>
  <c r="J258" i="6"/>
  <c r="E258" i="6"/>
  <c r="D258" i="6"/>
  <c r="C258" i="6"/>
  <c r="B258" i="6"/>
  <c r="F257" i="6"/>
  <c r="J257" i="6"/>
  <c r="E257" i="6"/>
  <c r="D257" i="6"/>
  <c r="C257" i="6"/>
  <c r="B257" i="6"/>
  <c r="F256" i="6"/>
  <c r="J256" i="6"/>
  <c r="E256" i="6"/>
  <c r="D256" i="6"/>
  <c r="C256" i="6"/>
  <c r="B256" i="6"/>
  <c r="F255" i="6"/>
  <c r="J255" i="6"/>
  <c r="E255" i="6"/>
  <c r="D255" i="6"/>
  <c r="C255" i="6"/>
  <c r="B255" i="6"/>
  <c r="F254" i="6"/>
  <c r="J254" i="6"/>
  <c r="E254" i="6"/>
  <c r="D254" i="6"/>
  <c r="C254" i="6"/>
  <c r="B254" i="6"/>
  <c r="F253" i="6"/>
  <c r="J253" i="6"/>
  <c r="E253" i="6"/>
  <c r="D253" i="6"/>
  <c r="C253" i="6"/>
  <c r="B253" i="6"/>
  <c r="F252" i="6"/>
  <c r="J252" i="6"/>
  <c r="E252" i="6"/>
  <c r="D252" i="6"/>
  <c r="C252" i="6"/>
  <c r="B252" i="6"/>
  <c r="F251" i="6"/>
  <c r="J251" i="6"/>
  <c r="E251" i="6"/>
  <c r="D251" i="6"/>
  <c r="C251" i="6"/>
  <c r="B251" i="6"/>
  <c r="F250" i="6"/>
  <c r="J250" i="6"/>
  <c r="E250" i="6"/>
  <c r="D250" i="6"/>
  <c r="C250" i="6"/>
  <c r="B250" i="6"/>
  <c r="G250" i="6"/>
  <c r="H250" i="6"/>
  <c r="F249" i="6"/>
  <c r="J249" i="6"/>
  <c r="E249" i="6"/>
  <c r="D249" i="6"/>
  <c r="C249" i="6"/>
  <c r="B249" i="6"/>
  <c r="F248" i="6"/>
  <c r="J248" i="6"/>
  <c r="E248" i="6"/>
  <c r="D248" i="6"/>
  <c r="C248" i="6"/>
  <c r="B248" i="6"/>
  <c r="F247" i="6"/>
  <c r="J247" i="6"/>
  <c r="E247" i="6"/>
  <c r="D247" i="6"/>
  <c r="C247" i="6"/>
  <c r="B247" i="6"/>
  <c r="F246" i="6"/>
  <c r="J246" i="6"/>
  <c r="E246" i="6"/>
  <c r="D246" i="6"/>
  <c r="C246" i="6"/>
  <c r="B246" i="6"/>
  <c r="F245" i="6"/>
  <c r="J245" i="6"/>
  <c r="E245" i="6"/>
  <c r="D245" i="6"/>
  <c r="C245" i="6"/>
  <c r="B245" i="6"/>
  <c r="F244" i="6"/>
  <c r="J244" i="6"/>
  <c r="E244" i="6"/>
  <c r="D244" i="6"/>
  <c r="C244" i="6"/>
  <c r="B244" i="6"/>
  <c r="F243" i="6"/>
  <c r="J243" i="6"/>
  <c r="E243" i="6"/>
  <c r="D243" i="6"/>
  <c r="C243" i="6"/>
  <c r="B243" i="6"/>
  <c r="F242" i="6"/>
  <c r="J242" i="6"/>
  <c r="E242" i="6"/>
  <c r="D242" i="6"/>
  <c r="C242" i="6"/>
  <c r="B242" i="6"/>
  <c r="F241" i="6"/>
  <c r="J241" i="6"/>
  <c r="E241" i="6"/>
  <c r="D241" i="6"/>
  <c r="C241" i="6"/>
  <c r="B241" i="6"/>
  <c r="G241" i="6"/>
  <c r="H241" i="6"/>
  <c r="F240" i="6"/>
  <c r="J240" i="6"/>
  <c r="E240" i="6"/>
  <c r="D240" i="6"/>
  <c r="C240" i="6"/>
  <c r="B240" i="6"/>
  <c r="F239" i="6"/>
  <c r="J239" i="6"/>
  <c r="E239" i="6"/>
  <c r="D239" i="6"/>
  <c r="C239" i="6"/>
  <c r="B239" i="6"/>
  <c r="F238" i="6"/>
  <c r="J238" i="6"/>
  <c r="E238" i="6"/>
  <c r="D238" i="6"/>
  <c r="C238" i="6"/>
  <c r="B238" i="6"/>
  <c r="F237" i="6"/>
  <c r="J237" i="6"/>
  <c r="E237" i="6"/>
  <c r="D237" i="6"/>
  <c r="C237" i="6"/>
  <c r="B237" i="6"/>
  <c r="F236" i="6"/>
  <c r="J236" i="6"/>
  <c r="E236" i="6"/>
  <c r="D236" i="6"/>
  <c r="C236" i="6"/>
  <c r="B236" i="6"/>
  <c r="F235" i="6"/>
  <c r="J235" i="6"/>
  <c r="E235" i="6"/>
  <c r="D235" i="6"/>
  <c r="C235" i="6"/>
  <c r="B235" i="6"/>
  <c r="F234" i="6"/>
  <c r="J234" i="6"/>
  <c r="E234" i="6"/>
  <c r="D234" i="6"/>
  <c r="C234" i="6"/>
  <c r="B234" i="6"/>
  <c r="F233" i="6"/>
  <c r="J233" i="6"/>
  <c r="E233" i="6"/>
  <c r="D233" i="6"/>
  <c r="C233" i="6"/>
  <c r="B233" i="6"/>
  <c r="F232" i="6"/>
  <c r="J232" i="6"/>
  <c r="E232" i="6"/>
  <c r="D232" i="6"/>
  <c r="C232" i="6"/>
  <c r="B232" i="6"/>
  <c r="F231" i="6"/>
  <c r="J231" i="6"/>
  <c r="E231" i="6"/>
  <c r="D231" i="6"/>
  <c r="C231" i="6"/>
  <c r="B231" i="6"/>
  <c r="F230" i="6"/>
  <c r="J230" i="6"/>
  <c r="E230" i="6"/>
  <c r="D230" i="6"/>
  <c r="C230" i="6"/>
  <c r="B230" i="6"/>
  <c r="F229" i="6"/>
  <c r="J229" i="6"/>
  <c r="E229" i="6"/>
  <c r="D229" i="6"/>
  <c r="C229" i="6"/>
  <c r="B229" i="6"/>
  <c r="F228" i="6"/>
  <c r="J228" i="6"/>
  <c r="E228" i="6"/>
  <c r="D228" i="6"/>
  <c r="C228" i="6"/>
  <c r="B228" i="6"/>
  <c r="F227" i="6"/>
  <c r="J227" i="6"/>
  <c r="E227" i="6"/>
  <c r="D227" i="6"/>
  <c r="C227" i="6"/>
  <c r="B227" i="6"/>
  <c r="F226" i="6"/>
  <c r="J226" i="6"/>
  <c r="E226" i="6"/>
  <c r="D226" i="6"/>
  <c r="C226" i="6"/>
  <c r="B226" i="6"/>
  <c r="F225" i="6"/>
  <c r="J225" i="6"/>
  <c r="E225" i="6"/>
  <c r="D225" i="6"/>
  <c r="C225" i="6"/>
  <c r="B225" i="6"/>
  <c r="F224" i="6"/>
  <c r="J224" i="6"/>
  <c r="E224" i="6"/>
  <c r="D224" i="6"/>
  <c r="C224" i="6"/>
  <c r="B224" i="6"/>
  <c r="F223" i="6"/>
  <c r="J223" i="6"/>
  <c r="E223" i="6"/>
  <c r="D223" i="6"/>
  <c r="C223" i="6"/>
  <c r="B223" i="6"/>
  <c r="F222" i="6"/>
  <c r="J222" i="6"/>
  <c r="E222" i="6"/>
  <c r="D222" i="6"/>
  <c r="C222" i="6"/>
  <c r="B222" i="6"/>
  <c r="G222" i="6"/>
  <c r="H222" i="6"/>
  <c r="I222" i="6"/>
  <c r="F221" i="6"/>
  <c r="J221" i="6"/>
  <c r="E221" i="6"/>
  <c r="D221" i="6"/>
  <c r="C221" i="6"/>
  <c r="B221" i="6"/>
  <c r="F220" i="6"/>
  <c r="J220" i="6"/>
  <c r="E220" i="6"/>
  <c r="D220" i="6"/>
  <c r="C220" i="6"/>
  <c r="B220" i="6"/>
  <c r="F219" i="6"/>
  <c r="J219" i="6"/>
  <c r="E219" i="6"/>
  <c r="D219" i="6"/>
  <c r="C219" i="6"/>
  <c r="B219" i="6"/>
  <c r="F218" i="6"/>
  <c r="J218" i="6"/>
  <c r="E218" i="6"/>
  <c r="D218" i="6"/>
  <c r="C218" i="6"/>
  <c r="B218" i="6"/>
  <c r="F217" i="6"/>
  <c r="J217" i="6"/>
  <c r="E217" i="6"/>
  <c r="D217" i="6"/>
  <c r="C217" i="6"/>
  <c r="B217" i="6"/>
  <c r="F216" i="6"/>
  <c r="J216" i="6"/>
  <c r="E216" i="6"/>
  <c r="D216" i="6"/>
  <c r="C216" i="6"/>
  <c r="B216" i="6"/>
  <c r="F215" i="6"/>
  <c r="J215" i="6"/>
  <c r="E215" i="6"/>
  <c r="D215" i="6"/>
  <c r="C215" i="6"/>
  <c r="B215" i="6"/>
  <c r="F214" i="6"/>
  <c r="J214" i="6"/>
  <c r="E214" i="6"/>
  <c r="D214" i="6"/>
  <c r="C214" i="6"/>
  <c r="B214" i="6"/>
  <c r="G214" i="6"/>
  <c r="H214" i="6"/>
  <c r="F213" i="6"/>
  <c r="J213" i="6"/>
  <c r="E213" i="6"/>
  <c r="D213" i="6"/>
  <c r="C213" i="6"/>
  <c r="B213" i="6"/>
  <c r="F212" i="6"/>
  <c r="J212" i="6"/>
  <c r="E212" i="6"/>
  <c r="D212" i="6"/>
  <c r="C212" i="6"/>
  <c r="B212" i="6"/>
  <c r="F211" i="6"/>
  <c r="J211" i="6"/>
  <c r="E211" i="6"/>
  <c r="D211" i="6"/>
  <c r="C211" i="6"/>
  <c r="B211" i="6"/>
  <c r="F210" i="6"/>
  <c r="J210" i="6"/>
  <c r="E210" i="6"/>
  <c r="D210" i="6"/>
  <c r="C210" i="6"/>
  <c r="B210" i="6"/>
  <c r="F209" i="6"/>
  <c r="J209" i="6"/>
  <c r="E209" i="6"/>
  <c r="D209" i="6"/>
  <c r="C209" i="6"/>
  <c r="B209" i="6"/>
  <c r="F208" i="6"/>
  <c r="J208" i="6"/>
  <c r="E208" i="6"/>
  <c r="D208" i="6"/>
  <c r="C208" i="6"/>
  <c r="B208" i="6"/>
  <c r="F207" i="6"/>
  <c r="J207" i="6"/>
  <c r="E207" i="6"/>
  <c r="D207" i="6"/>
  <c r="C207" i="6"/>
  <c r="B207" i="6"/>
  <c r="F206" i="6"/>
  <c r="J206" i="6"/>
  <c r="E206" i="6"/>
  <c r="D206" i="6"/>
  <c r="C206" i="6"/>
  <c r="B206" i="6"/>
  <c r="G206" i="6"/>
  <c r="H206" i="6"/>
  <c r="I206" i="6"/>
  <c r="F205" i="6"/>
  <c r="J205" i="6"/>
  <c r="E205" i="6"/>
  <c r="D205" i="6"/>
  <c r="C205" i="6"/>
  <c r="B205" i="6"/>
  <c r="G205" i="6"/>
  <c r="H205" i="6"/>
  <c r="F204" i="6"/>
  <c r="J204" i="6"/>
  <c r="E204" i="6"/>
  <c r="D204" i="6"/>
  <c r="C204" i="6"/>
  <c r="B204" i="6"/>
  <c r="F203" i="6"/>
  <c r="J203" i="6"/>
  <c r="E203" i="6"/>
  <c r="D203" i="6"/>
  <c r="C203" i="6"/>
  <c r="B203" i="6"/>
  <c r="F202" i="6"/>
  <c r="J202" i="6"/>
  <c r="E202" i="6"/>
  <c r="D202" i="6"/>
  <c r="C202" i="6"/>
  <c r="B202" i="6"/>
  <c r="F201" i="6"/>
  <c r="J201" i="6"/>
  <c r="E201" i="6"/>
  <c r="D201" i="6"/>
  <c r="C201" i="6"/>
  <c r="B201" i="6"/>
  <c r="F200" i="6"/>
  <c r="J200" i="6"/>
  <c r="E200" i="6"/>
  <c r="D200" i="6"/>
  <c r="C200" i="6"/>
  <c r="B200" i="6"/>
  <c r="F199" i="6"/>
  <c r="J199" i="6"/>
  <c r="E199" i="6"/>
  <c r="D199" i="6"/>
  <c r="C199" i="6"/>
  <c r="B199" i="6"/>
  <c r="F198" i="6"/>
  <c r="J198" i="6"/>
  <c r="E198" i="6"/>
  <c r="D198" i="6"/>
  <c r="C198" i="6"/>
  <c r="B198" i="6"/>
  <c r="F197" i="6"/>
  <c r="J197" i="6"/>
  <c r="E197" i="6"/>
  <c r="D197" i="6"/>
  <c r="C197" i="6"/>
  <c r="B197" i="6"/>
  <c r="F196" i="6"/>
  <c r="J196" i="6"/>
  <c r="E196" i="6"/>
  <c r="D196" i="6"/>
  <c r="C196" i="6"/>
  <c r="B196" i="6"/>
  <c r="F195" i="6"/>
  <c r="J195" i="6"/>
  <c r="E195" i="6"/>
  <c r="D195" i="6"/>
  <c r="C195" i="6"/>
  <c r="B195" i="6"/>
  <c r="F194" i="6"/>
  <c r="J194" i="6"/>
  <c r="E194" i="6"/>
  <c r="D194" i="6"/>
  <c r="C194" i="6"/>
  <c r="B194" i="6"/>
  <c r="G194" i="6"/>
  <c r="H194" i="6"/>
  <c r="F193" i="6"/>
  <c r="J193" i="6"/>
  <c r="E193" i="6"/>
  <c r="D193" i="6"/>
  <c r="C193" i="6"/>
  <c r="B193" i="6"/>
  <c r="F192" i="6"/>
  <c r="J192" i="6"/>
  <c r="E192" i="6"/>
  <c r="D192" i="6"/>
  <c r="C192" i="6"/>
  <c r="B192" i="6"/>
  <c r="F191" i="6"/>
  <c r="J191" i="6"/>
  <c r="E191" i="6"/>
  <c r="D191" i="6"/>
  <c r="C191" i="6"/>
  <c r="B191" i="6"/>
  <c r="G191" i="6"/>
  <c r="H191" i="6"/>
  <c r="F190" i="6"/>
  <c r="J190" i="6"/>
  <c r="E190" i="6"/>
  <c r="D190" i="6"/>
  <c r="C190" i="6"/>
  <c r="B190" i="6"/>
  <c r="F189" i="6"/>
  <c r="J189" i="6"/>
  <c r="E189" i="6"/>
  <c r="D189" i="6"/>
  <c r="C189" i="6"/>
  <c r="B189" i="6"/>
  <c r="F188" i="6"/>
  <c r="J188" i="6"/>
  <c r="E188" i="6"/>
  <c r="D188" i="6"/>
  <c r="C188" i="6"/>
  <c r="B188" i="6"/>
  <c r="F187" i="6"/>
  <c r="J187" i="6"/>
  <c r="E187" i="6"/>
  <c r="D187" i="6"/>
  <c r="C187" i="6"/>
  <c r="B187" i="6"/>
  <c r="F186" i="6"/>
  <c r="J186" i="6"/>
  <c r="E186" i="6"/>
  <c r="D186" i="6"/>
  <c r="C186" i="6"/>
  <c r="B186" i="6"/>
  <c r="G186" i="6"/>
  <c r="H186" i="6"/>
  <c r="F185" i="6"/>
  <c r="J185" i="6"/>
  <c r="E185" i="6"/>
  <c r="D185" i="6"/>
  <c r="C185" i="6"/>
  <c r="B185" i="6"/>
  <c r="F184" i="6"/>
  <c r="J184" i="6"/>
  <c r="E184" i="6"/>
  <c r="D184" i="6"/>
  <c r="C184" i="6"/>
  <c r="B184" i="6"/>
  <c r="F183" i="6"/>
  <c r="J183" i="6"/>
  <c r="E183" i="6"/>
  <c r="D183" i="6"/>
  <c r="C183" i="6"/>
  <c r="B183" i="6"/>
  <c r="G183" i="6"/>
  <c r="H183" i="6"/>
  <c r="F182" i="6"/>
  <c r="J182" i="6"/>
  <c r="E182" i="6"/>
  <c r="D182" i="6"/>
  <c r="C182" i="6"/>
  <c r="B182" i="6"/>
  <c r="F181" i="6"/>
  <c r="J181" i="6"/>
  <c r="E181" i="6"/>
  <c r="D181" i="6"/>
  <c r="C181" i="6"/>
  <c r="B181" i="6"/>
  <c r="F180" i="6"/>
  <c r="J180" i="6"/>
  <c r="E180" i="6"/>
  <c r="D180" i="6"/>
  <c r="C180" i="6"/>
  <c r="B180" i="6"/>
  <c r="F179" i="6"/>
  <c r="J179" i="6"/>
  <c r="E179" i="6"/>
  <c r="D179" i="6"/>
  <c r="C179" i="6"/>
  <c r="B179" i="6"/>
  <c r="F178" i="6"/>
  <c r="J178" i="6"/>
  <c r="E178" i="6"/>
  <c r="D178" i="6"/>
  <c r="C178" i="6"/>
  <c r="B178" i="6"/>
  <c r="G178" i="6"/>
  <c r="H178" i="6"/>
  <c r="F177" i="6"/>
  <c r="J177" i="6"/>
  <c r="E177" i="6"/>
  <c r="D177" i="6"/>
  <c r="C177" i="6"/>
  <c r="B177" i="6"/>
  <c r="F176" i="6"/>
  <c r="J176" i="6"/>
  <c r="E176" i="6"/>
  <c r="D176" i="6"/>
  <c r="C176" i="6"/>
  <c r="B176" i="6"/>
  <c r="F175" i="6"/>
  <c r="J175" i="6"/>
  <c r="E175" i="6"/>
  <c r="D175" i="6"/>
  <c r="C175" i="6"/>
  <c r="B175" i="6"/>
  <c r="G175" i="6"/>
  <c r="H175" i="6"/>
  <c r="F174" i="6"/>
  <c r="J174" i="6"/>
  <c r="E174" i="6"/>
  <c r="D174" i="6"/>
  <c r="C174" i="6"/>
  <c r="B174" i="6"/>
  <c r="F173" i="6"/>
  <c r="J173" i="6"/>
  <c r="E173" i="6"/>
  <c r="D173" i="6"/>
  <c r="C173" i="6"/>
  <c r="B173" i="6"/>
  <c r="F172" i="6"/>
  <c r="J172" i="6"/>
  <c r="E172" i="6"/>
  <c r="D172" i="6"/>
  <c r="C172" i="6"/>
  <c r="B172" i="6"/>
  <c r="F171" i="6"/>
  <c r="J171" i="6"/>
  <c r="E171" i="6"/>
  <c r="D171" i="6"/>
  <c r="C171" i="6"/>
  <c r="B171" i="6"/>
  <c r="F170" i="6"/>
  <c r="J170" i="6"/>
  <c r="E170" i="6"/>
  <c r="D170" i="6"/>
  <c r="C170" i="6"/>
  <c r="B170" i="6"/>
  <c r="G170" i="6"/>
  <c r="H170" i="6"/>
  <c r="F169" i="6"/>
  <c r="J169" i="6"/>
  <c r="E169" i="6"/>
  <c r="D169" i="6"/>
  <c r="C169" i="6"/>
  <c r="B169" i="6"/>
  <c r="G169" i="6"/>
  <c r="H169" i="6"/>
  <c r="F168" i="6"/>
  <c r="J168" i="6"/>
  <c r="E168" i="6"/>
  <c r="D168" i="6"/>
  <c r="C168" i="6"/>
  <c r="B168" i="6"/>
  <c r="F167" i="6"/>
  <c r="J167" i="6"/>
  <c r="E167" i="6"/>
  <c r="D167" i="6"/>
  <c r="C167" i="6"/>
  <c r="B167" i="6"/>
  <c r="G167" i="6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B2" i="9"/>
  <c r="N13" i="6"/>
  <c r="B22" i="18"/>
  <c r="B21" i="18"/>
  <c r="B20" i="18"/>
  <c r="B19" i="18"/>
  <c r="B18" i="18"/>
  <c r="B17" i="18"/>
  <c r="B16" i="18"/>
  <c r="B15" i="18"/>
  <c r="B28" i="19"/>
  <c r="B26" i="19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B23" i="19"/>
  <c r="B22" i="19"/>
  <c r="B21" i="19"/>
  <c r="B20" i="19"/>
  <c r="B19" i="19"/>
  <c r="B18" i="19"/>
  <c r="N24" i="6" a="1"/>
  <c r="N24" i="6"/>
  <c r="N23" i="6" a="1"/>
  <c r="N23" i="6"/>
  <c r="N22" i="6" a="1"/>
  <c r="N22" i="6"/>
  <c r="N21" i="6"/>
  <c r="N20" i="6"/>
  <c r="N19" i="6"/>
  <c r="N18" i="6"/>
  <c r="A27" i="7"/>
  <c r="B27" i="7"/>
  <c r="C27" i="7"/>
  <c r="D27" i="7"/>
  <c r="E27" i="7"/>
  <c r="F27" i="7"/>
  <c r="G27" i="7"/>
  <c r="A28" i="7"/>
  <c r="B28" i="7"/>
  <c r="C28" i="7"/>
  <c r="D28" i="7"/>
  <c r="E28" i="7"/>
  <c r="F28" i="7"/>
  <c r="G28" i="7"/>
  <c r="A29" i="7"/>
  <c r="B29" i="7"/>
  <c r="C29" i="7"/>
  <c r="D29" i="7"/>
  <c r="E29" i="7"/>
  <c r="F29" i="7"/>
  <c r="G29" i="7"/>
  <c r="A30" i="7"/>
  <c r="B30" i="7"/>
  <c r="C30" i="7"/>
  <c r="D30" i="7"/>
  <c r="E30" i="7"/>
  <c r="F30" i="7"/>
  <c r="G30" i="7"/>
  <c r="A31" i="7"/>
  <c r="B31" i="7"/>
  <c r="C31" i="7"/>
  <c r="D31" i="7"/>
  <c r="E31" i="7"/>
  <c r="F31" i="7"/>
  <c r="G31" i="7"/>
  <c r="A32" i="7"/>
  <c r="B32" i="7"/>
  <c r="C32" i="7"/>
  <c r="D32" i="7"/>
  <c r="E32" i="7"/>
  <c r="F32" i="7"/>
  <c r="G32" i="7"/>
  <c r="A33" i="7"/>
  <c r="B33" i="7"/>
  <c r="C33" i="7"/>
  <c r="D33" i="7"/>
  <c r="E33" i="7"/>
  <c r="F33" i="7"/>
  <c r="G33" i="7"/>
  <c r="A34" i="7"/>
  <c r="B34" i="7"/>
  <c r="C34" i="7"/>
  <c r="D34" i="7"/>
  <c r="E34" i="7"/>
  <c r="F34" i="7"/>
  <c r="G34" i="7"/>
  <c r="A35" i="7"/>
  <c r="B35" i="7"/>
  <c r="C35" i="7"/>
  <c r="D35" i="7"/>
  <c r="E35" i="7"/>
  <c r="F35" i="7"/>
  <c r="G35" i="7"/>
  <c r="A36" i="7"/>
  <c r="B36" i="7"/>
  <c r="C36" i="7"/>
  <c r="D36" i="7"/>
  <c r="E36" i="7"/>
  <c r="F36" i="7"/>
  <c r="G36" i="7"/>
  <c r="A37" i="7"/>
  <c r="B37" i="7"/>
  <c r="C37" i="7"/>
  <c r="D37" i="7"/>
  <c r="E37" i="7"/>
  <c r="F37" i="7"/>
  <c r="G37" i="7"/>
  <c r="A38" i="7"/>
  <c r="B38" i="7"/>
  <c r="C38" i="7"/>
  <c r="D38" i="7"/>
  <c r="E38" i="7"/>
  <c r="F38" i="7"/>
  <c r="G38" i="7"/>
  <c r="A7" i="16" a="1"/>
  <c r="A7" i="16"/>
  <c r="G256" i="6"/>
  <c r="H256" i="6"/>
  <c r="G268" i="6"/>
  <c r="H268" i="6"/>
  <c r="G14" i="22" a="1"/>
  <c r="G14" i="22"/>
  <c r="B33" i="18"/>
  <c r="B32" i="18"/>
  <c r="B31" i="18"/>
  <c r="C31" i="18"/>
  <c r="G20" i="19"/>
  <c r="G19" i="19"/>
  <c r="G18" i="19"/>
  <c r="H18" i="19"/>
  <c r="I214" i="6"/>
  <c r="K214" i="6"/>
  <c r="H167" i="6"/>
  <c r="I183" i="6"/>
  <c r="K183" i="6"/>
  <c r="I178" i="6"/>
  <c r="K178" i="6"/>
  <c r="I194" i="6"/>
  <c r="K194" i="6"/>
  <c r="I175" i="6"/>
  <c r="K175" i="6"/>
  <c r="I191" i="6"/>
  <c r="K191" i="6"/>
  <c r="K169" i="6"/>
  <c r="I169" i="6"/>
  <c r="K205" i="6"/>
  <c r="I205" i="6"/>
  <c r="L178" i="6"/>
  <c r="K256" i="6"/>
  <c r="I256" i="6"/>
  <c r="K268" i="6"/>
  <c r="I268" i="6"/>
  <c r="L268" i="6"/>
  <c r="I170" i="6"/>
  <c r="K170" i="6"/>
  <c r="I186" i="6"/>
  <c r="K186" i="6"/>
  <c r="A7" i="14" a="1"/>
  <c r="A7" i="14"/>
  <c r="A11" i="14" a="1"/>
  <c r="A11" i="14"/>
  <c r="A15" i="14" a="1"/>
  <c r="A15" i="14"/>
  <c r="A19" i="14" a="1"/>
  <c r="A19" i="14"/>
  <c r="A23" i="14" a="1"/>
  <c r="A23" i="14"/>
  <c r="A27" i="14" a="1"/>
  <c r="A27" i="14"/>
  <c r="A31" i="14" a="1"/>
  <c r="A31" i="14"/>
  <c r="A35" i="14" a="1"/>
  <c r="A35" i="14"/>
  <c r="A39" i="14" a="1"/>
  <c r="A39" i="14"/>
  <c r="A43" i="14" a="1"/>
  <c r="A43" i="14"/>
  <c r="A47" i="14" a="1"/>
  <c r="A47" i="14"/>
  <c r="A51" i="14" a="1"/>
  <c r="A51" i="14"/>
  <c r="A55" i="14" a="1"/>
  <c r="A55" i="14"/>
  <c r="A59" i="14" a="1"/>
  <c r="A59" i="14"/>
  <c r="A63" i="14" a="1"/>
  <c r="A63" i="14"/>
  <c r="A67" i="14" a="1"/>
  <c r="A67" i="14"/>
  <c r="A71" i="14" a="1"/>
  <c r="A71" i="14"/>
  <c r="A75" i="14" a="1"/>
  <c r="A75" i="14"/>
  <c r="A79" i="14" a="1"/>
  <c r="A79" i="14"/>
  <c r="A82" i="14" a="1"/>
  <c r="A82" i="14"/>
  <c r="A87" i="14" a="1"/>
  <c r="A87" i="14"/>
  <c r="A90" i="14" a="1"/>
  <c r="A90" i="14"/>
  <c r="A95" i="14" a="1"/>
  <c r="A95" i="14"/>
  <c r="A98" i="14" a="1"/>
  <c r="A98" i="14"/>
  <c r="A103" i="14" a="1"/>
  <c r="A103" i="14"/>
  <c r="A106" i="14" a="1"/>
  <c r="A106" i="14"/>
  <c r="A111" i="14" a="1"/>
  <c r="A111" i="14"/>
  <c r="A114" i="14" a="1"/>
  <c r="A114" i="14"/>
  <c r="A119" i="14" a="1"/>
  <c r="A119" i="14"/>
  <c r="A122" i="14" a="1"/>
  <c r="A122" i="14"/>
  <c r="A127" i="14" a="1"/>
  <c r="A127" i="14"/>
  <c r="A130" i="14" a="1"/>
  <c r="A130" i="14"/>
  <c r="A135" i="14" a="1"/>
  <c r="A135" i="14"/>
  <c r="A138" i="14" a="1"/>
  <c r="A138" i="14"/>
  <c r="A143" i="14" a="1"/>
  <c r="A143" i="14"/>
  <c r="A146" i="14" a="1"/>
  <c r="A146" i="14"/>
  <c r="A38" i="12" a="1"/>
  <c r="A38" i="12"/>
  <c r="A34" i="12" a="1"/>
  <c r="A34" i="12"/>
  <c r="A30" i="12" a="1"/>
  <c r="A30" i="12"/>
  <c r="A26" i="12" a="1"/>
  <c r="A26" i="12"/>
  <c r="A22" i="12" a="1"/>
  <c r="A22" i="12"/>
  <c r="A18" i="12" a="1"/>
  <c r="A18" i="12"/>
  <c r="A14" i="12" a="1"/>
  <c r="A14" i="12"/>
  <c r="A10" i="12" a="1"/>
  <c r="A10" i="12"/>
  <c r="A6" i="12" a="1"/>
  <c r="A6" i="12"/>
  <c r="A31" i="13" a="1"/>
  <c r="A31" i="13"/>
  <c r="A27" i="13" a="1"/>
  <c r="A27" i="13"/>
  <c r="A23" i="13" a="1"/>
  <c r="A23" i="13"/>
  <c r="A19" i="13" a="1"/>
  <c r="A19" i="13"/>
  <c r="A15" i="13" a="1"/>
  <c r="A15" i="13"/>
  <c r="A11" i="13" a="1"/>
  <c r="A11" i="13"/>
  <c r="A7" i="13" a="1"/>
  <c r="A7" i="13"/>
  <c r="A31" i="15" a="1"/>
  <c r="A31" i="15"/>
  <c r="A27" i="15" a="1"/>
  <c r="A27" i="15"/>
  <c r="A23" i="15" a="1"/>
  <c r="A23" i="15"/>
  <c r="A19" i="15" a="1"/>
  <c r="A19" i="15"/>
  <c r="A15" i="15" a="1"/>
  <c r="A15" i="15"/>
  <c r="A11" i="15" a="1"/>
  <c r="A11" i="15"/>
  <c r="A7" i="15" a="1"/>
  <c r="A7" i="15"/>
  <c r="A17" i="16" a="1"/>
  <c r="A17" i="16"/>
  <c r="A13" i="16" a="1"/>
  <c r="A13" i="16"/>
  <c r="A9" i="16" a="1"/>
  <c r="A9" i="16"/>
  <c r="A6" i="16" a="1"/>
  <c r="A6" i="16"/>
  <c r="L170" i="6"/>
  <c r="L186" i="6"/>
  <c r="L194" i="6"/>
  <c r="L206" i="6"/>
  <c r="L222" i="6"/>
  <c r="G234" i="6"/>
  <c r="H234" i="6"/>
  <c r="G242" i="6"/>
  <c r="H242" i="6"/>
  <c r="G246" i="6"/>
  <c r="H246" i="6"/>
  <c r="G254" i="6"/>
  <c r="H254" i="6"/>
  <c r="G258" i="6"/>
  <c r="H258" i="6"/>
  <c r="G262" i="6"/>
  <c r="H262" i="6"/>
  <c r="G266" i="6"/>
  <c r="H266" i="6"/>
  <c r="G270" i="6"/>
  <c r="H270" i="6"/>
  <c r="K206" i="6"/>
  <c r="G210" i="6"/>
  <c r="H210" i="6"/>
  <c r="K222" i="6"/>
  <c r="G226" i="6"/>
  <c r="H226" i="6"/>
  <c r="L214" i="6"/>
  <c r="A4" i="14" a="1"/>
  <c r="A4" i="14"/>
  <c r="A8" i="14" a="1"/>
  <c r="A8" i="14"/>
  <c r="A12" i="14" a="1"/>
  <c r="A12" i="14"/>
  <c r="A16" i="14" a="1"/>
  <c r="A16" i="14"/>
  <c r="A20" i="14" a="1"/>
  <c r="A20" i="14"/>
  <c r="A24" i="14" a="1"/>
  <c r="A24" i="14"/>
  <c r="A28" i="14" a="1"/>
  <c r="A28" i="14"/>
  <c r="A32" i="14" a="1"/>
  <c r="A32" i="14"/>
  <c r="A36" i="14" a="1"/>
  <c r="A36" i="14"/>
  <c r="A40" i="14" a="1"/>
  <c r="A40" i="14"/>
  <c r="A44" i="14" a="1"/>
  <c r="A44" i="14"/>
  <c r="A48" i="14" a="1"/>
  <c r="A48" i="14"/>
  <c r="A52" i="14" a="1"/>
  <c r="A52" i="14"/>
  <c r="A56" i="14" a="1"/>
  <c r="A56" i="14"/>
  <c r="A60" i="14" a="1"/>
  <c r="A60" i="14"/>
  <c r="A64" i="14" a="1"/>
  <c r="A64" i="14"/>
  <c r="A68" i="14" a="1"/>
  <c r="A68" i="14"/>
  <c r="A72" i="14" a="1"/>
  <c r="A72" i="14"/>
  <c r="A76" i="14" a="1"/>
  <c r="A76" i="14"/>
  <c r="A80" i="14" a="1"/>
  <c r="A80" i="14"/>
  <c r="A85" i="14" a="1"/>
  <c r="A85" i="14"/>
  <c r="A88" i="14" a="1"/>
  <c r="A88" i="14"/>
  <c r="A93" i="14" a="1"/>
  <c r="A93" i="14"/>
  <c r="A96" i="14" a="1"/>
  <c r="A96" i="14"/>
  <c r="A101" i="14" a="1"/>
  <c r="A101" i="14"/>
  <c r="A104" i="14" a="1"/>
  <c r="A104" i="14"/>
  <c r="A109" i="14" a="1"/>
  <c r="A109" i="14"/>
  <c r="A112" i="14" a="1"/>
  <c r="A112" i="14"/>
  <c r="A117" i="14" a="1"/>
  <c r="A117" i="14"/>
  <c r="A120" i="14" a="1"/>
  <c r="A120" i="14"/>
  <c r="A125" i="14" a="1"/>
  <c r="A125" i="14"/>
  <c r="A128" i="14" a="1"/>
  <c r="A128" i="14"/>
  <c r="A133" i="14" a="1"/>
  <c r="A133" i="14"/>
  <c r="A136" i="14" a="1"/>
  <c r="A136" i="14"/>
  <c r="A141" i="14" a="1"/>
  <c r="A141" i="14"/>
  <c r="A144" i="14" a="1"/>
  <c r="A144" i="14"/>
  <c r="A149" i="14" a="1"/>
  <c r="A149" i="14"/>
  <c r="A37" i="12" a="1"/>
  <c r="A37" i="12"/>
  <c r="A33" i="12" a="1"/>
  <c r="A33" i="12"/>
  <c r="A29" i="12" a="1"/>
  <c r="A29" i="12"/>
  <c r="A25" i="12" a="1"/>
  <c r="A25" i="12"/>
  <c r="A21" i="12" a="1"/>
  <c r="A21" i="12"/>
  <c r="A17" i="12" a="1"/>
  <c r="A17" i="12"/>
  <c r="A13" i="12" a="1"/>
  <c r="A13" i="12"/>
  <c r="A9" i="12" a="1"/>
  <c r="A9" i="12"/>
  <c r="A5" i="12" a="1"/>
  <c r="A5" i="12"/>
  <c r="A30" i="13" a="1"/>
  <c r="A30" i="13"/>
  <c r="A26" i="13" a="1"/>
  <c r="A26" i="13"/>
  <c r="A22" i="13" a="1"/>
  <c r="A22" i="13"/>
  <c r="A18" i="13" a="1"/>
  <c r="A18" i="13"/>
  <c r="A14" i="13" a="1"/>
  <c r="A14" i="13"/>
  <c r="A10" i="13" a="1"/>
  <c r="A10" i="13"/>
  <c r="A6" i="13" a="1"/>
  <c r="A6" i="13"/>
  <c r="A30" i="15" a="1"/>
  <c r="A30" i="15"/>
  <c r="A26" i="15" a="1"/>
  <c r="A26" i="15"/>
  <c r="A22" i="15" a="1"/>
  <c r="A22" i="15"/>
  <c r="A18" i="15" a="1"/>
  <c r="A18" i="15"/>
  <c r="A14" i="15" a="1"/>
  <c r="A14" i="15"/>
  <c r="A10" i="15" a="1"/>
  <c r="A10" i="15"/>
  <c r="A6" i="15" a="1"/>
  <c r="A6" i="15"/>
  <c r="A16" i="16" a="1"/>
  <c r="A16" i="16"/>
  <c r="A12" i="16" a="1"/>
  <c r="A12" i="16"/>
  <c r="A5" i="16" a="1"/>
  <c r="A5" i="16"/>
  <c r="L175" i="6"/>
  <c r="L183" i="6"/>
  <c r="L191" i="6"/>
  <c r="G199" i="6"/>
  <c r="H199" i="6"/>
  <c r="G203" i="6"/>
  <c r="H203" i="6"/>
  <c r="G207" i="6"/>
  <c r="H207" i="6"/>
  <c r="G211" i="6"/>
  <c r="H211" i="6"/>
  <c r="G215" i="6"/>
  <c r="H215" i="6"/>
  <c r="G219" i="6"/>
  <c r="H219" i="6"/>
  <c r="G223" i="6"/>
  <c r="H223" i="6"/>
  <c r="G227" i="6"/>
  <c r="H227" i="6"/>
  <c r="G231" i="6"/>
  <c r="H231" i="6"/>
  <c r="G235" i="6"/>
  <c r="H235" i="6"/>
  <c r="G239" i="6"/>
  <c r="H239" i="6"/>
  <c r="G243" i="6"/>
  <c r="H243" i="6"/>
  <c r="G247" i="6"/>
  <c r="H247" i="6"/>
  <c r="G259" i="6"/>
  <c r="H259" i="6"/>
  <c r="G174" i="6"/>
  <c r="H174" i="6"/>
  <c r="G182" i="6"/>
  <c r="H182" i="6"/>
  <c r="G190" i="6"/>
  <c r="H190" i="6"/>
  <c r="G198" i="6"/>
  <c r="H198" i="6"/>
  <c r="G230" i="6"/>
  <c r="H230" i="6"/>
  <c r="G238" i="6"/>
  <c r="H238" i="6"/>
  <c r="L205" i="6"/>
  <c r="L169" i="6"/>
  <c r="A5" i="14" a="1"/>
  <c r="A5" i="14"/>
  <c r="A9" i="14" a="1"/>
  <c r="A9" i="14"/>
  <c r="A13" i="14" a="1"/>
  <c r="A13" i="14"/>
  <c r="A17" i="14" a="1"/>
  <c r="A17" i="14"/>
  <c r="A21" i="14" a="1"/>
  <c r="A21" i="14"/>
  <c r="A25" i="14" a="1"/>
  <c r="A25" i="14"/>
  <c r="A29" i="14" a="1"/>
  <c r="A29" i="14"/>
  <c r="A33" i="14" a="1"/>
  <c r="A33" i="14"/>
  <c r="A37" i="14" a="1"/>
  <c r="A37" i="14"/>
  <c r="A41" i="14" a="1"/>
  <c r="A41" i="14"/>
  <c r="A45" i="14" a="1"/>
  <c r="A45" i="14"/>
  <c r="A49" i="14" a="1"/>
  <c r="A49" i="14"/>
  <c r="A53" i="14" a="1"/>
  <c r="A53" i="14"/>
  <c r="A57" i="14" a="1"/>
  <c r="A57" i="14"/>
  <c r="A61" i="14" a="1"/>
  <c r="A61" i="14"/>
  <c r="A65" i="14" a="1"/>
  <c r="A65" i="14"/>
  <c r="A69" i="14" a="1"/>
  <c r="A69" i="14"/>
  <c r="A73" i="14" a="1"/>
  <c r="A73" i="14"/>
  <c r="A77" i="14" a="1"/>
  <c r="A77" i="14"/>
  <c r="A83" i="14" a="1"/>
  <c r="A83" i="14"/>
  <c r="A86" i="14" a="1"/>
  <c r="A86" i="14"/>
  <c r="A91" i="14" a="1"/>
  <c r="A91" i="14"/>
  <c r="A94" i="14" a="1"/>
  <c r="A94" i="14"/>
  <c r="A99" i="14" a="1"/>
  <c r="A99" i="14"/>
  <c r="A102" i="14" a="1"/>
  <c r="A102" i="14"/>
  <c r="A107" i="14" a="1"/>
  <c r="A107" i="14"/>
  <c r="A110" i="14" a="1"/>
  <c r="A110" i="14"/>
  <c r="A115" i="14" a="1"/>
  <c r="A115" i="14"/>
  <c r="A118" i="14" a="1"/>
  <c r="A118" i="14"/>
  <c r="A123" i="14" a="1"/>
  <c r="A123" i="14"/>
  <c r="A126" i="14" a="1"/>
  <c r="A126" i="14"/>
  <c r="A131" i="14" a="1"/>
  <c r="A131" i="14"/>
  <c r="A134" i="14" a="1"/>
  <c r="A134" i="14"/>
  <c r="A139" i="14" a="1"/>
  <c r="A139" i="14"/>
  <c r="A142" i="14" a="1"/>
  <c r="A142" i="14"/>
  <c r="A147" i="14" a="1"/>
  <c r="A147" i="14"/>
  <c r="A40" i="12" a="1"/>
  <c r="A40" i="12"/>
  <c r="A36" i="12" a="1"/>
  <c r="A36" i="12"/>
  <c r="A32" i="12" a="1"/>
  <c r="A32" i="12"/>
  <c r="A28" i="12" a="1"/>
  <c r="A28" i="12"/>
  <c r="A24" i="12" a="1"/>
  <c r="A24" i="12"/>
  <c r="A20" i="12" a="1"/>
  <c r="A20" i="12"/>
  <c r="A16" i="12" a="1"/>
  <c r="A16" i="12"/>
  <c r="A12" i="12" a="1"/>
  <c r="A12" i="12"/>
  <c r="A8" i="12" a="1"/>
  <c r="A8" i="12"/>
  <c r="A4" i="12" a="1"/>
  <c r="A4" i="12"/>
  <c r="A29" i="13" a="1"/>
  <c r="A29" i="13"/>
  <c r="A25" i="13" a="1"/>
  <c r="A25" i="13"/>
  <c r="A21" i="13" a="1"/>
  <c r="A21" i="13"/>
  <c r="A17" i="13" a="1"/>
  <c r="A17" i="13"/>
  <c r="A13" i="13" a="1"/>
  <c r="A13" i="13"/>
  <c r="A9" i="13" a="1"/>
  <c r="A9" i="13"/>
  <c r="A5" i="13" a="1"/>
  <c r="A5" i="13"/>
  <c r="A29" i="15" a="1"/>
  <c r="A29" i="15"/>
  <c r="A25" i="15" a="1"/>
  <c r="A25" i="15"/>
  <c r="A21" i="15" a="1"/>
  <c r="A21" i="15"/>
  <c r="A17" i="15" a="1"/>
  <c r="A17" i="15"/>
  <c r="A13" i="15" a="1"/>
  <c r="A13" i="15"/>
  <c r="A9" i="15" a="1"/>
  <c r="A9" i="15"/>
  <c r="A5" i="15" a="1"/>
  <c r="A5" i="15"/>
  <c r="A15" i="16" a="1"/>
  <c r="A15" i="16"/>
  <c r="A11" i="16" a="1"/>
  <c r="A11" i="16"/>
  <c r="A8" i="16" a="1"/>
  <c r="A8" i="16"/>
  <c r="A4" i="16" a="1"/>
  <c r="A4" i="16"/>
  <c r="G168" i="6"/>
  <c r="H168" i="6"/>
  <c r="G172" i="6"/>
  <c r="H172" i="6"/>
  <c r="G176" i="6"/>
  <c r="H176" i="6"/>
  <c r="G180" i="6"/>
  <c r="H180" i="6"/>
  <c r="G184" i="6"/>
  <c r="H184" i="6"/>
  <c r="G188" i="6"/>
  <c r="H188" i="6"/>
  <c r="G192" i="6"/>
  <c r="H192" i="6"/>
  <c r="G196" i="6"/>
  <c r="H196" i="6"/>
  <c r="G200" i="6"/>
  <c r="H200" i="6"/>
  <c r="G204" i="6"/>
  <c r="H204" i="6"/>
  <c r="G208" i="6"/>
  <c r="H208" i="6"/>
  <c r="G212" i="6"/>
  <c r="H212" i="6"/>
  <c r="G216" i="6"/>
  <c r="H216" i="6"/>
  <c r="G220" i="6"/>
  <c r="H220" i="6"/>
  <c r="G224" i="6"/>
  <c r="H224" i="6"/>
  <c r="G228" i="6"/>
  <c r="H228" i="6"/>
  <c r="G232" i="6"/>
  <c r="H232" i="6"/>
  <c r="G236" i="6"/>
  <c r="H236" i="6"/>
  <c r="G240" i="6"/>
  <c r="H240" i="6"/>
  <c r="G248" i="6"/>
  <c r="H248" i="6"/>
  <c r="L256" i="6"/>
  <c r="G171" i="6"/>
  <c r="H171" i="6"/>
  <c r="G179" i="6"/>
  <c r="H179" i="6"/>
  <c r="G187" i="6"/>
  <c r="H187" i="6"/>
  <c r="G195" i="6"/>
  <c r="H195" i="6"/>
  <c r="G202" i="6"/>
  <c r="H202" i="6"/>
  <c r="G218" i="6"/>
  <c r="H218" i="6"/>
  <c r="G244" i="6"/>
  <c r="H244" i="6"/>
  <c r="A6" i="14" a="1"/>
  <c r="A6" i="14"/>
  <c r="A10" i="14" a="1"/>
  <c r="A10" i="14"/>
  <c r="A14" i="14" a="1"/>
  <c r="A14" i="14"/>
  <c r="A18" i="14" a="1"/>
  <c r="A18" i="14"/>
  <c r="A22" i="14" a="1"/>
  <c r="A22" i="14"/>
  <c r="A26" i="14" a="1"/>
  <c r="A26" i="14"/>
  <c r="A30" i="14" a="1"/>
  <c r="A30" i="14"/>
  <c r="A34" i="14" a="1"/>
  <c r="A34" i="14"/>
  <c r="A38" i="14" a="1"/>
  <c r="A38" i="14"/>
  <c r="A42" i="14" a="1"/>
  <c r="A42" i="14"/>
  <c r="A46" i="14" a="1"/>
  <c r="A46" i="14"/>
  <c r="A50" i="14" a="1"/>
  <c r="A50" i="14"/>
  <c r="A54" i="14" a="1"/>
  <c r="A54" i="14"/>
  <c r="A58" i="14" a="1"/>
  <c r="A58" i="14"/>
  <c r="A62" i="14" a="1"/>
  <c r="A62" i="14"/>
  <c r="A66" i="14" a="1"/>
  <c r="A66" i="14"/>
  <c r="A70" i="14" a="1"/>
  <c r="A70" i="14"/>
  <c r="A74" i="14" a="1"/>
  <c r="A74" i="14"/>
  <c r="A78" i="14" a="1"/>
  <c r="A78" i="14"/>
  <c r="A81" i="14" a="1"/>
  <c r="A81" i="14"/>
  <c r="A84" i="14" a="1"/>
  <c r="A84" i="14"/>
  <c r="A89" i="14" a="1"/>
  <c r="A89" i="14"/>
  <c r="A92" i="14" a="1"/>
  <c r="A92" i="14"/>
  <c r="A97" i="14" a="1"/>
  <c r="A97" i="14"/>
  <c r="A100" i="14" a="1"/>
  <c r="A100" i="14"/>
  <c r="A105" i="14" a="1"/>
  <c r="A105" i="14"/>
  <c r="A108" i="14" a="1"/>
  <c r="A108" i="14"/>
  <c r="A113" i="14" a="1"/>
  <c r="A113" i="14"/>
  <c r="A116" i="14" a="1"/>
  <c r="A116" i="14"/>
  <c r="A121" i="14" a="1"/>
  <c r="A121" i="14"/>
  <c r="A124" i="14" a="1"/>
  <c r="A124" i="14"/>
  <c r="A129" i="14" a="1"/>
  <c r="A129" i="14"/>
  <c r="A132" i="14" a="1"/>
  <c r="A132" i="14"/>
  <c r="A137" i="14" a="1"/>
  <c r="A137" i="14"/>
  <c r="A140" i="14" a="1"/>
  <c r="A140" i="14"/>
  <c r="A145" i="14" a="1"/>
  <c r="A145" i="14"/>
  <c r="A148" i="14" a="1"/>
  <c r="A148" i="14"/>
  <c r="A39" i="12" a="1"/>
  <c r="A39" i="12"/>
  <c r="A35" i="12" a="1"/>
  <c r="A35" i="12"/>
  <c r="A31" i="12" a="1"/>
  <c r="A31" i="12"/>
  <c r="A27" i="12" a="1"/>
  <c r="A27" i="12"/>
  <c r="A23" i="12" a="1"/>
  <c r="A23" i="12"/>
  <c r="A19" i="12" a="1"/>
  <c r="A19" i="12"/>
  <c r="A15" i="12" a="1"/>
  <c r="A15" i="12"/>
  <c r="A11" i="12" a="1"/>
  <c r="A11" i="12"/>
  <c r="A7" i="12" a="1"/>
  <c r="A7" i="12"/>
  <c r="A32" i="13" a="1"/>
  <c r="A32" i="13"/>
  <c r="A28" i="13" a="1"/>
  <c r="A28" i="13"/>
  <c r="A24" i="13" a="1"/>
  <c r="A24" i="13"/>
  <c r="A20" i="13" a="1"/>
  <c r="A20" i="13"/>
  <c r="A16" i="13" a="1"/>
  <c r="A16" i="13"/>
  <c r="A12" i="13" a="1"/>
  <c r="A12" i="13"/>
  <c r="A8" i="13" a="1"/>
  <c r="A8" i="13"/>
  <c r="A4" i="13" a="1"/>
  <c r="A4" i="13"/>
  <c r="A28" i="15" a="1"/>
  <c r="A28" i="15"/>
  <c r="A24" i="15" a="1"/>
  <c r="A24" i="15"/>
  <c r="A20" i="15" a="1"/>
  <c r="A20" i="15"/>
  <c r="A16" i="15" a="1"/>
  <c r="A16" i="15"/>
  <c r="A12" i="15" a="1"/>
  <c r="A12" i="15"/>
  <c r="A8" i="15" a="1"/>
  <c r="A8" i="15"/>
  <c r="A4" i="15" a="1"/>
  <c r="A4" i="15"/>
  <c r="A14" i="16" a="1"/>
  <c r="A14" i="16"/>
  <c r="A10" i="16" a="1"/>
  <c r="A10" i="16"/>
  <c r="G173" i="6"/>
  <c r="H173" i="6"/>
  <c r="G177" i="6"/>
  <c r="H177" i="6"/>
  <c r="G181" i="6"/>
  <c r="H181" i="6"/>
  <c r="G185" i="6"/>
  <c r="H185" i="6"/>
  <c r="G189" i="6"/>
  <c r="H189" i="6"/>
  <c r="G193" i="6"/>
  <c r="H193" i="6"/>
  <c r="G197" i="6"/>
  <c r="H197" i="6"/>
  <c r="G201" i="6"/>
  <c r="H201" i="6"/>
  <c r="G209" i="6"/>
  <c r="H209" i="6"/>
  <c r="G213" i="6"/>
  <c r="H213" i="6"/>
  <c r="G217" i="6"/>
  <c r="H217" i="6"/>
  <c r="G221" i="6"/>
  <c r="H221" i="6"/>
  <c r="G225" i="6"/>
  <c r="H225" i="6"/>
  <c r="G229" i="6"/>
  <c r="H229" i="6"/>
  <c r="G233" i="6"/>
  <c r="H233" i="6"/>
  <c r="G237" i="6"/>
  <c r="H237" i="6"/>
  <c r="K241" i="6"/>
  <c r="I241" i="6"/>
  <c r="L241" i="6"/>
  <c r="G245" i="6"/>
  <c r="H245" i="6"/>
  <c r="G249" i="6"/>
  <c r="H249" i="6"/>
  <c r="G253" i="6"/>
  <c r="H253" i="6"/>
  <c r="G257" i="6"/>
  <c r="H257" i="6"/>
  <c r="G261" i="6"/>
  <c r="H261" i="6"/>
  <c r="G265" i="6"/>
  <c r="H265" i="6"/>
  <c r="G269" i="6"/>
  <c r="H269" i="6"/>
  <c r="L273" i="6"/>
  <c r="G273" i="6"/>
  <c r="H273" i="6"/>
  <c r="K250" i="6"/>
  <c r="I250" i="6"/>
  <c r="L250" i="6"/>
  <c r="G260" i="6"/>
  <c r="H260" i="6"/>
  <c r="I272" i="6"/>
  <c r="K272" i="6"/>
  <c r="G255" i="6"/>
  <c r="H255" i="6"/>
  <c r="G263" i="6"/>
  <c r="H263" i="6"/>
  <c r="G267" i="6"/>
  <c r="H267" i="6"/>
  <c r="G271" i="6"/>
  <c r="H271" i="6"/>
  <c r="L272" i="6"/>
  <c r="G252" i="6"/>
  <c r="H252" i="6"/>
  <c r="G264" i="6"/>
  <c r="H264" i="6"/>
  <c r="G251" i="6"/>
  <c r="H251" i="6"/>
  <c r="B2" i="13"/>
  <c r="B12" i="19"/>
  <c r="E9" i="18"/>
  <c r="E5" i="18" a="1"/>
  <c r="E5" i="18"/>
  <c r="B14" i="19" a="1"/>
  <c r="B14" i="19"/>
  <c r="B2" i="17" a="1"/>
  <c r="B2" i="17"/>
  <c r="L16" i="17" a="1"/>
  <c r="L16" i="17"/>
  <c r="J16" i="17" a="1"/>
  <c r="J16" i="17"/>
  <c r="I16" i="17" a="1"/>
  <c r="I16" i="17"/>
  <c r="E16" i="17" a="1"/>
  <c r="E16" i="17"/>
  <c r="B16" i="17" a="1"/>
  <c r="B16" i="17"/>
  <c r="I15" i="17" a="1"/>
  <c r="I15" i="17"/>
  <c r="D15" i="17" a="1"/>
  <c r="D15" i="17"/>
  <c r="L14" i="17" a="1"/>
  <c r="L14" i="17"/>
  <c r="F14" i="17" a="1"/>
  <c r="F14" i="17"/>
  <c r="C14" i="17" a="1"/>
  <c r="C14" i="17"/>
  <c r="J13" i="17" a="1"/>
  <c r="J13" i="17"/>
  <c r="E13" i="17" a="1"/>
  <c r="E13" i="17"/>
  <c r="B13" i="17" a="1"/>
  <c r="B13" i="17"/>
  <c r="I12" i="17" a="1"/>
  <c r="I12" i="17"/>
  <c r="D12" i="17" a="1"/>
  <c r="D12" i="17"/>
  <c r="L11" i="17" a="1"/>
  <c r="L11" i="17"/>
  <c r="I11" i="17" a="1"/>
  <c r="I11" i="17"/>
  <c r="D11" i="17" a="1"/>
  <c r="D11" i="17"/>
  <c r="L10" i="17" a="1"/>
  <c r="L10" i="17"/>
  <c r="I10" i="17" a="1"/>
  <c r="I10" i="17"/>
  <c r="D10" i="17" a="1"/>
  <c r="D10" i="17"/>
  <c r="L9" i="17" a="1"/>
  <c r="L9" i="17"/>
  <c r="I9" i="17" a="1"/>
  <c r="I9" i="17"/>
  <c r="D9" i="17" a="1"/>
  <c r="D9" i="17"/>
  <c r="L8" i="17" a="1"/>
  <c r="L8" i="17"/>
  <c r="I8" i="17" a="1"/>
  <c r="I8" i="17"/>
  <c r="D8" i="17" a="1"/>
  <c r="D8" i="17"/>
  <c r="L7" i="17" a="1"/>
  <c r="L7" i="17"/>
  <c r="F16" i="17" a="1"/>
  <c r="F16" i="17"/>
  <c r="C16" i="17" a="1"/>
  <c r="C16" i="17"/>
  <c r="J15" i="17" a="1"/>
  <c r="J15" i="17"/>
  <c r="K15" i="17"/>
  <c r="E15" i="17" a="1"/>
  <c r="E15" i="17"/>
  <c r="B15" i="17" a="1"/>
  <c r="B15" i="17"/>
  <c r="I14" i="17" a="1"/>
  <c r="I14" i="17"/>
  <c r="D14" i="17" a="1"/>
  <c r="D14" i="17"/>
  <c r="L13" i="17" a="1"/>
  <c r="L13" i="17"/>
  <c r="F13" i="17" a="1"/>
  <c r="F13" i="17"/>
  <c r="C13" i="17" a="1"/>
  <c r="C13" i="17"/>
  <c r="J12" i="17" a="1"/>
  <c r="J12" i="17"/>
  <c r="K12" i="17"/>
  <c r="E12" i="17" a="1"/>
  <c r="E12" i="17"/>
  <c r="B12" i="17" a="1"/>
  <c r="B12" i="17"/>
  <c r="E11" i="17" a="1"/>
  <c r="E11" i="17"/>
  <c r="B11" i="17" a="1"/>
  <c r="B11" i="17"/>
  <c r="E10" i="17" a="1"/>
  <c r="E10" i="17"/>
  <c r="B10" i="17" a="1"/>
  <c r="B10" i="17"/>
  <c r="E9" i="17" a="1"/>
  <c r="E9" i="17"/>
  <c r="B9" i="17" a="1"/>
  <c r="B9" i="17"/>
  <c r="E8" i="17" a="1"/>
  <c r="E8" i="17"/>
  <c r="B8" i="17" a="1"/>
  <c r="B8" i="17"/>
  <c r="E7" i="17" a="1"/>
  <c r="E7" i="17"/>
  <c r="B7" i="17" a="1"/>
  <c r="B7" i="17"/>
  <c r="B2" i="15"/>
  <c r="B2" i="14"/>
  <c r="B11" i="19"/>
  <c r="C9" i="19"/>
  <c r="E10" i="18"/>
  <c r="E7" i="18"/>
  <c r="D16" i="17" a="1"/>
  <c r="D16" i="17"/>
  <c r="L15" i="17" a="1"/>
  <c r="L15" i="17"/>
  <c r="F15" i="17" a="1"/>
  <c r="F15" i="17"/>
  <c r="C15" i="17" a="1"/>
  <c r="C15" i="17"/>
  <c r="J14" i="17" a="1"/>
  <c r="J14" i="17"/>
  <c r="K14" i="17"/>
  <c r="E14" i="17" a="1"/>
  <c r="E14" i="17"/>
  <c r="B14" i="17" a="1"/>
  <c r="B14" i="17"/>
  <c r="I13" i="17" a="1"/>
  <c r="I13" i="17"/>
  <c r="D13" i="17" a="1"/>
  <c r="D13" i="17"/>
  <c r="L12" i="17" a="1"/>
  <c r="L12" i="17"/>
  <c r="F12" i="17" a="1"/>
  <c r="F12" i="17"/>
  <c r="C12" i="17" a="1"/>
  <c r="C12" i="17"/>
  <c r="J11" i="17" a="1"/>
  <c r="J11" i="17"/>
  <c r="K11" i="17"/>
  <c r="F11" i="17" a="1"/>
  <c r="F11" i="17"/>
  <c r="C11" i="17" a="1"/>
  <c r="C11" i="17"/>
  <c r="J10" i="17" a="1"/>
  <c r="J10" i="17"/>
  <c r="K10" i="17"/>
  <c r="F10" i="17" a="1"/>
  <c r="F10" i="17"/>
  <c r="C10" i="17" a="1"/>
  <c r="C10" i="17"/>
  <c r="J9" i="17" a="1"/>
  <c r="J9" i="17"/>
  <c r="K9" i="17"/>
  <c r="F9" i="17" a="1"/>
  <c r="F9" i="17"/>
  <c r="C9" i="17" a="1"/>
  <c r="C9" i="17"/>
  <c r="J8" i="17" a="1"/>
  <c r="J8" i="17"/>
  <c r="K8" i="17"/>
  <c r="F8" i="17" a="1"/>
  <c r="F8" i="17"/>
  <c r="C8" i="17" a="1"/>
  <c r="C8" i="17"/>
  <c r="J7" i="17" a="1"/>
  <c r="J7" i="17"/>
  <c r="C7" i="17" a="1"/>
  <c r="C7" i="17"/>
  <c r="D7" i="17" a="1"/>
  <c r="D7" i="17"/>
  <c r="F7" i="17" a="1"/>
  <c r="F7" i="17"/>
  <c r="K17" i="17"/>
  <c r="K18" i="17"/>
  <c r="K19" i="17"/>
  <c r="K20" i="17"/>
  <c r="K21" i="17"/>
  <c r="K22" i="17"/>
  <c r="K23" i="17"/>
  <c r="K24" i="17"/>
  <c r="K25" i="17"/>
  <c r="K26" i="17"/>
  <c r="I7" i="17" a="1"/>
  <c r="I7" i="17"/>
  <c r="B18" i="20"/>
  <c r="D6" i="20"/>
  <c r="O6" i="20"/>
  <c r="F57" i="20"/>
  <c r="E57" i="20"/>
  <c r="D57" i="20"/>
  <c r="O38" i="20"/>
  <c r="O37" i="20"/>
  <c r="B50" i="20"/>
  <c r="E50" i="20"/>
  <c r="E38" i="20"/>
  <c r="Q6" i="20"/>
  <c r="D38" i="20" a="1"/>
  <c r="D38" i="20"/>
  <c r="E39" i="20"/>
  <c r="Q7" i="20"/>
  <c r="D39" i="20" a="1"/>
  <c r="D39" i="20"/>
  <c r="E40" i="20"/>
  <c r="Q8" i="20"/>
  <c r="D40" i="20" a="1"/>
  <c r="D40" i="20"/>
  <c r="E41" i="20"/>
  <c r="Q9" i="20"/>
  <c r="D41" i="20" a="1"/>
  <c r="D41" i="20"/>
  <c r="E42" i="20"/>
  <c r="Q10" i="20"/>
  <c r="D42" i="20" a="1"/>
  <c r="D42" i="20"/>
  <c r="E43" i="20"/>
  <c r="Q11" i="20"/>
  <c r="D43" i="20" a="1"/>
  <c r="D43" i="20"/>
  <c r="E44" i="20"/>
  <c r="Q12" i="20"/>
  <c r="D44" i="20" a="1"/>
  <c r="D44" i="20"/>
  <c r="E45" i="20"/>
  <c r="Q13" i="20"/>
  <c r="D45" i="20" a="1"/>
  <c r="D45" i="20"/>
  <c r="E46" i="20"/>
  <c r="Q14" i="20"/>
  <c r="D46" i="20" a="1"/>
  <c r="D46" i="20"/>
  <c r="E47" i="20"/>
  <c r="Q15" i="20"/>
  <c r="D47" i="20" a="1"/>
  <c r="D47" i="20"/>
  <c r="E48" i="20"/>
  <c r="Q16" i="20"/>
  <c r="D48" i="20" a="1"/>
  <c r="D48" i="20"/>
  <c r="E49" i="20"/>
  <c r="Q17" i="20"/>
  <c r="D49" i="20" a="1"/>
  <c r="D49" i="20"/>
  <c r="D33" i="20" a="1"/>
  <c r="D33" i="20"/>
  <c r="C33" i="20" a="1"/>
  <c r="C33" i="20"/>
  <c r="B33" i="20" a="1"/>
  <c r="B33" i="20"/>
  <c r="D32" i="20" a="1"/>
  <c r="D32" i="20"/>
  <c r="C32" i="20" a="1"/>
  <c r="C32" i="20"/>
  <c r="B32" i="20" a="1"/>
  <c r="B32" i="20"/>
  <c r="D31" i="20" a="1"/>
  <c r="D31" i="20"/>
  <c r="C31" i="20" a="1"/>
  <c r="C31" i="20"/>
  <c r="B31" i="20" a="1"/>
  <c r="B31" i="20"/>
  <c r="D30" i="20" a="1"/>
  <c r="D30" i="20"/>
  <c r="C30" i="20" a="1"/>
  <c r="C30" i="20"/>
  <c r="B30" i="20" a="1"/>
  <c r="B30" i="20"/>
  <c r="D29" i="20" a="1"/>
  <c r="D29" i="20"/>
  <c r="C29" i="20" a="1"/>
  <c r="C29" i="20"/>
  <c r="B29" i="20" a="1"/>
  <c r="B29" i="20"/>
  <c r="D28" i="20" a="1"/>
  <c r="D28" i="20"/>
  <c r="C28" i="20" a="1"/>
  <c r="C28" i="20"/>
  <c r="B28" i="20" a="1"/>
  <c r="B28" i="20"/>
  <c r="D27" i="20" a="1"/>
  <c r="D27" i="20"/>
  <c r="C27" i="20" a="1"/>
  <c r="C27" i="20"/>
  <c r="B27" i="20" a="1"/>
  <c r="B27" i="20"/>
  <c r="D26" i="20" a="1"/>
  <c r="D26" i="20"/>
  <c r="C26" i="20" a="1"/>
  <c r="C26" i="20"/>
  <c r="B26" i="20" a="1"/>
  <c r="B26" i="20"/>
  <c r="D25" i="20" a="1"/>
  <c r="D25" i="20"/>
  <c r="C25" i="20" a="1"/>
  <c r="C25" i="20"/>
  <c r="B25" i="20" a="1"/>
  <c r="B25" i="20"/>
  <c r="D24" i="20" a="1"/>
  <c r="D24" i="20"/>
  <c r="C24" i="20" a="1"/>
  <c r="C24" i="20"/>
  <c r="B24" i="20" a="1"/>
  <c r="B24" i="20"/>
  <c r="D23" i="20" a="1"/>
  <c r="D23" i="20"/>
  <c r="C23" i="20" a="1"/>
  <c r="C23" i="20"/>
  <c r="B23" i="20" a="1"/>
  <c r="B23" i="20"/>
  <c r="D22" i="20" a="1"/>
  <c r="D22" i="20"/>
  <c r="D34" i="20"/>
  <c r="C22" i="20" a="1"/>
  <c r="C22" i="20"/>
  <c r="B22" i="20" a="1"/>
  <c r="B22" i="20"/>
  <c r="F7" i="18"/>
  <c r="F8" i="18"/>
  <c r="F9" i="18"/>
  <c r="F10" i="18"/>
  <c r="C10" i="19"/>
  <c r="C11" i="19"/>
  <c r="C12" i="19"/>
  <c r="C13" i="19"/>
  <c r="L17" i="16" a="1"/>
  <c r="L17" i="16"/>
  <c r="I17" i="16" a="1"/>
  <c r="I17" i="16"/>
  <c r="K17" i="16"/>
  <c r="F17" i="16" a="1"/>
  <c r="F17" i="16"/>
  <c r="E17" i="16" a="1"/>
  <c r="E17" i="16"/>
  <c r="D17" i="16" a="1"/>
  <c r="D17" i="16"/>
  <c r="C17" i="16" a="1"/>
  <c r="C17" i="16"/>
  <c r="B17" i="16" a="1"/>
  <c r="B17" i="16"/>
  <c r="L16" i="16" a="1"/>
  <c r="L16" i="16"/>
  <c r="J16" i="16" a="1"/>
  <c r="J16" i="16"/>
  <c r="I16" i="16" a="1"/>
  <c r="I16" i="16"/>
  <c r="F16" i="16" a="1"/>
  <c r="F16" i="16"/>
  <c r="E16" i="16" a="1"/>
  <c r="E16" i="16"/>
  <c r="D16" i="16" a="1"/>
  <c r="D16" i="16"/>
  <c r="C16" i="16" a="1"/>
  <c r="C16" i="16"/>
  <c r="B16" i="16" a="1"/>
  <c r="B16" i="16"/>
  <c r="L15" i="16" a="1"/>
  <c r="L15" i="16"/>
  <c r="J15" i="16" a="1"/>
  <c r="J15" i="16"/>
  <c r="I15" i="16" a="1"/>
  <c r="I15" i="16"/>
  <c r="F15" i="16" a="1"/>
  <c r="F15" i="16"/>
  <c r="E15" i="16" a="1"/>
  <c r="E15" i="16"/>
  <c r="D15" i="16" a="1"/>
  <c r="D15" i="16"/>
  <c r="C15" i="16" a="1"/>
  <c r="C15" i="16"/>
  <c r="B15" i="16" a="1"/>
  <c r="B15" i="16"/>
  <c r="L14" i="16" a="1"/>
  <c r="L14" i="16"/>
  <c r="J14" i="16" a="1"/>
  <c r="J14" i="16"/>
  <c r="I14" i="16" a="1"/>
  <c r="I14" i="16"/>
  <c r="F14" i="16" a="1"/>
  <c r="F14" i="16"/>
  <c r="E14" i="16" a="1"/>
  <c r="E14" i="16"/>
  <c r="D14" i="16" a="1"/>
  <c r="D14" i="16"/>
  <c r="C14" i="16" a="1"/>
  <c r="C14" i="16"/>
  <c r="B14" i="16" a="1"/>
  <c r="B14" i="16"/>
  <c r="L13" i="16" a="1"/>
  <c r="L13" i="16"/>
  <c r="J13" i="16" a="1"/>
  <c r="J13" i="16"/>
  <c r="I13" i="16" a="1"/>
  <c r="I13" i="16"/>
  <c r="F13" i="16" a="1"/>
  <c r="F13" i="16"/>
  <c r="E13" i="16" a="1"/>
  <c r="E13" i="16"/>
  <c r="D13" i="16" a="1"/>
  <c r="D13" i="16"/>
  <c r="C13" i="16" a="1"/>
  <c r="C13" i="16"/>
  <c r="B13" i="16" a="1"/>
  <c r="B13" i="16"/>
  <c r="L12" i="16" a="1"/>
  <c r="L12" i="16"/>
  <c r="J12" i="16" a="1"/>
  <c r="J12" i="16"/>
  <c r="I12" i="16" a="1"/>
  <c r="I12" i="16"/>
  <c r="F12" i="16" a="1"/>
  <c r="F12" i="16"/>
  <c r="E12" i="16" a="1"/>
  <c r="E12" i="16"/>
  <c r="D12" i="16" a="1"/>
  <c r="D12" i="16"/>
  <c r="C12" i="16" a="1"/>
  <c r="C12" i="16"/>
  <c r="B12" i="16" a="1"/>
  <c r="B12" i="16"/>
  <c r="L11" i="16" a="1"/>
  <c r="L11" i="16"/>
  <c r="J11" i="16" a="1"/>
  <c r="J11" i="16"/>
  <c r="I11" i="16" a="1"/>
  <c r="I11" i="16"/>
  <c r="F11" i="16" a="1"/>
  <c r="F11" i="16"/>
  <c r="E11" i="16" a="1"/>
  <c r="E11" i="16"/>
  <c r="D11" i="16" a="1"/>
  <c r="D11" i="16"/>
  <c r="C11" i="16" a="1"/>
  <c r="C11" i="16"/>
  <c r="B11" i="16" a="1"/>
  <c r="B11" i="16"/>
  <c r="L10" i="16" a="1"/>
  <c r="L10" i="16"/>
  <c r="J10" i="16" a="1"/>
  <c r="J10" i="16"/>
  <c r="I10" i="16" a="1"/>
  <c r="I10" i="16"/>
  <c r="F10" i="16" a="1"/>
  <c r="F10" i="16"/>
  <c r="E10" i="16" a="1"/>
  <c r="E10" i="16"/>
  <c r="D10" i="16" a="1"/>
  <c r="D10" i="16"/>
  <c r="C10" i="16" a="1"/>
  <c r="C10" i="16"/>
  <c r="B10" i="16" a="1"/>
  <c r="B10" i="16"/>
  <c r="L9" i="16" a="1"/>
  <c r="L9" i="16"/>
  <c r="J9" i="16" a="1"/>
  <c r="J9" i="16"/>
  <c r="I9" i="16" a="1"/>
  <c r="I9" i="16"/>
  <c r="F9" i="16" a="1"/>
  <c r="F9" i="16"/>
  <c r="E9" i="16" a="1"/>
  <c r="E9" i="16"/>
  <c r="D9" i="16" a="1"/>
  <c r="D9" i="16"/>
  <c r="C9" i="16" a="1"/>
  <c r="C9" i="16"/>
  <c r="B9" i="16" a="1"/>
  <c r="B9" i="16"/>
  <c r="L8" i="16" a="1"/>
  <c r="L8" i="16"/>
  <c r="J8" i="16" a="1"/>
  <c r="J8" i="16"/>
  <c r="I8" i="16" a="1"/>
  <c r="I8" i="16"/>
  <c r="F8" i="16" a="1"/>
  <c r="F8" i="16"/>
  <c r="E8" i="16" a="1"/>
  <c r="E8" i="16"/>
  <c r="D8" i="16" a="1"/>
  <c r="D8" i="16"/>
  <c r="C8" i="16" a="1"/>
  <c r="C8" i="16"/>
  <c r="B8" i="16" a="1"/>
  <c r="B8" i="16"/>
  <c r="L7" i="16" a="1"/>
  <c r="L7" i="16"/>
  <c r="J7" i="16" a="1"/>
  <c r="J7" i="16"/>
  <c r="I7" i="16" a="1"/>
  <c r="I7" i="16"/>
  <c r="F7" i="16" a="1"/>
  <c r="F7" i="16"/>
  <c r="E7" i="16" a="1"/>
  <c r="E7" i="16"/>
  <c r="D7" i="16" a="1"/>
  <c r="D7" i="16"/>
  <c r="C7" i="16" a="1"/>
  <c r="C7" i="16"/>
  <c r="B7" i="16" a="1"/>
  <c r="B7" i="16"/>
  <c r="L6" i="16" a="1"/>
  <c r="L6" i="16"/>
  <c r="I6" i="16" a="1"/>
  <c r="I6" i="16"/>
  <c r="K6" i="16"/>
  <c r="F6" i="16" a="1"/>
  <c r="F6" i="16"/>
  <c r="E6" i="16" a="1"/>
  <c r="E6" i="16"/>
  <c r="D6" i="16" a="1"/>
  <c r="D6" i="16"/>
  <c r="C6" i="16" a="1"/>
  <c r="C6" i="16"/>
  <c r="B6" i="16" a="1"/>
  <c r="B6" i="16"/>
  <c r="L5" i="16" a="1"/>
  <c r="L5" i="16"/>
  <c r="I5" i="16" a="1"/>
  <c r="I5" i="16"/>
  <c r="K5" i="16"/>
  <c r="F5" i="16" a="1"/>
  <c r="F5" i="16"/>
  <c r="E5" i="16" a="1"/>
  <c r="E5" i="16"/>
  <c r="D5" i="16" a="1"/>
  <c r="D5" i="16"/>
  <c r="C5" i="16" a="1"/>
  <c r="C5" i="16"/>
  <c r="B5" i="16" a="1"/>
  <c r="B5" i="16"/>
  <c r="L4" i="16" a="1"/>
  <c r="L4" i="16"/>
  <c r="J4" i="16" a="1"/>
  <c r="J4" i="16"/>
  <c r="I4" i="16" a="1"/>
  <c r="I4" i="16"/>
  <c r="F4" i="16" a="1"/>
  <c r="F4" i="16"/>
  <c r="E4" i="16" a="1"/>
  <c r="E4" i="16"/>
  <c r="D4" i="16" a="1"/>
  <c r="D4" i="16"/>
  <c r="C4" i="16" a="1"/>
  <c r="C4" i="16"/>
  <c r="B4" i="16" a="1"/>
  <c r="B4" i="16"/>
  <c r="L32" i="13" a="1"/>
  <c r="L32" i="13"/>
  <c r="J32" i="13" a="1"/>
  <c r="J32" i="13"/>
  <c r="I32" i="13" a="1"/>
  <c r="I32" i="13"/>
  <c r="F32" i="13" a="1"/>
  <c r="F32" i="13"/>
  <c r="E32" i="13" a="1"/>
  <c r="E32" i="13"/>
  <c r="D32" i="13" a="1"/>
  <c r="D32" i="13"/>
  <c r="C32" i="13" a="1"/>
  <c r="C32" i="13"/>
  <c r="B32" i="13" a="1"/>
  <c r="B32" i="13"/>
  <c r="L31" i="13" a="1"/>
  <c r="L31" i="13"/>
  <c r="J31" i="13" a="1"/>
  <c r="J31" i="13"/>
  <c r="I31" i="13" a="1"/>
  <c r="I31" i="13"/>
  <c r="F31" i="13" a="1"/>
  <c r="F31" i="13"/>
  <c r="E31" i="13" a="1"/>
  <c r="E31" i="13"/>
  <c r="D31" i="13" a="1"/>
  <c r="D31" i="13"/>
  <c r="C31" i="13" a="1"/>
  <c r="C31" i="13"/>
  <c r="B31" i="13" a="1"/>
  <c r="B31" i="13"/>
  <c r="L30" i="13" a="1"/>
  <c r="L30" i="13"/>
  <c r="J30" i="13" a="1"/>
  <c r="J30" i="13"/>
  <c r="I30" i="13" a="1"/>
  <c r="I30" i="13"/>
  <c r="F30" i="13" a="1"/>
  <c r="F30" i="13"/>
  <c r="E30" i="13" a="1"/>
  <c r="E30" i="13"/>
  <c r="D30" i="13" a="1"/>
  <c r="D30" i="13"/>
  <c r="C30" i="13" a="1"/>
  <c r="C30" i="13"/>
  <c r="B30" i="13" a="1"/>
  <c r="B30" i="13"/>
  <c r="L29" i="13" a="1"/>
  <c r="L29" i="13"/>
  <c r="J29" i="13" a="1"/>
  <c r="J29" i="13"/>
  <c r="I29" i="13" a="1"/>
  <c r="I29" i="13"/>
  <c r="F29" i="13" a="1"/>
  <c r="F29" i="13"/>
  <c r="E29" i="13" a="1"/>
  <c r="E29" i="13"/>
  <c r="D29" i="13" a="1"/>
  <c r="D29" i="13"/>
  <c r="C29" i="13" a="1"/>
  <c r="C29" i="13"/>
  <c r="B29" i="13" a="1"/>
  <c r="B29" i="13"/>
  <c r="L28" i="13" a="1"/>
  <c r="L28" i="13"/>
  <c r="J28" i="13" a="1"/>
  <c r="J28" i="13"/>
  <c r="I28" i="13" a="1"/>
  <c r="I28" i="13"/>
  <c r="F28" i="13" a="1"/>
  <c r="F28" i="13"/>
  <c r="E28" i="13" a="1"/>
  <c r="E28" i="13"/>
  <c r="D28" i="13" a="1"/>
  <c r="D28" i="13"/>
  <c r="C28" i="13" a="1"/>
  <c r="C28" i="13"/>
  <c r="B28" i="13" a="1"/>
  <c r="B28" i="13"/>
  <c r="L27" i="13" a="1"/>
  <c r="L27" i="13"/>
  <c r="J27" i="13" a="1"/>
  <c r="J27" i="13"/>
  <c r="I27" i="13" a="1"/>
  <c r="I27" i="13"/>
  <c r="F27" i="13" a="1"/>
  <c r="F27" i="13"/>
  <c r="E27" i="13" a="1"/>
  <c r="E27" i="13"/>
  <c r="D27" i="13" a="1"/>
  <c r="D27" i="13"/>
  <c r="C27" i="13" a="1"/>
  <c r="C27" i="13"/>
  <c r="B27" i="13" a="1"/>
  <c r="B27" i="13"/>
  <c r="L26" i="13" a="1"/>
  <c r="L26" i="13"/>
  <c r="J26" i="13" a="1"/>
  <c r="J26" i="13"/>
  <c r="I26" i="13" a="1"/>
  <c r="I26" i="13"/>
  <c r="F26" i="13" a="1"/>
  <c r="F26" i="13"/>
  <c r="E26" i="13" a="1"/>
  <c r="E26" i="13"/>
  <c r="D26" i="13" a="1"/>
  <c r="D26" i="13"/>
  <c r="C26" i="13" a="1"/>
  <c r="C26" i="13"/>
  <c r="B26" i="13" a="1"/>
  <c r="B26" i="13"/>
  <c r="L25" i="13" a="1"/>
  <c r="L25" i="13"/>
  <c r="J25" i="13" a="1"/>
  <c r="J25" i="13"/>
  <c r="I25" i="13" a="1"/>
  <c r="I25" i="13"/>
  <c r="F25" i="13" a="1"/>
  <c r="F25" i="13"/>
  <c r="E25" i="13" a="1"/>
  <c r="E25" i="13"/>
  <c r="D25" i="13" a="1"/>
  <c r="D25" i="13"/>
  <c r="C25" i="13" a="1"/>
  <c r="C25" i="13"/>
  <c r="B25" i="13" a="1"/>
  <c r="B25" i="13"/>
  <c r="L24" i="13" a="1"/>
  <c r="L24" i="13"/>
  <c r="J24" i="13" a="1"/>
  <c r="J24" i="13"/>
  <c r="I24" i="13" a="1"/>
  <c r="I24" i="13"/>
  <c r="F24" i="13" a="1"/>
  <c r="F24" i="13"/>
  <c r="E24" i="13" a="1"/>
  <c r="E24" i="13"/>
  <c r="D24" i="13" a="1"/>
  <c r="D24" i="13"/>
  <c r="C24" i="13" a="1"/>
  <c r="C24" i="13"/>
  <c r="B24" i="13" a="1"/>
  <c r="B24" i="13"/>
  <c r="L23" i="13" a="1"/>
  <c r="L23" i="13"/>
  <c r="J23" i="13" a="1"/>
  <c r="J23" i="13"/>
  <c r="I23" i="13" a="1"/>
  <c r="I23" i="13"/>
  <c r="F23" i="13" a="1"/>
  <c r="F23" i="13"/>
  <c r="E23" i="13" a="1"/>
  <c r="E23" i="13"/>
  <c r="D23" i="13" a="1"/>
  <c r="D23" i="13"/>
  <c r="C23" i="13" a="1"/>
  <c r="C23" i="13"/>
  <c r="B23" i="13" a="1"/>
  <c r="B23" i="13"/>
  <c r="L22" i="13" a="1"/>
  <c r="L22" i="13"/>
  <c r="J22" i="13" a="1"/>
  <c r="J22" i="13"/>
  <c r="I22" i="13" a="1"/>
  <c r="I22" i="13"/>
  <c r="F22" i="13" a="1"/>
  <c r="F22" i="13"/>
  <c r="E22" i="13" a="1"/>
  <c r="E22" i="13"/>
  <c r="D22" i="13" a="1"/>
  <c r="D22" i="13"/>
  <c r="C22" i="13" a="1"/>
  <c r="C22" i="13"/>
  <c r="B22" i="13" a="1"/>
  <c r="B22" i="13"/>
  <c r="L21" i="13" a="1"/>
  <c r="L21" i="13"/>
  <c r="J21" i="13" a="1"/>
  <c r="J21" i="13"/>
  <c r="I21" i="13" a="1"/>
  <c r="I21" i="13"/>
  <c r="F21" i="13" a="1"/>
  <c r="F21" i="13"/>
  <c r="E21" i="13" a="1"/>
  <c r="E21" i="13"/>
  <c r="D21" i="13" a="1"/>
  <c r="D21" i="13"/>
  <c r="C21" i="13" a="1"/>
  <c r="C21" i="13"/>
  <c r="B21" i="13" a="1"/>
  <c r="B21" i="13"/>
  <c r="L20" i="13" a="1"/>
  <c r="L20" i="13"/>
  <c r="J20" i="13" a="1"/>
  <c r="J20" i="13"/>
  <c r="I20" i="13" a="1"/>
  <c r="I20" i="13"/>
  <c r="F20" i="13" a="1"/>
  <c r="F20" i="13"/>
  <c r="E20" i="13" a="1"/>
  <c r="E20" i="13"/>
  <c r="D20" i="13" a="1"/>
  <c r="D20" i="13"/>
  <c r="C20" i="13" a="1"/>
  <c r="C20" i="13"/>
  <c r="B20" i="13" a="1"/>
  <c r="B20" i="13"/>
  <c r="L19" i="13" a="1"/>
  <c r="L19" i="13"/>
  <c r="J19" i="13" a="1"/>
  <c r="J19" i="13"/>
  <c r="I19" i="13" a="1"/>
  <c r="I19" i="13"/>
  <c r="F19" i="13" a="1"/>
  <c r="F19" i="13"/>
  <c r="E19" i="13" a="1"/>
  <c r="E19" i="13"/>
  <c r="D19" i="13" a="1"/>
  <c r="D19" i="13"/>
  <c r="C19" i="13" a="1"/>
  <c r="C19" i="13"/>
  <c r="B19" i="13" a="1"/>
  <c r="B19" i="13"/>
  <c r="L18" i="13" a="1"/>
  <c r="L18" i="13"/>
  <c r="J18" i="13" a="1"/>
  <c r="J18" i="13"/>
  <c r="I18" i="13" a="1"/>
  <c r="I18" i="13"/>
  <c r="F18" i="13" a="1"/>
  <c r="F18" i="13"/>
  <c r="E18" i="13" a="1"/>
  <c r="E18" i="13"/>
  <c r="D18" i="13" a="1"/>
  <c r="D18" i="13"/>
  <c r="C18" i="13" a="1"/>
  <c r="C18" i="13"/>
  <c r="B18" i="13" a="1"/>
  <c r="B18" i="13"/>
  <c r="L17" i="13" a="1"/>
  <c r="L17" i="13"/>
  <c r="I17" i="13" a="1"/>
  <c r="I17" i="13"/>
  <c r="K17" i="13"/>
  <c r="F17" i="13" a="1"/>
  <c r="F17" i="13"/>
  <c r="E17" i="13" a="1"/>
  <c r="E17" i="13"/>
  <c r="D17" i="13" a="1"/>
  <c r="D17" i="13"/>
  <c r="C17" i="13" a="1"/>
  <c r="C17" i="13"/>
  <c r="B17" i="13" a="1"/>
  <c r="B17" i="13"/>
  <c r="L16" i="13" a="1"/>
  <c r="L16" i="13"/>
  <c r="J16" i="13" a="1"/>
  <c r="J16" i="13"/>
  <c r="I16" i="13" a="1"/>
  <c r="I16" i="13"/>
  <c r="F16" i="13" a="1"/>
  <c r="F16" i="13"/>
  <c r="E16" i="13" a="1"/>
  <c r="E16" i="13"/>
  <c r="D16" i="13" a="1"/>
  <c r="D16" i="13"/>
  <c r="C16" i="13" a="1"/>
  <c r="C16" i="13"/>
  <c r="B16" i="13" a="1"/>
  <c r="B16" i="13"/>
  <c r="L15" i="13" a="1"/>
  <c r="L15" i="13"/>
  <c r="J15" i="13" a="1"/>
  <c r="J15" i="13"/>
  <c r="I15" i="13" a="1"/>
  <c r="I15" i="13"/>
  <c r="F15" i="13" a="1"/>
  <c r="F15" i="13"/>
  <c r="E15" i="13" a="1"/>
  <c r="E15" i="13"/>
  <c r="D15" i="13" a="1"/>
  <c r="D15" i="13"/>
  <c r="C15" i="13" a="1"/>
  <c r="C15" i="13"/>
  <c r="B15" i="13" a="1"/>
  <c r="B15" i="13"/>
  <c r="L14" i="13" a="1"/>
  <c r="L14" i="13"/>
  <c r="J14" i="13" a="1"/>
  <c r="J14" i="13"/>
  <c r="I14" i="13" a="1"/>
  <c r="I14" i="13"/>
  <c r="F14" i="13" a="1"/>
  <c r="F14" i="13"/>
  <c r="E14" i="13" a="1"/>
  <c r="E14" i="13"/>
  <c r="D14" i="13" a="1"/>
  <c r="D14" i="13"/>
  <c r="C14" i="13" a="1"/>
  <c r="C14" i="13"/>
  <c r="B14" i="13" a="1"/>
  <c r="B14" i="13"/>
  <c r="L13" i="13" a="1"/>
  <c r="L13" i="13"/>
  <c r="J13" i="13" a="1"/>
  <c r="J13" i="13"/>
  <c r="I13" i="13" a="1"/>
  <c r="I13" i="13"/>
  <c r="F13" i="13" a="1"/>
  <c r="F13" i="13"/>
  <c r="E13" i="13" a="1"/>
  <c r="E13" i="13"/>
  <c r="D13" i="13" a="1"/>
  <c r="D13" i="13"/>
  <c r="C13" i="13" a="1"/>
  <c r="C13" i="13"/>
  <c r="B13" i="13" a="1"/>
  <c r="B13" i="13"/>
  <c r="L12" i="13" a="1"/>
  <c r="L12" i="13"/>
  <c r="J12" i="13" a="1"/>
  <c r="J12" i="13"/>
  <c r="I12" i="13" a="1"/>
  <c r="I12" i="13"/>
  <c r="F12" i="13" a="1"/>
  <c r="F12" i="13"/>
  <c r="E12" i="13" a="1"/>
  <c r="E12" i="13"/>
  <c r="D12" i="13" a="1"/>
  <c r="D12" i="13"/>
  <c r="C12" i="13" a="1"/>
  <c r="C12" i="13"/>
  <c r="B12" i="13" a="1"/>
  <c r="B12" i="13"/>
  <c r="L11" i="13" a="1"/>
  <c r="L11" i="13"/>
  <c r="J11" i="13" a="1"/>
  <c r="J11" i="13"/>
  <c r="I11" i="13" a="1"/>
  <c r="I11" i="13"/>
  <c r="F11" i="13" a="1"/>
  <c r="F11" i="13"/>
  <c r="E11" i="13" a="1"/>
  <c r="E11" i="13"/>
  <c r="D11" i="13" a="1"/>
  <c r="D11" i="13"/>
  <c r="C11" i="13" a="1"/>
  <c r="C11" i="13"/>
  <c r="B11" i="13" a="1"/>
  <c r="B11" i="13"/>
  <c r="L10" i="13" a="1"/>
  <c r="L10" i="13"/>
  <c r="J10" i="13" a="1"/>
  <c r="J10" i="13"/>
  <c r="I10" i="13" a="1"/>
  <c r="I10" i="13"/>
  <c r="F10" i="13" a="1"/>
  <c r="F10" i="13"/>
  <c r="E10" i="13" a="1"/>
  <c r="E10" i="13"/>
  <c r="D10" i="13" a="1"/>
  <c r="D10" i="13"/>
  <c r="C10" i="13" a="1"/>
  <c r="C10" i="13"/>
  <c r="B10" i="13" a="1"/>
  <c r="B10" i="13"/>
  <c r="L9" i="13" a="1"/>
  <c r="L9" i="13"/>
  <c r="J9" i="13" a="1"/>
  <c r="J9" i="13"/>
  <c r="I9" i="13" a="1"/>
  <c r="I9" i="13"/>
  <c r="F9" i="13" a="1"/>
  <c r="F9" i="13"/>
  <c r="E9" i="13" a="1"/>
  <c r="E9" i="13"/>
  <c r="D9" i="13" a="1"/>
  <c r="D9" i="13"/>
  <c r="C9" i="13" a="1"/>
  <c r="C9" i="13"/>
  <c r="B9" i="13" a="1"/>
  <c r="B9" i="13"/>
  <c r="L8" i="13" a="1"/>
  <c r="L8" i="13"/>
  <c r="J8" i="13" a="1"/>
  <c r="J8" i="13"/>
  <c r="I8" i="13" a="1"/>
  <c r="I8" i="13"/>
  <c r="F8" i="13" a="1"/>
  <c r="F8" i="13"/>
  <c r="E8" i="13" a="1"/>
  <c r="E8" i="13"/>
  <c r="D8" i="13" a="1"/>
  <c r="D8" i="13"/>
  <c r="C8" i="13" a="1"/>
  <c r="C8" i="13"/>
  <c r="B8" i="13" a="1"/>
  <c r="B8" i="13"/>
  <c r="L7" i="13" a="1"/>
  <c r="L7" i="13"/>
  <c r="J7" i="13" a="1"/>
  <c r="J7" i="13"/>
  <c r="I7" i="13" a="1"/>
  <c r="I7" i="13"/>
  <c r="F7" i="13" a="1"/>
  <c r="F7" i="13"/>
  <c r="E7" i="13" a="1"/>
  <c r="E7" i="13"/>
  <c r="D7" i="13" a="1"/>
  <c r="D7" i="13"/>
  <c r="C7" i="13" a="1"/>
  <c r="C7" i="13"/>
  <c r="B7" i="13" a="1"/>
  <c r="B7" i="13"/>
  <c r="L6" i="13" a="1"/>
  <c r="L6" i="13"/>
  <c r="J6" i="13" a="1"/>
  <c r="J6" i="13"/>
  <c r="I6" i="13" a="1"/>
  <c r="I6" i="13"/>
  <c r="F6" i="13" a="1"/>
  <c r="F6" i="13"/>
  <c r="E6" i="13" a="1"/>
  <c r="E6" i="13"/>
  <c r="D6" i="13" a="1"/>
  <c r="D6" i="13"/>
  <c r="C6" i="13" a="1"/>
  <c r="C6" i="13"/>
  <c r="B6" i="13" a="1"/>
  <c r="B6" i="13"/>
  <c r="L5" i="13" a="1"/>
  <c r="L5" i="13"/>
  <c r="I5" i="13" a="1"/>
  <c r="I5" i="13"/>
  <c r="K5" i="13"/>
  <c r="F5" i="13" a="1"/>
  <c r="F5" i="13"/>
  <c r="E5" i="13" a="1"/>
  <c r="E5" i="13"/>
  <c r="D5" i="13" a="1"/>
  <c r="D5" i="13"/>
  <c r="C5" i="13" a="1"/>
  <c r="C5" i="13"/>
  <c r="B5" i="13" a="1"/>
  <c r="B5" i="13"/>
  <c r="L4" i="13" a="1"/>
  <c r="L4" i="13"/>
  <c r="J4" i="13" a="1"/>
  <c r="J4" i="13"/>
  <c r="I4" i="13" a="1"/>
  <c r="I4" i="13"/>
  <c r="F4" i="13" a="1"/>
  <c r="F4" i="13"/>
  <c r="E4" i="13" a="1"/>
  <c r="E4" i="13"/>
  <c r="D4" i="13" a="1"/>
  <c r="D4" i="13"/>
  <c r="C4" i="13" a="1"/>
  <c r="C4" i="13"/>
  <c r="B4" i="13" a="1"/>
  <c r="B4" i="13"/>
  <c r="L40" i="12" a="1"/>
  <c r="L40" i="12"/>
  <c r="J40" i="12" a="1"/>
  <c r="J40" i="12"/>
  <c r="I40" i="12" a="1"/>
  <c r="I40" i="12"/>
  <c r="F40" i="12" a="1"/>
  <c r="F40" i="12"/>
  <c r="E40" i="12" a="1"/>
  <c r="E40" i="12"/>
  <c r="D40" i="12" a="1"/>
  <c r="D40" i="12"/>
  <c r="C40" i="12" a="1"/>
  <c r="C40" i="12"/>
  <c r="B40" i="12" a="1"/>
  <c r="B40" i="12"/>
  <c r="L39" i="12" a="1"/>
  <c r="L39" i="12"/>
  <c r="J39" i="12" a="1"/>
  <c r="J39" i="12"/>
  <c r="I39" i="12" a="1"/>
  <c r="I39" i="12"/>
  <c r="F39" i="12" a="1"/>
  <c r="F39" i="12"/>
  <c r="E39" i="12" a="1"/>
  <c r="E39" i="12"/>
  <c r="D39" i="12" a="1"/>
  <c r="D39" i="12"/>
  <c r="C39" i="12" a="1"/>
  <c r="C39" i="12"/>
  <c r="B39" i="12" a="1"/>
  <c r="B39" i="12"/>
  <c r="L38" i="12" a="1"/>
  <c r="L38" i="12"/>
  <c r="J38" i="12" a="1"/>
  <c r="J38" i="12"/>
  <c r="I38" i="12" a="1"/>
  <c r="I38" i="12"/>
  <c r="F38" i="12" a="1"/>
  <c r="F38" i="12"/>
  <c r="E38" i="12" a="1"/>
  <c r="E38" i="12"/>
  <c r="D38" i="12" a="1"/>
  <c r="D38" i="12"/>
  <c r="C38" i="12" a="1"/>
  <c r="C38" i="12"/>
  <c r="B38" i="12" a="1"/>
  <c r="B38" i="12"/>
  <c r="L37" i="12" a="1"/>
  <c r="L37" i="12"/>
  <c r="J37" i="12" a="1"/>
  <c r="J37" i="12"/>
  <c r="I37" i="12" a="1"/>
  <c r="I37" i="12"/>
  <c r="F37" i="12" a="1"/>
  <c r="F37" i="12"/>
  <c r="E37" i="12" a="1"/>
  <c r="E37" i="12"/>
  <c r="D37" i="12" a="1"/>
  <c r="D37" i="12"/>
  <c r="C37" i="12" a="1"/>
  <c r="C37" i="12"/>
  <c r="B37" i="12" a="1"/>
  <c r="B37" i="12"/>
  <c r="L36" i="12" a="1"/>
  <c r="L36" i="12"/>
  <c r="J36" i="12" a="1"/>
  <c r="J36" i="12"/>
  <c r="I36" i="12" a="1"/>
  <c r="I36" i="12"/>
  <c r="F36" i="12" a="1"/>
  <c r="F36" i="12"/>
  <c r="E36" i="12" a="1"/>
  <c r="E36" i="12"/>
  <c r="D36" i="12" a="1"/>
  <c r="D36" i="12"/>
  <c r="C36" i="12" a="1"/>
  <c r="C36" i="12"/>
  <c r="B36" i="12" a="1"/>
  <c r="B36" i="12"/>
  <c r="L35" i="12" a="1"/>
  <c r="L35" i="12"/>
  <c r="J35" i="12" a="1"/>
  <c r="J35" i="12"/>
  <c r="I35" i="12" a="1"/>
  <c r="I35" i="12"/>
  <c r="F35" i="12" a="1"/>
  <c r="F35" i="12"/>
  <c r="E35" i="12" a="1"/>
  <c r="E35" i="12"/>
  <c r="D35" i="12" a="1"/>
  <c r="D35" i="12"/>
  <c r="C35" i="12" a="1"/>
  <c r="C35" i="12"/>
  <c r="B35" i="12" a="1"/>
  <c r="B35" i="12"/>
  <c r="L34" i="12" a="1"/>
  <c r="L34" i="12"/>
  <c r="J34" i="12" a="1"/>
  <c r="J34" i="12"/>
  <c r="I34" i="12" a="1"/>
  <c r="I34" i="12"/>
  <c r="F34" i="12" a="1"/>
  <c r="F34" i="12"/>
  <c r="E34" i="12" a="1"/>
  <c r="E34" i="12"/>
  <c r="D34" i="12" a="1"/>
  <c r="D34" i="12"/>
  <c r="C34" i="12" a="1"/>
  <c r="C34" i="12"/>
  <c r="B34" i="12" a="1"/>
  <c r="B34" i="12"/>
  <c r="L33" i="12" a="1"/>
  <c r="L33" i="12"/>
  <c r="J33" i="12" a="1"/>
  <c r="J33" i="12"/>
  <c r="I33" i="12" a="1"/>
  <c r="I33" i="12"/>
  <c r="F33" i="12" a="1"/>
  <c r="F33" i="12"/>
  <c r="E33" i="12" a="1"/>
  <c r="E33" i="12"/>
  <c r="D33" i="12" a="1"/>
  <c r="D33" i="12"/>
  <c r="C33" i="12" a="1"/>
  <c r="C33" i="12"/>
  <c r="B33" i="12" a="1"/>
  <c r="B33" i="12"/>
  <c r="L32" i="12" a="1"/>
  <c r="L32" i="12"/>
  <c r="J32" i="12" a="1"/>
  <c r="J32" i="12"/>
  <c r="I32" i="12" a="1"/>
  <c r="I32" i="12"/>
  <c r="F32" i="12" a="1"/>
  <c r="F32" i="12"/>
  <c r="E32" i="12" a="1"/>
  <c r="E32" i="12"/>
  <c r="D32" i="12" a="1"/>
  <c r="D32" i="12"/>
  <c r="C32" i="12" a="1"/>
  <c r="C32" i="12"/>
  <c r="B32" i="12" a="1"/>
  <c r="B32" i="12"/>
  <c r="L31" i="12" a="1"/>
  <c r="L31" i="12"/>
  <c r="J31" i="12" a="1"/>
  <c r="J31" i="12"/>
  <c r="I31" i="12" a="1"/>
  <c r="I31" i="12"/>
  <c r="F31" i="12" a="1"/>
  <c r="F31" i="12"/>
  <c r="E31" i="12" a="1"/>
  <c r="E31" i="12"/>
  <c r="D31" i="12" a="1"/>
  <c r="D31" i="12"/>
  <c r="C31" i="12" a="1"/>
  <c r="C31" i="12"/>
  <c r="B31" i="12" a="1"/>
  <c r="B31" i="12"/>
  <c r="L30" i="12" a="1"/>
  <c r="L30" i="12"/>
  <c r="J30" i="12" a="1"/>
  <c r="J30" i="12"/>
  <c r="I30" i="12" a="1"/>
  <c r="I30" i="12"/>
  <c r="F30" i="12" a="1"/>
  <c r="F30" i="12"/>
  <c r="E30" i="12" a="1"/>
  <c r="E30" i="12"/>
  <c r="D30" i="12" a="1"/>
  <c r="D30" i="12"/>
  <c r="C30" i="12" a="1"/>
  <c r="C30" i="12"/>
  <c r="B30" i="12" a="1"/>
  <c r="B30" i="12"/>
  <c r="L29" i="12" a="1"/>
  <c r="L29" i="12"/>
  <c r="J29" i="12" a="1"/>
  <c r="J29" i="12"/>
  <c r="I29" i="12" a="1"/>
  <c r="I29" i="12"/>
  <c r="F29" i="12" a="1"/>
  <c r="F29" i="12"/>
  <c r="E29" i="12" a="1"/>
  <c r="E29" i="12"/>
  <c r="D29" i="12" a="1"/>
  <c r="D29" i="12"/>
  <c r="C29" i="12" a="1"/>
  <c r="C29" i="12"/>
  <c r="B29" i="12" a="1"/>
  <c r="B29" i="12"/>
  <c r="L28" i="12" a="1"/>
  <c r="L28" i="12"/>
  <c r="J28" i="12" a="1"/>
  <c r="J28" i="12"/>
  <c r="I28" i="12" a="1"/>
  <c r="I28" i="12"/>
  <c r="F28" i="12" a="1"/>
  <c r="F28" i="12"/>
  <c r="E28" i="12" a="1"/>
  <c r="E28" i="12"/>
  <c r="D28" i="12" a="1"/>
  <c r="D28" i="12"/>
  <c r="C28" i="12" a="1"/>
  <c r="C28" i="12"/>
  <c r="B28" i="12" a="1"/>
  <c r="B28" i="12"/>
  <c r="L27" i="12" a="1"/>
  <c r="L27" i="12"/>
  <c r="J27" i="12" a="1"/>
  <c r="J27" i="12"/>
  <c r="I27" i="12" a="1"/>
  <c r="I27" i="12"/>
  <c r="F27" i="12" a="1"/>
  <c r="F27" i="12"/>
  <c r="E27" i="12" a="1"/>
  <c r="E27" i="12"/>
  <c r="D27" i="12" a="1"/>
  <c r="D27" i="12"/>
  <c r="C27" i="12" a="1"/>
  <c r="C27" i="12"/>
  <c r="B27" i="12" a="1"/>
  <c r="B27" i="12"/>
  <c r="L26" i="12" a="1"/>
  <c r="L26" i="12"/>
  <c r="J26" i="12" a="1"/>
  <c r="J26" i="12"/>
  <c r="I26" i="12" a="1"/>
  <c r="I26" i="12"/>
  <c r="F26" i="12" a="1"/>
  <c r="F26" i="12"/>
  <c r="E26" i="12" a="1"/>
  <c r="E26" i="12"/>
  <c r="D26" i="12" a="1"/>
  <c r="D26" i="12"/>
  <c r="C26" i="12" a="1"/>
  <c r="C26" i="12"/>
  <c r="B26" i="12" a="1"/>
  <c r="B26" i="12"/>
  <c r="L25" i="12" a="1"/>
  <c r="L25" i="12"/>
  <c r="J25" i="12" a="1"/>
  <c r="J25" i="12"/>
  <c r="I25" i="12" a="1"/>
  <c r="I25" i="12"/>
  <c r="F25" i="12" a="1"/>
  <c r="F25" i="12"/>
  <c r="E25" i="12" a="1"/>
  <c r="E25" i="12"/>
  <c r="D25" i="12" a="1"/>
  <c r="D25" i="12"/>
  <c r="C25" i="12" a="1"/>
  <c r="C25" i="12"/>
  <c r="B25" i="12" a="1"/>
  <c r="B25" i="12"/>
  <c r="L24" i="12" a="1"/>
  <c r="L24" i="12"/>
  <c r="I24" i="12" a="1"/>
  <c r="I24" i="12"/>
  <c r="K24" i="12"/>
  <c r="F24" i="12" a="1"/>
  <c r="F24" i="12"/>
  <c r="E24" i="12" a="1"/>
  <c r="E24" i="12"/>
  <c r="D24" i="12" a="1"/>
  <c r="D24" i="12"/>
  <c r="C24" i="12" a="1"/>
  <c r="C24" i="12"/>
  <c r="B24" i="12" a="1"/>
  <c r="B24" i="12"/>
  <c r="L23" i="12" a="1"/>
  <c r="L23" i="12"/>
  <c r="J23" i="12" a="1"/>
  <c r="J23" i="12"/>
  <c r="I23" i="12" a="1"/>
  <c r="I23" i="12"/>
  <c r="F23" i="12" a="1"/>
  <c r="F23" i="12"/>
  <c r="E23" i="12" a="1"/>
  <c r="E23" i="12"/>
  <c r="D23" i="12" a="1"/>
  <c r="D23" i="12"/>
  <c r="C23" i="12" a="1"/>
  <c r="C23" i="12"/>
  <c r="B23" i="12" a="1"/>
  <c r="B23" i="12"/>
  <c r="L22" i="12" a="1"/>
  <c r="L22" i="12"/>
  <c r="J22" i="12" a="1"/>
  <c r="J22" i="12"/>
  <c r="I22" i="12" a="1"/>
  <c r="I22" i="12"/>
  <c r="F22" i="12" a="1"/>
  <c r="F22" i="12"/>
  <c r="E22" i="12" a="1"/>
  <c r="E22" i="12"/>
  <c r="D22" i="12" a="1"/>
  <c r="D22" i="12"/>
  <c r="C22" i="12" a="1"/>
  <c r="C22" i="12"/>
  <c r="B22" i="12" a="1"/>
  <c r="B22" i="12"/>
  <c r="L21" i="12" a="1"/>
  <c r="L21" i="12"/>
  <c r="J21" i="12" a="1"/>
  <c r="J21" i="12"/>
  <c r="I21" i="12" a="1"/>
  <c r="I21" i="12"/>
  <c r="F21" i="12" a="1"/>
  <c r="F21" i="12"/>
  <c r="E21" i="12" a="1"/>
  <c r="E21" i="12"/>
  <c r="D21" i="12" a="1"/>
  <c r="D21" i="12"/>
  <c r="C21" i="12" a="1"/>
  <c r="C21" i="12"/>
  <c r="B21" i="12" a="1"/>
  <c r="B21" i="12"/>
  <c r="L20" i="12" a="1"/>
  <c r="L20" i="12"/>
  <c r="J20" i="12" a="1"/>
  <c r="J20" i="12"/>
  <c r="I20" i="12" a="1"/>
  <c r="I20" i="12"/>
  <c r="F20" i="12" a="1"/>
  <c r="F20" i="12"/>
  <c r="E20" i="12" a="1"/>
  <c r="E20" i="12"/>
  <c r="D20" i="12" a="1"/>
  <c r="D20" i="12"/>
  <c r="C20" i="12" a="1"/>
  <c r="C20" i="12"/>
  <c r="B20" i="12" a="1"/>
  <c r="B20" i="12"/>
  <c r="L19" i="12" a="1"/>
  <c r="L19" i="12"/>
  <c r="J19" i="12" a="1"/>
  <c r="J19" i="12"/>
  <c r="I19" i="12" a="1"/>
  <c r="I19" i="12"/>
  <c r="F19" i="12" a="1"/>
  <c r="F19" i="12"/>
  <c r="E19" i="12" a="1"/>
  <c r="E19" i="12"/>
  <c r="D19" i="12" a="1"/>
  <c r="D19" i="12"/>
  <c r="C19" i="12" a="1"/>
  <c r="C19" i="12"/>
  <c r="B19" i="12" a="1"/>
  <c r="B19" i="12"/>
  <c r="L18" i="12" a="1"/>
  <c r="L18" i="12"/>
  <c r="J18" i="12" a="1"/>
  <c r="J18" i="12"/>
  <c r="I18" i="12" a="1"/>
  <c r="I18" i="12"/>
  <c r="F18" i="12" a="1"/>
  <c r="F18" i="12"/>
  <c r="E18" i="12" a="1"/>
  <c r="E18" i="12"/>
  <c r="D18" i="12" a="1"/>
  <c r="D18" i="12"/>
  <c r="C18" i="12" a="1"/>
  <c r="C18" i="12"/>
  <c r="B18" i="12" a="1"/>
  <c r="B18" i="12"/>
  <c r="L17" i="12" a="1"/>
  <c r="L17" i="12"/>
  <c r="I17" i="12" a="1"/>
  <c r="I17" i="12"/>
  <c r="K17" i="12"/>
  <c r="F17" i="12" a="1"/>
  <c r="F17" i="12"/>
  <c r="E17" i="12" a="1"/>
  <c r="E17" i="12"/>
  <c r="D17" i="12" a="1"/>
  <c r="D17" i="12"/>
  <c r="C17" i="12" a="1"/>
  <c r="C17" i="12"/>
  <c r="B17" i="12" a="1"/>
  <c r="B17" i="12"/>
  <c r="L16" i="12" a="1"/>
  <c r="L16" i="12"/>
  <c r="J16" i="12" a="1"/>
  <c r="J16" i="12"/>
  <c r="I16" i="12" a="1"/>
  <c r="I16" i="12"/>
  <c r="F16" i="12" a="1"/>
  <c r="F16" i="12"/>
  <c r="E16" i="12" a="1"/>
  <c r="E16" i="12"/>
  <c r="D16" i="12" a="1"/>
  <c r="D16" i="12"/>
  <c r="C16" i="12" a="1"/>
  <c r="C16" i="12"/>
  <c r="B16" i="12" a="1"/>
  <c r="B16" i="12"/>
  <c r="L15" i="12" a="1"/>
  <c r="L15" i="12"/>
  <c r="J15" i="12" a="1"/>
  <c r="J15" i="12"/>
  <c r="I15" i="12" a="1"/>
  <c r="I15" i="12"/>
  <c r="F15" i="12" a="1"/>
  <c r="F15" i="12"/>
  <c r="E15" i="12" a="1"/>
  <c r="E15" i="12"/>
  <c r="D15" i="12" a="1"/>
  <c r="D15" i="12"/>
  <c r="C15" i="12" a="1"/>
  <c r="C15" i="12"/>
  <c r="B15" i="12" a="1"/>
  <c r="B15" i="12"/>
  <c r="L14" i="12" a="1"/>
  <c r="L14" i="12"/>
  <c r="J14" i="12" a="1"/>
  <c r="J14" i="12"/>
  <c r="I14" i="12" a="1"/>
  <c r="I14" i="12"/>
  <c r="F14" i="12" a="1"/>
  <c r="F14" i="12"/>
  <c r="E14" i="12" a="1"/>
  <c r="E14" i="12"/>
  <c r="D14" i="12" a="1"/>
  <c r="D14" i="12"/>
  <c r="C14" i="12" a="1"/>
  <c r="C14" i="12"/>
  <c r="B14" i="12" a="1"/>
  <c r="B14" i="12"/>
  <c r="B13" i="12" a="1"/>
  <c r="B13" i="12"/>
  <c r="L13" i="12" a="1"/>
  <c r="L13" i="12"/>
  <c r="J13" i="12" a="1"/>
  <c r="J13" i="12"/>
  <c r="I13" i="12" a="1"/>
  <c r="I13" i="12"/>
  <c r="F13" i="12" a="1"/>
  <c r="F13" i="12"/>
  <c r="E13" i="12" a="1"/>
  <c r="E13" i="12"/>
  <c r="D13" i="12" a="1"/>
  <c r="D13" i="12"/>
  <c r="C13" i="12" a="1"/>
  <c r="C13" i="12"/>
  <c r="L12" i="12" a="1"/>
  <c r="L12" i="12"/>
  <c r="J12" i="12" a="1"/>
  <c r="J12" i="12"/>
  <c r="I12" i="12" a="1"/>
  <c r="I12" i="12"/>
  <c r="F12" i="12" a="1"/>
  <c r="F12" i="12"/>
  <c r="E12" i="12" a="1"/>
  <c r="E12" i="12"/>
  <c r="D12" i="12" a="1"/>
  <c r="D12" i="12"/>
  <c r="C12" i="12" a="1"/>
  <c r="C12" i="12"/>
  <c r="B12" i="12" a="1"/>
  <c r="B12" i="12"/>
  <c r="L11" i="12" a="1"/>
  <c r="L11" i="12"/>
  <c r="I11" i="12" a="1"/>
  <c r="I11" i="12"/>
  <c r="K11" i="12"/>
  <c r="F11" i="12" a="1"/>
  <c r="F11" i="12"/>
  <c r="E11" i="12" a="1"/>
  <c r="E11" i="12"/>
  <c r="D11" i="12" a="1"/>
  <c r="D11" i="12"/>
  <c r="C11" i="12" a="1"/>
  <c r="C11" i="12"/>
  <c r="B11" i="12" a="1"/>
  <c r="B11" i="12"/>
  <c r="L10" i="12" a="1"/>
  <c r="L10" i="12"/>
  <c r="J10" i="12" a="1"/>
  <c r="J10" i="12"/>
  <c r="I10" i="12" a="1"/>
  <c r="I10" i="12"/>
  <c r="F10" i="12" a="1"/>
  <c r="F10" i="12"/>
  <c r="E10" i="12" a="1"/>
  <c r="E10" i="12"/>
  <c r="D10" i="12" a="1"/>
  <c r="D10" i="12"/>
  <c r="C10" i="12" a="1"/>
  <c r="C10" i="12"/>
  <c r="B10" i="12" a="1"/>
  <c r="B10" i="12"/>
  <c r="L9" i="12" a="1"/>
  <c r="L9" i="12"/>
  <c r="J9" i="12" a="1"/>
  <c r="J9" i="12"/>
  <c r="I9" i="12" a="1"/>
  <c r="I9" i="12"/>
  <c r="F9" i="12" a="1"/>
  <c r="F9" i="12"/>
  <c r="E9" i="12" a="1"/>
  <c r="E9" i="12"/>
  <c r="D9" i="12" a="1"/>
  <c r="D9" i="12"/>
  <c r="C9" i="12" a="1"/>
  <c r="C9" i="12"/>
  <c r="B9" i="12" a="1"/>
  <c r="B9" i="12"/>
  <c r="L8" i="12" a="1"/>
  <c r="L8" i="12"/>
  <c r="J8" i="12" a="1"/>
  <c r="J8" i="12"/>
  <c r="I8" i="12" a="1"/>
  <c r="I8" i="12"/>
  <c r="F8" i="12" a="1"/>
  <c r="F8" i="12"/>
  <c r="E8" i="12" a="1"/>
  <c r="E8" i="12"/>
  <c r="D8" i="12" a="1"/>
  <c r="D8" i="12"/>
  <c r="C8" i="12" a="1"/>
  <c r="C8" i="12"/>
  <c r="B8" i="12" a="1"/>
  <c r="B8" i="12"/>
  <c r="L7" i="12" a="1"/>
  <c r="L7" i="12"/>
  <c r="J7" i="12" a="1"/>
  <c r="J7" i="12"/>
  <c r="I7" i="12" a="1"/>
  <c r="I7" i="12"/>
  <c r="F7" i="12" a="1"/>
  <c r="F7" i="12"/>
  <c r="E7" i="12" a="1"/>
  <c r="E7" i="12"/>
  <c r="D7" i="12" a="1"/>
  <c r="D7" i="12"/>
  <c r="C7" i="12" a="1"/>
  <c r="C7" i="12"/>
  <c r="B7" i="12" a="1"/>
  <c r="B7" i="12"/>
  <c r="L6" i="12" a="1"/>
  <c r="L6" i="12"/>
  <c r="I6" i="12" a="1"/>
  <c r="I6" i="12"/>
  <c r="K6" i="12"/>
  <c r="F6" i="12" a="1"/>
  <c r="F6" i="12"/>
  <c r="E6" i="12" a="1"/>
  <c r="E6" i="12"/>
  <c r="D6" i="12" a="1"/>
  <c r="D6" i="12"/>
  <c r="C6" i="12" a="1"/>
  <c r="C6" i="12"/>
  <c r="B6" i="12" a="1"/>
  <c r="B6" i="12"/>
  <c r="L5" i="12" a="1"/>
  <c r="L5" i="12"/>
  <c r="J5" i="12" a="1"/>
  <c r="J5" i="12"/>
  <c r="I5" i="12" a="1"/>
  <c r="I5" i="12"/>
  <c r="F5" i="12" a="1"/>
  <c r="F5" i="12"/>
  <c r="E5" i="12" a="1"/>
  <c r="E5" i="12"/>
  <c r="D5" i="12" a="1"/>
  <c r="D5" i="12"/>
  <c r="C5" i="12" a="1"/>
  <c r="C5" i="12"/>
  <c r="B5" i="12" a="1"/>
  <c r="B5" i="12"/>
  <c r="L4" i="12" a="1"/>
  <c r="L4" i="12"/>
  <c r="J4" i="12" a="1"/>
  <c r="J4" i="12"/>
  <c r="I4" i="12" a="1"/>
  <c r="I4" i="12"/>
  <c r="F4" i="12" a="1"/>
  <c r="F4" i="12"/>
  <c r="E4" i="12" a="1"/>
  <c r="E4" i="12"/>
  <c r="D4" i="12" a="1"/>
  <c r="D4" i="12"/>
  <c r="C4" i="12" a="1"/>
  <c r="C4" i="12"/>
  <c r="B4" i="12" a="1"/>
  <c r="B4" i="12"/>
  <c r="L4" i="14" a="1"/>
  <c r="L4" i="14"/>
  <c r="J4" i="14" a="1"/>
  <c r="J4" i="14"/>
  <c r="I4" i="14" a="1"/>
  <c r="I4" i="14"/>
  <c r="F4" i="14" a="1"/>
  <c r="F4" i="14"/>
  <c r="E4" i="14" a="1"/>
  <c r="E4" i="14"/>
  <c r="D4" i="14" a="1"/>
  <c r="D4" i="14"/>
  <c r="C4" i="14" a="1"/>
  <c r="C4" i="14"/>
  <c r="B4" i="14" a="1"/>
  <c r="B4" i="14"/>
  <c r="L5" i="14" a="1"/>
  <c r="L5" i="14"/>
  <c r="J5" i="14" a="1"/>
  <c r="J5" i="14"/>
  <c r="I5" i="14" a="1"/>
  <c r="I5" i="14"/>
  <c r="F5" i="14" a="1"/>
  <c r="F5" i="14"/>
  <c r="E5" i="14" a="1"/>
  <c r="E5" i="14"/>
  <c r="D5" i="14" a="1"/>
  <c r="D5" i="14"/>
  <c r="C5" i="14" a="1"/>
  <c r="C5" i="14"/>
  <c r="B5" i="14" a="1"/>
  <c r="B5" i="14"/>
  <c r="L6" i="14" a="1"/>
  <c r="L6" i="14"/>
  <c r="J6" i="14" a="1"/>
  <c r="J6" i="14"/>
  <c r="I6" i="14" a="1"/>
  <c r="I6" i="14"/>
  <c r="F6" i="14" a="1"/>
  <c r="F6" i="14"/>
  <c r="E6" i="14" a="1"/>
  <c r="E6" i="14"/>
  <c r="D6" i="14" a="1"/>
  <c r="D6" i="14"/>
  <c r="C6" i="14" a="1"/>
  <c r="C6" i="14"/>
  <c r="B6" i="14" a="1"/>
  <c r="B6" i="14"/>
  <c r="L7" i="14" a="1"/>
  <c r="L7" i="14"/>
  <c r="J7" i="14" a="1"/>
  <c r="J7" i="14"/>
  <c r="I7" i="14" a="1"/>
  <c r="I7" i="14"/>
  <c r="F7" i="14" a="1"/>
  <c r="F7" i="14"/>
  <c r="E7" i="14" a="1"/>
  <c r="E7" i="14"/>
  <c r="D7" i="14" a="1"/>
  <c r="D7" i="14"/>
  <c r="C7" i="14" a="1"/>
  <c r="C7" i="14"/>
  <c r="B7" i="14" a="1"/>
  <c r="B7" i="14"/>
  <c r="L8" i="14" a="1"/>
  <c r="L8" i="14"/>
  <c r="I8" i="14" a="1"/>
  <c r="I8" i="14"/>
  <c r="K8" i="14"/>
  <c r="F8" i="14" a="1"/>
  <c r="F8" i="14"/>
  <c r="E8" i="14" a="1"/>
  <c r="E8" i="14"/>
  <c r="D8" i="14" a="1"/>
  <c r="D8" i="14"/>
  <c r="C8" i="14" a="1"/>
  <c r="C8" i="14"/>
  <c r="B8" i="14" a="1"/>
  <c r="B8" i="14"/>
  <c r="L9" i="14" a="1"/>
  <c r="L9" i="14"/>
  <c r="I9" i="14" a="1"/>
  <c r="I9" i="14"/>
  <c r="K9" i="14"/>
  <c r="F9" i="14" a="1"/>
  <c r="F9" i="14"/>
  <c r="E9" i="14" a="1"/>
  <c r="E9" i="14"/>
  <c r="D9" i="14" a="1"/>
  <c r="D9" i="14"/>
  <c r="C9" i="14" a="1"/>
  <c r="C9" i="14"/>
  <c r="B9" i="14" a="1"/>
  <c r="B9" i="14"/>
  <c r="L10" i="14" a="1"/>
  <c r="L10" i="14"/>
  <c r="J10" i="14" a="1"/>
  <c r="J10" i="14"/>
  <c r="I10" i="14" a="1"/>
  <c r="I10" i="14"/>
  <c r="F10" i="14" a="1"/>
  <c r="F10" i="14"/>
  <c r="E10" i="14" a="1"/>
  <c r="E10" i="14"/>
  <c r="D10" i="14" a="1"/>
  <c r="D10" i="14"/>
  <c r="C10" i="14" a="1"/>
  <c r="C10" i="14"/>
  <c r="B10" i="14" a="1"/>
  <c r="B10" i="14"/>
  <c r="L11" i="14" a="1"/>
  <c r="L11" i="14"/>
  <c r="I11" i="14" a="1"/>
  <c r="I11" i="14"/>
  <c r="K11" i="14"/>
  <c r="F11" i="14" a="1"/>
  <c r="F11" i="14"/>
  <c r="E11" i="14" a="1"/>
  <c r="E11" i="14"/>
  <c r="D11" i="14" a="1"/>
  <c r="D11" i="14"/>
  <c r="C11" i="14" a="1"/>
  <c r="C11" i="14"/>
  <c r="B11" i="14" a="1"/>
  <c r="B11" i="14"/>
  <c r="L12" i="14" a="1"/>
  <c r="L12" i="14"/>
  <c r="J12" i="14" a="1"/>
  <c r="J12" i="14"/>
  <c r="I12" i="14" a="1"/>
  <c r="I12" i="14"/>
  <c r="F12" i="14" a="1"/>
  <c r="F12" i="14"/>
  <c r="E12" i="14" a="1"/>
  <c r="E12" i="14"/>
  <c r="D12" i="14" a="1"/>
  <c r="D12" i="14"/>
  <c r="C12" i="14" a="1"/>
  <c r="C12" i="14"/>
  <c r="B12" i="14" a="1"/>
  <c r="B12" i="14"/>
  <c r="L13" i="14" a="1"/>
  <c r="L13" i="14"/>
  <c r="J13" i="14" a="1"/>
  <c r="J13" i="14"/>
  <c r="I13" i="14" a="1"/>
  <c r="I13" i="14"/>
  <c r="F13" i="14" a="1"/>
  <c r="F13" i="14"/>
  <c r="E13" i="14" a="1"/>
  <c r="E13" i="14"/>
  <c r="D13" i="14" a="1"/>
  <c r="D13" i="14"/>
  <c r="C13" i="14" a="1"/>
  <c r="C13" i="14"/>
  <c r="B13" i="14" a="1"/>
  <c r="B13" i="14"/>
  <c r="L14" i="14" a="1"/>
  <c r="L14" i="14"/>
  <c r="I14" i="14" a="1"/>
  <c r="I14" i="14"/>
  <c r="K14" i="14"/>
  <c r="F14" i="14" a="1"/>
  <c r="F14" i="14"/>
  <c r="E14" i="14" a="1"/>
  <c r="E14" i="14"/>
  <c r="D14" i="14" a="1"/>
  <c r="D14" i="14"/>
  <c r="C14" i="14" a="1"/>
  <c r="C14" i="14"/>
  <c r="B14" i="14" a="1"/>
  <c r="B14" i="14"/>
  <c r="L15" i="14" a="1"/>
  <c r="L15" i="14"/>
  <c r="J15" i="14" a="1"/>
  <c r="J15" i="14"/>
  <c r="I15" i="14" a="1"/>
  <c r="I15" i="14"/>
  <c r="F15" i="14" a="1"/>
  <c r="F15" i="14"/>
  <c r="E15" i="14" a="1"/>
  <c r="E15" i="14"/>
  <c r="D15" i="14" a="1"/>
  <c r="D15" i="14"/>
  <c r="C15" i="14" a="1"/>
  <c r="C15" i="14"/>
  <c r="B15" i="14" a="1"/>
  <c r="B15" i="14"/>
  <c r="L16" i="14" a="1"/>
  <c r="L16" i="14"/>
  <c r="I16" i="14" a="1"/>
  <c r="I16" i="14"/>
  <c r="K16" i="14"/>
  <c r="F16" i="14" a="1"/>
  <c r="F16" i="14"/>
  <c r="E16" i="14" a="1"/>
  <c r="E16" i="14"/>
  <c r="D16" i="14" a="1"/>
  <c r="D16" i="14"/>
  <c r="C16" i="14" a="1"/>
  <c r="C16" i="14"/>
  <c r="B16" i="14" a="1"/>
  <c r="B16" i="14"/>
  <c r="L17" i="14" a="1"/>
  <c r="L17" i="14"/>
  <c r="J17" i="14" a="1"/>
  <c r="J17" i="14"/>
  <c r="I17" i="14" a="1"/>
  <c r="I17" i="14"/>
  <c r="F17" i="14" a="1"/>
  <c r="F17" i="14"/>
  <c r="E17" i="14" a="1"/>
  <c r="E17" i="14"/>
  <c r="D17" i="14" a="1"/>
  <c r="D17" i="14"/>
  <c r="C17" i="14" a="1"/>
  <c r="C17" i="14"/>
  <c r="B17" i="14" a="1"/>
  <c r="B17" i="14"/>
  <c r="L18" i="14" a="1"/>
  <c r="L18" i="14"/>
  <c r="J18" i="14" a="1"/>
  <c r="J18" i="14"/>
  <c r="I18" i="14" a="1"/>
  <c r="I18" i="14"/>
  <c r="F18" i="14" a="1"/>
  <c r="F18" i="14"/>
  <c r="E18" i="14" a="1"/>
  <c r="E18" i="14"/>
  <c r="D18" i="14" a="1"/>
  <c r="D18" i="14"/>
  <c r="C18" i="14" a="1"/>
  <c r="C18" i="14"/>
  <c r="B18" i="14" a="1"/>
  <c r="B18" i="14"/>
  <c r="L19" i="14" a="1"/>
  <c r="L19" i="14"/>
  <c r="I19" i="14" a="1"/>
  <c r="I19" i="14"/>
  <c r="K19" i="14"/>
  <c r="F19" i="14" a="1"/>
  <c r="F19" i="14"/>
  <c r="E19" i="14" a="1"/>
  <c r="E19" i="14"/>
  <c r="D19" i="14" a="1"/>
  <c r="D19" i="14"/>
  <c r="C19" i="14" a="1"/>
  <c r="C19" i="14"/>
  <c r="B19" i="14" a="1"/>
  <c r="B19" i="14"/>
  <c r="L20" i="14" a="1"/>
  <c r="L20" i="14"/>
  <c r="J20" i="14" a="1"/>
  <c r="J20" i="14"/>
  <c r="I20" i="14" a="1"/>
  <c r="I20" i="14"/>
  <c r="F20" i="14" a="1"/>
  <c r="F20" i="14"/>
  <c r="E20" i="14" a="1"/>
  <c r="E20" i="14"/>
  <c r="D20" i="14" a="1"/>
  <c r="D20" i="14"/>
  <c r="C20" i="14" a="1"/>
  <c r="C20" i="14"/>
  <c r="B20" i="14" a="1"/>
  <c r="B20" i="14"/>
  <c r="L21" i="14" a="1"/>
  <c r="L21" i="14"/>
  <c r="J21" i="14" a="1"/>
  <c r="J21" i="14"/>
  <c r="I21" i="14" a="1"/>
  <c r="I21" i="14"/>
  <c r="F21" i="14" a="1"/>
  <c r="F21" i="14"/>
  <c r="E21" i="14" a="1"/>
  <c r="E21" i="14"/>
  <c r="D21" i="14" a="1"/>
  <c r="D21" i="14"/>
  <c r="C21" i="14" a="1"/>
  <c r="C21" i="14"/>
  <c r="B21" i="14" a="1"/>
  <c r="B21" i="14"/>
  <c r="L22" i="14" a="1"/>
  <c r="L22" i="14"/>
  <c r="J22" i="14" a="1"/>
  <c r="J22" i="14"/>
  <c r="I22" i="14" a="1"/>
  <c r="I22" i="14"/>
  <c r="F22" i="14" a="1"/>
  <c r="F22" i="14"/>
  <c r="E22" i="14" a="1"/>
  <c r="E22" i="14"/>
  <c r="D22" i="14" a="1"/>
  <c r="D22" i="14"/>
  <c r="C22" i="14" a="1"/>
  <c r="C22" i="14"/>
  <c r="B22" i="14" a="1"/>
  <c r="B22" i="14"/>
  <c r="L23" i="14" a="1"/>
  <c r="L23" i="14"/>
  <c r="J23" i="14" a="1"/>
  <c r="J23" i="14"/>
  <c r="I23" i="14" a="1"/>
  <c r="I23" i="14"/>
  <c r="F23" i="14" a="1"/>
  <c r="F23" i="14"/>
  <c r="E23" i="14" a="1"/>
  <c r="E23" i="14"/>
  <c r="D23" i="14" a="1"/>
  <c r="D23" i="14"/>
  <c r="C23" i="14" a="1"/>
  <c r="C23" i="14"/>
  <c r="B23" i="14" a="1"/>
  <c r="B23" i="14"/>
  <c r="L24" i="14" a="1"/>
  <c r="L24" i="14"/>
  <c r="I24" i="14" a="1"/>
  <c r="I24" i="14"/>
  <c r="K24" i="14"/>
  <c r="F24" i="14" a="1"/>
  <c r="F24" i="14"/>
  <c r="E24" i="14" a="1"/>
  <c r="E24" i="14"/>
  <c r="D24" i="14" a="1"/>
  <c r="D24" i="14"/>
  <c r="C24" i="14" a="1"/>
  <c r="C24" i="14"/>
  <c r="B24" i="14" a="1"/>
  <c r="B24" i="14"/>
  <c r="L25" i="14" a="1"/>
  <c r="L25" i="14"/>
  <c r="J25" i="14" a="1"/>
  <c r="J25" i="14"/>
  <c r="I25" i="14" a="1"/>
  <c r="I25" i="14"/>
  <c r="F25" i="14" a="1"/>
  <c r="F25" i="14"/>
  <c r="E25" i="14" a="1"/>
  <c r="E25" i="14"/>
  <c r="D25" i="14" a="1"/>
  <c r="D25" i="14"/>
  <c r="C25" i="14" a="1"/>
  <c r="C25" i="14"/>
  <c r="B25" i="14" a="1"/>
  <c r="B25" i="14"/>
  <c r="L26" i="14" a="1"/>
  <c r="L26" i="14"/>
  <c r="I26" i="14" a="1"/>
  <c r="I26" i="14"/>
  <c r="K26" i="14"/>
  <c r="F26" i="14" a="1"/>
  <c r="F26" i="14"/>
  <c r="E26" i="14" a="1"/>
  <c r="E26" i="14"/>
  <c r="D26" i="14" a="1"/>
  <c r="D26" i="14"/>
  <c r="C26" i="14" a="1"/>
  <c r="C26" i="14"/>
  <c r="B26" i="14" a="1"/>
  <c r="B26" i="14"/>
  <c r="L27" i="14" a="1"/>
  <c r="L27" i="14"/>
  <c r="I27" i="14" a="1"/>
  <c r="I27" i="14"/>
  <c r="K27" i="14"/>
  <c r="F27" i="14" a="1"/>
  <c r="F27" i="14"/>
  <c r="E27" i="14" a="1"/>
  <c r="E27" i="14"/>
  <c r="D27" i="14" a="1"/>
  <c r="D27" i="14"/>
  <c r="C27" i="14" a="1"/>
  <c r="C27" i="14"/>
  <c r="B27" i="14" a="1"/>
  <c r="B27" i="14"/>
  <c r="L28" i="14" a="1"/>
  <c r="L28" i="14"/>
  <c r="I28" i="14" a="1"/>
  <c r="I28" i="14"/>
  <c r="K28" i="14"/>
  <c r="F28" i="14" a="1"/>
  <c r="F28" i="14"/>
  <c r="E28" i="14" a="1"/>
  <c r="E28" i="14"/>
  <c r="D28" i="14" a="1"/>
  <c r="D28" i="14"/>
  <c r="C28" i="14" a="1"/>
  <c r="C28" i="14"/>
  <c r="B28" i="14" a="1"/>
  <c r="B28" i="14"/>
  <c r="L29" i="14" a="1"/>
  <c r="L29" i="14"/>
  <c r="I29" i="14" a="1"/>
  <c r="I29" i="14"/>
  <c r="K29" i="14"/>
  <c r="F29" i="14" a="1"/>
  <c r="F29" i="14"/>
  <c r="E29" i="14" a="1"/>
  <c r="E29" i="14"/>
  <c r="D29" i="14" a="1"/>
  <c r="D29" i="14"/>
  <c r="C29" i="14" a="1"/>
  <c r="C29" i="14"/>
  <c r="B29" i="14" a="1"/>
  <c r="B29" i="14"/>
  <c r="L30" i="14" a="1"/>
  <c r="L30" i="14"/>
  <c r="J30" i="14" a="1"/>
  <c r="J30" i="14"/>
  <c r="I30" i="14" a="1"/>
  <c r="I30" i="14"/>
  <c r="F30" i="14" a="1"/>
  <c r="F30" i="14"/>
  <c r="E30" i="14" a="1"/>
  <c r="E30" i="14"/>
  <c r="D30" i="14" a="1"/>
  <c r="D30" i="14"/>
  <c r="C30" i="14" a="1"/>
  <c r="C30" i="14"/>
  <c r="B30" i="14" a="1"/>
  <c r="B30" i="14"/>
  <c r="L31" i="14" a="1"/>
  <c r="L31" i="14"/>
  <c r="J31" i="14" a="1"/>
  <c r="J31" i="14"/>
  <c r="I31" i="14" a="1"/>
  <c r="I31" i="14"/>
  <c r="F31" i="14" a="1"/>
  <c r="F31" i="14"/>
  <c r="E31" i="14" a="1"/>
  <c r="E31" i="14"/>
  <c r="D31" i="14" a="1"/>
  <c r="D31" i="14"/>
  <c r="C31" i="14" a="1"/>
  <c r="C31" i="14"/>
  <c r="B31" i="14" a="1"/>
  <c r="B31" i="14"/>
  <c r="L32" i="14" a="1"/>
  <c r="L32" i="14"/>
  <c r="J32" i="14" a="1"/>
  <c r="J32" i="14"/>
  <c r="I32" i="14" a="1"/>
  <c r="I32" i="14"/>
  <c r="F32" i="14" a="1"/>
  <c r="F32" i="14"/>
  <c r="E32" i="14" a="1"/>
  <c r="E32" i="14"/>
  <c r="D32" i="14" a="1"/>
  <c r="D32" i="14"/>
  <c r="C32" i="14" a="1"/>
  <c r="C32" i="14"/>
  <c r="B32" i="14" a="1"/>
  <c r="B32" i="14"/>
  <c r="L33" i="14" a="1"/>
  <c r="L33" i="14"/>
  <c r="J33" i="14" a="1"/>
  <c r="J33" i="14"/>
  <c r="I33" i="14" a="1"/>
  <c r="I33" i="14"/>
  <c r="F33" i="14" a="1"/>
  <c r="F33" i="14"/>
  <c r="E33" i="14" a="1"/>
  <c r="E33" i="14"/>
  <c r="D33" i="14" a="1"/>
  <c r="D33" i="14"/>
  <c r="C33" i="14" a="1"/>
  <c r="C33" i="14"/>
  <c r="B33" i="14" a="1"/>
  <c r="B33" i="14"/>
  <c r="L34" i="14" a="1"/>
  <c r="L34" i="14"/>
  <c r="J34" i="14" a="1"/>
  <c r="J34" i="14"/>
  <c r="I34" i="14" a="1"/>
  <c r="I34" i="14"/>
  <c r="F34" i="14" a="1"/>
  <c r="F34" i="14"/>
  <c r="E34" i="14" a="1"/>
  <c r="E34" i="14"/>
  <c r="D34" i="14" a="1"/>
  <c r="D34" i="14"/>
  <c r="C34" i="14" a="1"/>
  <c r="C34" i="14"/>
  <c r="B34" i="14" a="1"/>
  <c r="B34" i="14"/>
  <c r="L35" i="14" a="1"/>
  <c r="L35" i="14"/>
  <c r="J35" i="14" a="1"/>
  <c r="J35" i="14"/>
  <c r="I35" i="14" a="1"/>
  <c r="I35" i="14"/>
  <c r="F35" i="14" a="1"/>
  <c r="F35" i="14"/>
  <c r="E35" i="14" a="1"/>
  <c r="E35" i="14"/>
  <c r="D35" i="14" a="1"/>
  <c r="D35" i="14"/>
  <c r="C35" i="14" a="1"/>
  <c r="C35" i="14"/>
  <c r="B35" i="14" a="1"/>
  <c r="B35" i="14"/>
  <c r="L36" i="14" a="1"/>
  <c r="L36" i="14"/>
  <c r="J36" i="14" a="1"/>
  <c r="J36" i="14"/>
  <c r="I36" i="14" a="1"/>
  <c r="I36" i="14"/>
  <c r="F36" i="14" a="1"/>
  <c r="F36" i="14"/>
  <c r="E36" i="14" a="1"/>
  <c r="E36" i="14"/>
  <c r="D36" i="14" a="1"/>
  <c r="D36" i="14"/>
  <c r="C36" i="14" a="1"/>
  <c r="C36" i="14"/>
  <c r="B36" i="14" a="1"/>
  <c r="B36" i="14"/>
  <c r="L37" i="14" a="1"/>
  <c r="L37" i="14"/>
  <c r="J37" i="14" a="1"/>
  <c r="J37" i="14"/>
  <c r="I37" i="14" a="1"/>
  <c r="I37" i="14"/>
  <c r="F37" i="14" a="1"/>
  <c r="F37" i="14"/>
  <c r="E37" i="14" a="1"/>
  <c r="E37" i="14"/>
  <c r="D37" i="14" a="1"/>
  <c r="D37" i="14"/>
  <c r="C37" i="14" a="1"/>
  <c r="C37" i="14"/>
  <c r="B37" i="14" a="1"/>
  <c r="B37" i="14"/>
  <c r="L38" i="14" a="1"/>
  <c r="L38" i="14"/>
  <c r="J38" i="14" a="1"/>
  <c r="J38" i="14"/>
  <c r="I38" i="14" a="1"/>
  <c r="I38" i="14"/>
  <c r="F38" i="14" a="1"/>
  <c r="F38" i="14"/>
  <c r="E38" i="14" a="1"/>
  <c r="E38" i="14"/>
  <c r="D38" i="14" a="1"/>
  <c r="D38" i="14"/>
  <c r="C38" i="14" a="1"/>
  <c r="C38" i="14"/>
  <c r="B38" i="14" a="1"/>
  <c r="B38" i="14"/>
  <c r="L39" i="14" a="1"/>
  <c r="L39" i="14"/>
  <c r="J39" i="14" a="1"/>
  <c r="J39" i="14"/>
  <c r="I39" i="14" a="1"/>
  <c r="I39" i="14"/>
  <c r="F39" i="14" a="1"/>
  <c r="F39" i="14"/>
  <c r="E39" i="14" a="1"/>
  <c r="E39" i="14"/>
  <c r="D39" i="14" a="1"/>
  <c r="D39" i="14"/>
  <c r="C39" i="14" a="1"/>
  <c r="C39" i="14"/>
  <c r="B39" i="14" a="1"/>
  <c r="B39" i="14"/>
  <c r="L40" i="14" a="1"/>
  <c r="L40" i="14"/>
  <c r="J40" i="14" a="1"/>
  <c r="J40" i="14"/>
  <c r="I40" i="14" a="1"/>
  <c r="I40" i="14"/>
  <c r="F40" i="14" a="1"/>
  <c r="F40" i="14"/>
  <c r="E40" i="14" a="1"/>
  <c r="E40" i="14"/>
  <c r="D40" i="14" a="1"/>
  <c r="D40" i="14"/>
  <c r="C40" i="14" a="1"/>
  <c r="C40" i="14"/>
  <c r="B40" i="14" a="1"/>
  <c r="B40" i="14"/>
  <c r="L41" i="14" a="1"/>
  <c r="L41" i="14"/>
  <c r="J41" i="14" a="1"/>
  <c r="J41" i="14"/>
  <c r="I41" i="14" a="1"/>
  <c r="I41" i="14"/>
  <c r="F41" i="14" a="1"/>
  <c r="F41" i="14"/>
  <c r="E41" i="14" a="1"/>
  <c r="E41" i="14"/>
  <c r="D41" i="14" a="1"/>
  <c r="D41" i="14"/>
  <c r="C41" i="14" a="1"/>
  <c r="C41" i="14"/>
  <c r="B41" i="14" a="1"/>
  <c r="B41" i="14"/>
  <c r="L42" i="14" a="1"/>
  <c r="L42" i="14"/>
  <c r="J42" i="14" a="1"/>
  <c r="J42" i="14"/>
  <c r="I42" i="14" a="1"/>
  <c r="I42" i="14"/>
  <c r="F42" i="14" a="1"/>
  <c r="F42" i="14"/>
  <c r="E42" i="14" a="1"/>
  <c r="E42" i="14"/>
  <c r="D42" i="14" a="1"/>
  <c r="D42" i="14"/>
  <c r="C42" i="14" a="1"/>
  <c r="C42" i="14"/>
  <c r="B42" i="14" a="1"/>
  <c r="B42" i="14"/>
  <c r="L43" i="14" a="1"/>
  <c r="L43" i="14"/>
  <c r="J43" i="14" a="1"/>
  <c r="J43" i="14"/>
  <c r="I43" i="14" a="1"/>
  <c r="I43" i="14"/>
  <c r="F43" i="14" a="1"/>
  <c r="F43" i="14"/>
  <c r="E43" i="14" a="1"/>
  <c r="E43" i="14"/>
  <c r="D43" i="14" a="1"/>
  <c r="D43" i="14"/>
  <c r="C43" i="14" a="1"/>
  <c r="C43" i="14"/>
  <c r="B43" i="14" a="1"/>
  <c r="B43" i="14"/>
  <c r="L44" i="14" a="1"/>
  <c r="L44" i="14"/>
  <c r="J44" i="14" a="1"/>
  <c r="J44" i="14"/>
  <c r="I44" i="14" a="1"/>
  <c r="I44" i="14"/>
  <c r="F44" i="14" a="1"/>
  <c r="F44" i="14"/>
  <c r="E44" i="14" a="1"/>
  <c r="E44" i="14"/>
  <c r="D44" i="14" a="1"/>
  <c r="D44" i="14"/>
  <c r="C44" i="14" a="1"/>
  <c r="C44" i="14"/>
  <c r="B44" i="14" a="1"/>
  <c r="B44" i="14"/>
  <c r="L45" i="14" a="1"/>
  <c r="L45" i="14"/>
  <c r="J45" i="14" a="1"/>
  <c r="J45" i="14"/>
  <c r="I45" i="14" a="1"/>
  <c r="I45" i="14"/>
  <c r="F45" i="14" a="1"/>
  <c r="F45" i="14"/>
  <c r="E45" i="14" a="1"/>
  <c r="E45" i="14"/>
  <c r="D45" i="14" a="1"/>
  <c r="D45" i="14"/>
  <c r="C45" i="14" a="1"/>
  <c r="C45" i="14"/>
  <c r="B45" i="14" a="1"/>
  <c r="B45" i="14"/>
  <c r="L46" i="14" a="1"/>
  <c r="L46" i="14"/>
  <c r="J46" i="14" a="1"/>
  <c r="J46" i="14"/>
  <c r="I46" i="14" a="1"/>
  <c r="I46" i="14"/>
  <c r="F46" i="14" a="1"/>
  <c r="F46" i="14"/>
  <c r="E46" i="14" a="1"/>
  <c r="E46" i="14"/>
  <c r="D46" i="14" a="1"/>
  <c r="D46" i="14"/>
  <c r="C46" i="14" a="1"/>
  <c r="C46" i="14"/>
  <c r="B46" i="14" a="1"/>
  <c r="B46" i="14"/>
  <c r="L47" i="14" a="1"/>
  <c r="L47" i="14"/>
  <c r="J47" i="14" a="1"/>
  <c r="J47" i="14"/>
  <c r="I47" i="14" a="1"/>
  <c r="I47" i="14"/>
  <c r="F47" i="14" a="1"/>
  <c r="F47" i="14"/>
  <c r="E47" i="14" a="1"/>
  <c r="E47" i="14"/>
  <c r="D47" i="14" a="1"/>
  <c r="D47" i="14"/>
  <c r="C47" i="14" a="1"/>
  <c r="C47" i="14"/>
  <c r="B47" i="14" a="1"/>
  <c r="B47" i="14"/>
  <c r="L48" i="14" a="1"/>
  <c r="L48" i="14"/>
  <c r="J48" i="14" a="1"/>
  <c r="J48" i="14"/>
  <c r="I48" i="14" a="1"/>
  <c r="I48" i="14"/>
  <c r="F48" i="14" a="1"/>
  <c r="F48" i="14"/>
  <c r="E48" i="14" a="1"/>
  <c r="E48" i="14"/>
  <c r="D48" i="14" a="1"/>
  <c r="D48" i="14"/>
  <c r="C48" i="14" a="1"/>
  <c r="C48" i="14"/>
  <c r="B48" i="14" a="1"/>
  <c r="B48" i="14"/>
  <c r="L49" i="14" a="1"/>
  <c r="L49" i="14"/>
  <c r="J49" i="14" a="1"/>
  <c r="J49" i="14"/>
  <c r="I49" i="14" a="1"/>
  <c r="I49" i="14"/>
  <c r="F49" i="14" a="1"/>
  <c r="F49" i="14"/>
  <c r="E49" i="14" a="1"/>
  <c r="E49" i="14"/>
  <c r="D49" i="14" a="1"/>
  <c r="D49" i="14"/>
  <c r="C49" i="14" a="1"/>
  <c r="C49" i="14"/>
  <c r="B49" i="14" a="1"/>
  <c r="B49" i="14"/>
  <c r="L50" i="14" a="1"/>
  <c r="L50" i="14"/>
  <c r="J50" i="14" a="1"/>
  <c r="J50" i="14"/>
  <c r="I50" i="14" a="1"/>
  <c r="I50" i="14"/>
  <c r="F50" i="14" a="1"/>
  <c r="F50" i="14"/>
  <c r="E50" i="14" a="1"/>
  <c r="E50" i="14"/>
  <c r="D50" i="14" a="1"/>
  <c r="D50" i="14"/>
  <c r="C50" i="14" a="1"/>
  <c r="C50" i="14"/>
  <c r="B50" i="14" a="1"/>
  <c r="B50" i="14"/>
  <c r="L51" i="14" a="1"/>
  <c r="L51" i="14"/>
  <c r="J51" i="14" a="1"/>
  <c r="J51" i="14"/>
  <c r="I51" i="14" a="1"/>
  <c r="I51" i="14"/>
  <c r="F51" i="14" a="1"/>
  <c r="F51" i="14"/>
  <c r="E51" i="14" a="1"/>
  <c r="E51" i="14"/>
  <c r="D51" i="14" a="1"/>
  <c r="D51" i="14"/>
  <c r="C51" i="14" a="1"/>
  <c r="C51" i="14"/>
  <c r="B51" i="14" a="1"/>
  <c r="B51" i="14"/>
  <c r="L52" i="14" a="1"/>
  <c r="L52" i="14"/>
  <c r="J52" i="14" a="1"/>
  <c r="J52" i="14"/>
  <c r="I52" i="14" a="1"/>
  <c r="I52" i="14"/>
  <c r="F52" i="14" a="1"/>
  <c r="F52" i="14"/>
  <c r="E52" i="14" a="1"/>
  <c r="E52" i="14"/>
  <c r="D52" i="14" a="1"/>
  <c r="D52" i="14"/>
  <c r="C52" i="14" a="1"/>
  <c r="C52" i="14"/>
  <c r="B52" i="14" a="1"/>
  <c r="B52" i="14"/>
  <c r="L53" i="14" a="1"/>
  <c r="L53" i="14"/>
  <c r="J53" i="14" a="1"/>
  <c r="J53" i="14"/>
  <c r="I53" i="14" a="1"/>
  <c r="I53" i="14"/>
  <c r="F53" i="14" a="1"/>
  <c r="F53" i="14"/>
  <c r="E53" i="14" a="1"/>
  <c r="E53" i="14"/>
  <c r="D53" i="14" a="1"/>
  <c r="D53" i="14"/>
  <c r="C53" i="14" a="1"/>
  <c r="C53" i="14"/>
  <c r="B53" i="14" a="1"/>
  <c r="B53" i="14"/>
  <c r="L54" i="14" a="1"/>
  <c r="L54" i="14"/>
  <c r="J54" i="14" a="1"/>
  <c r="J54" i="14"/>
  <c r="I54" i="14" a="1"/>
  <c r="I54" i="14"/>
  <c r="F54" i="14" a="1"/>
  <c r="F54" i="14"/>
  <c r="E54" i="14" a="1"/>
  <c r="E54" i="14"/>
  <c r="D54" i="14" a="1"/>
  <c r="D54" i="14"/>
  <c r="C54" i="14" a="1"/>
  <c r="C54" i="14"/>
  <c r="B54" i="14" a="1"/>
  <c r="B54" i="14"/>
  <c r="L55" i="14" a="1"/>
  <c r="L55" i="14"/>
  <c r="J55" i="14" a="1"/>
  <c r="J55" i="14"/>
  <c r="I55" i="14" a="1"/>
  <c r="I55" i="14"/>
  <c r="F55" i="14" a="1"/>
  <c r="F55" i="14"/>
  <c r="E55" i="14" a="1"/>
  <c r="E55" i="14"/>
  <c r="D55" i="14" a="1"/>
  <c r="D55" i="14"/>
  <c r="C55" i="14" a="1"/>
  <c r="C55" i="14"/>
  <c r="B55" i="14" a="1"/>
  <c r="B55" i="14"/>
  <c r="L56" i="14" a="1"/>
  <c r="L56" i="14"/>
  <c r="J56" i="14" a="1"/>
  <c r="J56" i="14"/>
  <c r="I56" i="14" a="1"/>
  <c r="I56" i="14"/>
  <c r="F56" i="14" a="1"/>
  <c r="F56" i="14"/>
  <c r="E56" i="14" a="1"/>
  <c r="E56" i="14"/>
  <c r="D56" i="14" a="1"/>
  <c r="D56" i="14"/>
  <c r="C56" i="14" a="1"/>
  <c r="C56" i="14"/>
  <c r="B56" i="14" a="1"/>
  <c r="B56" i="14"/>
  <c r="L57" i="14" a="1"/>
  <c r="L57" i="14"/>
  <c r="J57" i="14" a="1"/>
  <c r="J57" i="14"/>
  <c r="I57" i="14" a="1"/>
  <c r="I57" i="14"/>
  <c r="F57" i="14" a="1"/>
  <c r="F57" i="14"/>
  <c r="E57" i="14" a="1"/>
  <c r="E57" i="14"/>
  <c r="D57" i="14" a="1"/>
  <c r="D57" i="14"/>
  <c r="C57" i="14" a="1"/>
  <c r="C57" i="14"/>
  <c r="B57" i="14" a="1"/>
  <c r="B57" i="14"/>
  <c r="L58" i="14" a="1"/>
  <c r="L58" i="14"/>
  <c r="J58" i="14" a="1"/>
  <c r="J58" i="14"/>
  <c r="I58" i="14" a="1"/>
  <c r="I58" i="14"/>
  <c r="F58" i="14" a="1"/>
  <c r="F58" i="14"/>
  <c r="E58" i="14" a="1"/>
  <c r="E58" i="14"/>
  <c r="D58" i="14" a="1"/>
  <c r="D58" i="14"/>
  <c r="C58" i="14" a="1"/>
  <c r="C58" i="14"/>
  <c r="B58" i="14" a="1"/>
  <c r="B58" i="14"/>
  <c r="L59" i="14" a="1"/>
  <c r="L59" i="14"/>
  <c r="J59" i="14" a="1"/>
  <c r="J59" i="14"/>
  <c r="I59" i="14" a="1"/>
  <c r="I59" i="14"/>
  <c r="F59" i="14" a="1"/>
  <c r="F59" i="14"/>
  <c r="E59" i="14" a="1"/>
  <c r="E59" i="14"/>
  <c r="D59" i="14" a="1"/>
  <c r="D59" i="14"/>
  <c r="C59" i="14" a="1"/>
  <c r="C59" i="14"/>
  <c r="B59" i="14" a="1"/>
  <c r="B59" i="14"/>
  <c r="L60" i="14" a="1"/>
  <c r="L60" i="14"/>
  <c r="J60" i="14" a="1"/>
  <c r="J60" i="14"/>
  <c r="I60" i="14" a="1"/>
  <c r="I60" i="14"/>
  <c r="F60" i="14" a="1"/>
  <c r="F60" i="14"/>
  <c r="E60" i="14" a="1"/>
  <c r="E60" i="14"/>
  <c r="D60" i="14" a="1"/>
  <c r="D60" i="14"/>
  <c r="C60" i="14" a="1"/>
  <c r="C60" i="14"/>
  <c r="B60" i="14" a="1"/>
  <c r="B60" i="14"/>
  <c r="L61" i="14" a="1"/>
  <c r="L61" i="14"/>
  <c r="J61" i="14" a="1"/>
  <c r="J61" i="14"/>
  <c r="I61" i="14" a="1"/>
  <c r="I61" i="14"/>
  <c r="F61" i="14" a="1"/>
  <c r="F61" i="14"/>
  <c r="E61" i="14" a="1"/>
  <c r="E61" i="14"/>
  <c r="D61" i="14" a="1"/>
  <c r="D61" i="14"/>
  <c r="C61" i="14" a="1"/>
  <c r="C61" i="14"/>
  <c r="B61" i="14" a="1"/>
  <c r="B61" i="14"/>
  <c r="L62" i="14" a="1"/>
  <c r="L62" i="14"/>
  <c r="J62" i="14" a="1"/>
  <c r="J62" i="14"/>
  <c r="I62" i="14" a="1"/>
  <c r="I62" i="14"/>
  <c r="F62" i="14" a="1"/>
  <c r="F62" i="14"/>
  <c r="E62" i="14" a="1"/>
  <c r="E62" i="14"/>
  <c r="D62" i="14" a="1"/>
  <c r="D62" i="14"/>
  <c r="C62" i="14" a="1"/>
  <c r="C62" i="14"/>
  <c r="B62" i="14" a="1"/>
  <c r="B62" i="14"/>
  <c r="L63" i="14" a="1"/>
  <c r="L63" i="14"/>
  <c r="J63" i="14" a="1"/>
  <c r="J63" i="14"/>
  <c r="I63" i="14" a="1"/>
  <c r="I63" i="14"/>
  <c r="F63" i="14" a="1"/>
  <c r="F63" i="14"/>
  <c r="E63" i="14" a="1"/>
  <c r="E63" i="14"/>
  <c r="D63" i="14" a="1"/>
  <c r="D63" i="14"/>
  <c r="C63" i="14" a="1"/>
  <c r="C63" i="14"/>
  <c r="B63" i="14" a="1"/>
  <c r="B63" i="14"/>
  <c r="L64" i="14" a="1"/>
  <c r="L64" i="14"/>
  <c r="J64" i="14" a="1"/>
  <c r="J64" i="14"/>
  <c r="I64" i="14" a="1"/>
  <c r="I64" i="14"/>
  <c r="F64" i="14" a="1"/>
  <c r="F64" i="14"/>
  <c r="E64" i="14" a="1"/>
  <c r="E64" i="14"/>
  <c r="D64" i="14" a="1"/>
  <c r="D64" i="14"/>
  <c r="C64" i="14" a="1"/>
  <c r="C64" i="14"/>
  <c r="B64" i="14" a="1"/>
  <c r="B64" i="14"/>
  <c r="L65" i="14" a="1"/>
  <c r="L65" i="14"/>
  <c r="J65" i="14" a="1"/>
  <c r="J65" i="14"/>
  <c r="I65" i="14" a="1"/>
  <c r="I65" i="14"/>
  <c r="F65" i="14" a="1"/>
  <c r="F65" i="14"/>
  <c r="E65" i="14" a="1"/>
  <c r="E65" i="14"/>
  <c r="D65" i="14" a="1"/>
  <c r="D65" i="14"/>
  <c r="C65" i="14" a="1"/>
  <c r="C65" i="14"/>
  <c r="B65" i="14" a="1"/>
  <c r="B65" i="14"/>
  <c r="L66" i="14" a="1"/>
  <c r="L66" i="14"/>
  <c r="J66" i="14" a="1"/>
  <c r="J66" i="14"/>
  <c r="I66" i="14" a="1"/>
  <c r="I66" i="14"/>
  <c r="F66" i="14" a="1"/>
  <c r="F66" i="14"/>
  <c r="E66" i="14" a="1"/>
  <c r="E66" i="14"/>
  <c r="D66" i="14" a="1"/>
  <c r="D66" i="14"/>
  <c r="C66" i="14" a="1"/>
  <c r="C66" i="14"/>
  <c r="B66" i="14" a="1"/>
  <c r="B66" i="14"/>
  <c r="L67" i="14" a="1"/>
  <c r="L67" i="14"/>
  <c r="J67" i="14" a="1"/>
  <c r="J67" i="14"/>
  <c r="I67" i="14" a="1"/>
  <c r="I67" i="14"/>
  <c r="F67" i="14" a="1"/>
  <c r="F67" i="14"/>
  <c r="E67" i="14" a="1"/>
  <c r="E67" i="14"/>
  <c r="D67" i="14" a="1"/>
  <c r="D67" i="14"/>
  <c r="C67" i="14" a="1"/>
  <c r="C67" i="14"/>
  <c r="B67" i="14" a="1"/>
  <c r="B67" i="14"/>
  <c r="L68" i="14" a="1"/>
  <c r="L68" i="14"/>
  <c r="J68" i="14" a="1"/>
  <c r="J68" i="14"/>
  <c r="I68" i="14" a="1"/>
  <c r="I68" i="14"/>
  <c r="F68" i="14" a="1"/>
  <c r="F68" i="14"/>
  <c r="E68" i="14" a="1"/>
  <c r="E68" i="14"/>
  <c r="D68" i="14" a="1"/>
  <c r="D68" i="14"/>
  <c r="C68" i="14" a="1"/>
  <c r="C68" i="14"/>
  <c r="B68" i="14" a="1"/>
  <c r="B68" i="14"/>
  <c r="L69" i="14" a="1"/>
  <c r="L69" i="14"/>
  <c r="J69" i="14" a="1"/>
  <c r="J69" i="14"/>
  <c r="I69" i="14" a="1"/>
  <c r="I69" i="14"/>
  <c r="F69" i="14" a="1"/>
  <c r="F69" i="14"/>
  <c r="E69" i="14" a="1"/>
  <c r="E69" i="14"/>
  <c r="D69" i="14" a="1"/>
  <c r="D69" i="14"/>
  <c r="C69" i="14" a="1"/>
  <c r="C69" i="14"/>
  <c r="B69" i="14" a="1"/>
  <c r="B69" i="14"/>
  <c r="L70" i="14" a="1"/>
  <c r="L70" i="14"/>
  <c r="J70" i="14" a="1"/>
  <c r="J70" i="14"/>
  <c r="I70" i="14" a="1"/>
  <c r="I70" i="14"/>
  <c r="F70" i="14" a="1"/>
  <c r="F70" i="14"/>
  <c r="E70" i="14" a="1"/>
  <c r="E70" i="14"/>
  <c r="D70" i="14" a="1"/>
  <c r="D70" i="14"/>
  <c r="C70" i="14" a="1"/>
  <c r="C70" i="14"/>
  <c r="B70" i="14" a="1"/>
  <c r="B70" i="14"/>
  <c r="L71" i="14" a="1"/>
  <c r="L71" i="14"/>
  <c r="J71" i="14" a="1"/>
  <c r="J71" i="14"/>
  <c r="I71" i="14" a="1"/>
  <c r="I71" i="14"/>
  <c r="F71" i="14" a="1"/>
  <c r="F71" i="14"/>
  <c r="E71" i="14" a="1"/>
  <c r="E71" i="14"/>
  <c r="D71" i="14" a="1"/>
  <c r="D71" i="14"/>
  <c r="C71" i="14" a="1"/>
  <c r="C71" i="14"/>
  <c r="B71" i="14" a="1"/>
  <c r="B71" i="14"/>
  <c r="L72" i="14" a="1"/>
  <c r="L72" i="14"/>
  <c r="J72" i="14" a="1"/>
  <c r="J72" i="14"/>
  <c r="I72" i="14" a="1"/>
  <c r="I72" i="14"/>
  <c r="F72" i="14" a="1"/>
  <c r="F72" i="14"/>
  <c r="E72" i="14" a="1"/>
  <c r="E72" i="14"/>
  <c r="D72" i="14" a="1"/>
  <c r="D72" i="14"/>
  <c r="C72" i="14" a="1"/>
  <c r="C72" i="14"/>
  <c r="B72" i="14" a="1"/>
  <c r="B72" i="14"/>
  <c r="L73" i="14" a="1"/>
  <c r="L73" i="14"/>
  <c r="J73" i="14" a="1"/>
  <c r="J73" i="14"/>
  <c r="I73" i="14" a="1"/>
  <c r="I73" i="14"/>
  <c r="F73" i="14" a="1"/>
  <c r="F73" i="14"/>
  <c r="E73" i="14" a="1"/>
  <c r="E73" i="14"/>
  <c r="D73" i="14" a="1"/>
  <c r="D73" i="14"/>
  <c r="C73" i="14" a="1"/>
  <c r="C73" i="14"/>
  <c r="B73" i="14" a="1"/>
  <c r="B73" i="14"/>
  <c r="L74" i="14" a="1"/>
  <c r="L74" i="14"/>
  <c r="J74" i="14" a="1"/>
  <c r="J74" i="14"/>
  <c r="I74" i="14" a="1"/>
  <c r="I74" i="14"/>
  <c r="F74" i="14" a="1"/>
  <c r="F74" i="14"/>
  <c r="E74" i="14" a="1"/>
  <c r="E74" i="14"/>
  <c r="D74" i="14" a="1"/>
  <c r="D74" i="14"/>
  <c r="C74" i="14" a="1"/>
  <c r="C74" i="14"/>
  <c r="B74" i="14" a="1"/>
  <c r="B74" i="14"/>
  <c r="L75" i="14" a="1"/>
  <c r="L75" i="14"/>
  <c r="J75" i="14" a="1"/>
  <c r="J75" i="14"/>
  <c r="I75" i="14" a="1"/>
  <c r="I75" i="14"/>
  <c r="F75" i="14" a="1"/>
  <c r="F75" i="14"/>
  <c r="E75" i="14" a="1"/>
  <c r="E75" i="14"/>
  <c r="D75" i="14" a="1"/>
  <c r="D75" i="14"/>
  <c r="C75" i="14" a="1"/>
  <c r="C75" i="14"/>
  <c r="B75" i="14" a="1"/>
  <c r="B75" i="14"/>
  <c r="L76" i="14" a="1"/>
  <c r="L76" i="14"/>
  <c r="J76" i="14" a="1"/>
  <c r="J76" i="14"/>
  <c r="I76" i="14" a="1"/>
  <c r="I76" i="14"/>
  <c r="F76" i="14" a="1"/>
  <c r="F76" i="14"/>
  <c r="E76" i="14" a="1"/>
  <c r="E76" i="14"/>
  <c r="D76" i="14" a="1"/>
  <c r="D76" i="14"/>
  <c r="C76" i="14" a="1"/>
  <c r="C76" i="14"/>
  <c r="B76" i="14" a="1"/>
  <c r="B76" i="14"/>
  <c r="L77" i="14" a="1"/>
  <c r="L77" i="14"/>
  <c r="J77" i="14" a="1"/>
  <c r="J77" i="14"/>
  <c r="I77" i="14" a="1"/>
  <c r="I77" i="14"/>
  <c r="F77" i="14" a="1"/>
  <c r="F77" i="14"/>
  <c r="E77" i="14" a="1"/>
  <c r="E77" i="14"/>
  <c r="D77" i="14" a="1"/>
  <c r="D77" i="14"/>
  <c r="C77" i="14" a="1"/>
  <c r="C77" i="14"/>
  <c r="B77" i="14" a="1"/>
  <c r="B77" i="14"/>
  <c r="L78" i="14" a="1"/>
  <c r="L78" i="14"/>
  <c r="J78" i="14" a="1"/>
  <c r="J78" i="14"/>
  <c r="I78" i="14" a="1"/>
  <c r="I78" i="14"/>
  <c r="F78" i="14" a="1"/>
  <c r="F78" i="14"/>
  <c r="E78" i="14" a="1"/>
  <c r="E78" i="14"/>
  <c r="D78" i="14" a="1"/>
  <c r="D78" i="14"/>
  <c r="C78" i="14" a="1"/>
  <c r="C78" i="14"/>
  <c r="B78" i="14" a="1"/>
  <c r="B78" i="14"/>
  <c r="L79" i="14" a="1"/>
  <c r="L79" i="14"/>
  <c r="J79" i="14" a="1"/>
  <c r="J79" i="14"/>
  <c r="I79" i="14" a="1"/>
  <c r="I79" i="14"/>
  <c r="F79" i="14" a="1"/>
  <c r="F79" i="14"/>
  <c r="E79" i="14" a="1"/>
  <c r="E79" i="14"/>
  <c r="D79" i="14" a="1"/>
  <c r="D79" i="14"/>
  <c r="C79" i="14" a="1"/>
  <c r="C79" i="14"/>
  <c r="B79" i="14" a="1"/>
  <c r="B79" i="14"/>
  <c r="L80" i="14" a="1"/>
  <c r="L80" i="14"/>
  <c r="J80" i="14" a="1"/>
  <c r="J80" i="14"/>
  <c r="I80" i="14" a="1"/>
  <c r="I80" i="14"/>
  <c r="F80" i="14" a="1"/>
  <c r="F80" i="14"/>
  <c r="E80" i="14" a="1"/>
  <c r="E80" i="14"/>
  <c r="D80" i="14" a="1"/>
  <c r="D80" i="14"/>
  <c r="C80" i="14" a="1"/>
  <c r="C80" i="14"/>
  <c r="B80" i="14" a="1"/>
  <c r="B80" i="14"/>
  <c r="L81" i="14" a="1"/>
  <c r="L81" i="14"/>
  <c r="J81" i="14" a="1"/>
  <c r="J81" i="14"/>
  <c r="I81" i="14" a="1"/>
  <c r="I81" i="14"/>
  <c r="F81" i="14" a="1"/>
  <c r="F81" i="14"/>
  <c r="E81" i="14" a="1"/>
  <c r="E81" i="14"/>
  <c r="D81" i="14" a="1"/>
  <c r="D81" i="14"/>
  <c r="C81" i="14" a="1"/>
  <c r="C81" i="14"/>
  <c r="B81" i="14" a="1"/>
  <c r="B81" i="14"/>
  <c r="L82" i="14" a="1"/>
  <c r="L82" i="14"/>
  <c r="J82" i="14" a="1"/>
  <c r="J82" i="14"/>
  <c r="I82" i="14" a="1"/>
  <c r="I82" i="14"/>
  <c r="F82" i="14" a="1"/>
  <c r="F82" i="14"/>
  <c r="E82" i="14" a="1"/>
  <c r="E82" i="14"/>
  <c r="D82" i="14" a="1"/>
  <c r="D82" i="14"/>
  <c r="C82" i="14" a="1"/>
  <c r="C82" i="14"/>
  <c r="B82" i="14" a="1"/>
  <c r="B82" i="14"/>
  <c r="L83" i="14" a="1"/>
  <c r="L83" i="14"/>
  <c r="J83" i="14" a="1"/>
  <c r="J83" i="14"/>
  <c r="I83" i="14" a="1"/>
  <c r="I83" i="14"/>
  <c r="F83" i="14" a="1"/>
  <c r="F83" i="14"/>
  <c r="E83" i="14" a="1"/>
  <c r="E83" i="14"/>
  <c r="D83" i="14" a="1"/>
  <c r="D83" i="14"/>
  <c r="C83" i="14" a="1"/>
  <c r="C83" i="14"/>
  <c r="B83" i="14" a="1"/>
  <c r="B83" i="14"/>
  <c r="L84" i="14" a="1"/>
  <c r="L84" i="14"/>
  <c r="J84" i="14" a="1"/>
  <c r="J84" i="14"/>
  <c r="I84" i="14" a="1"/>
  <c r="I84" i="14"/>
  <c r="F84" i="14" a="1"/>
  <c r="F84" i="14"/>
  <c r="E84" i="14" a="1"/>
  <c r="E84" i="14"/>
  <c r="D84" i="14" a="1"/>
  <c r="D84" i="14"/>
  <c r="C84" i="14" a="1"/>
  <c r="C84" i="14"/>
  <c r="B84" i="14" a="1"/>
  <c r="B84" i="14"/>
  <c r="L85" i="14" a="1"/>
  <c r="L85" i="14"/>
  <c r="J85" i="14" a="1"/>
  <c r="J85" i="14"/>
  <c r="I85" i="14" a="1"/>
  <c r="I85" i="14"/>
  <c r="F85" i="14" a="1"/>
  <c r="F85" i="14"/>
  <c r="E85" i="14" a="1"/>
  <c r="E85" i="14"/>
  <c r="D85" i="14" a="1"/>
  <c r="D85" i="14"/>
  <c r="C85" i="14" a="1"/>
  <c r="C85" i="14"/>
  <c r="B85" i="14" a="1"/>
  <c r="B85" i="14"/>
  <c r="L86" i="14" a="1"/>
  <c r="L86" i="14"/>
  <c r="J86" i="14" a="1"/>
  <c r="J86" i="14"/>
  <c r="I86" i="14" a="1"/>
  <c r="I86" i="14"/>
  <c r="F86" i="14" a="1"/>
  <c r="F86" i="14"/>
  <c r="E86" i="14" a="1"/>
  <c r="E86" i="14"/>
  <c r="D86" i="14" a="1"/>
  <c r="D86" i="14"/>
  <c r="C86" i="14" a="1"/>
  <c r="C86" i="14"/>
  <c r="B86" i="14" a="1"/>
  <c r="B86" i="14"/>
  <c r="L87" i="14" a="1"/>
  <c r="L87" i="14"/>
  <c r="J87" i="14" a="1"/>
  <c r="J87" i="14"/>
  <c r="I87" i="14" a="1"/>
  <c r="I87" i="14"/>
  <c r="F87" i="14" a="1"/>
  <c r="F87" i="14"/>
  <c r="E87" i="14" a="1"/>
  <c r="E87" i="14"/>
  <c r="D87" i="14" a="1"/>
  <c r="D87" i="14"/>
  <c r="C87" i="14" a="1"/>
  <c r="C87" i="14"/>
  <c r="B87" i="14" a="1"/>
  <c r="B87" i="14"/>
  <c r="L88" i="14" a="1"/>
  <c r="L88" i="14"/>
  <c r="J88" i="14" a="1"/>
  <c r="J88" i="14"/>
  <c r="I88" i="14" a="1"/>
  <c r="I88" i="14"/>
  <c r="F88" i="14" a="1"/>
  <c r="F88" i="14"/>
  <c r="E88" i="14" a="1"/>
  <c r="E88" i="14"/>
  <c r="D88" i="14" a="1"/>
  <c r="D88" i="14"/>
  <c r="C88" i="14" a="1"/>
  <c r="C88" i="14"/>
  <c r="B88" i="14" a="1"/>
  <c r="B88" i="14"/>
  <c r="L89" i="14" a="1"/>
  <c r="L89" i="14"/>
  <c r="J89" i="14" a="1"/>
  <c r="J89" i="14"/>
  <c r="I89" i="14" a="1"/>
  <c r="I89" i="14"/>
  <c r="F89" i="14" a="1"/>
  <c r="F89" i="14"/>
  <c r="E89" i="14" a="1"/>
  <c r="E89" i="14"/>
  <c r="D89" i="14" a="1"/>
  <c r="D89" i="14"/>
  <c r="C89" i="14" a="1"/>
  <c r="C89" i="14"/>
  <c r="B89" i="14" a="1"/>
  <c r="B89" i="14"/>
  <c r="L90" i="14" a="1"/>
  <c r="L90" i="14"/>
  <c r="J90" i="14" a="1"/>
  <c r="J90" i="14"/>
  <c r="I90" i="14" a="1"/>
  <c r="I90" i="14"/>
  <c r="F90" i="14" a="1"/>
  <c r="F90" i="14"/>
  <c r="E90" i="14" a="1"/>
  <c r="E90" i="14"/>
  <c r="D90" i="14" a="1"/>
  <c r="D90" i="14"/>
  <c r="C90" i="14" a="1"/>
  <c r="C90" i="14"/>
  <c r="B90" i="14" a="1"/>
  <c r="B90" i="14"/>
  <c r="L91" i="14" a="1"/>
  <c r="L91" i="14"/>
  <c r="J91" i="14" a="1"/>
  <c r="J91" i="14"/>
  <c r="I91" i="14" a="1"/>
  <c r="I91" i="14"/>
  <c r="F91" i="14" a="1"/>
  <c r="F91" i="14"/>
  <c r="E91" i="14" a="1"/>
  <c r="E91" i="14"/>
  <c r="D91" i="14" a="1"/>
  <c r="D91" i="14"/>
  <c r="C91" i="14" a="1"/>
  <c r="C91" i="14"/>
  <c r="B91" i="14" a="1"/>
  <c r="B91" i="14"/>
  <c r="L92" i="14" a="1"/>
  <c r="L92" i="14"/>
  <c r="J92" i="14" a="1"/>
  <c r="J92" i="14"/>
  <c r="I92" i="14" a="1"/>
  <c r="I92" i="14"/>
  <c r="F92" i="14" a="1"/>
  <c r="F92" i="14"/>
  <c r="E92" i="14" a="1"/>
  <c r="E92" i="14"/>
  <c r="D92" i="14" a="1"/>
  <c r="D92" i="14"/>
  <c r="C92" i="14" a="1"/>
  <c r="C92" i="14"/>
  <c r="B92" i="14" a="1"/>
  <c r="B92" i="14"/>
  <c r="L93" i="14" a="1"/>
  <c r="L93" i="14"/>
  <c r="J93" i="14" a="1"/>
  <c r="J93" i="14"/>
  <c r="I93" i="14" a="1"/>
  <c r="I93" i="14"/>
  <c r="F93" i="14" a="1"/>
  <c r="F93" i="14"/>
  <c r="E93" i="14" a="1"/>
  <c r="E93" i="14"/>
  <c r="D93" i="14" a="1"/>
  <c r="D93" i="14"/>
  <c r="C93" i="14" a="1"/>
  <c r="C93" i="14"/>
  <c r="B93" i="14" a="1"/>
  <c r="B93" i="14"/>
  <c r="L94" i="14" a="1"/>
  <c r="L94" i="14"/>
  <c r="J94" i="14" a="1"/>
  <c r="J94" i="14"/>
  <c r="I94" i="14" a="1"/>
  <c r="I94" i="14"/>
  <c r="F94" i="14" a="1"/>
  <c r="F94" i="14"/>
  <c r="E94" i="14" a="1"/>
  <c r="E94" i="14"/>
  <c r="D94" i="14" a="1"/>
  <c r="D94" i="14"/>
  <c r="C94" i="14" a="1"/>
  <c r="C94" i="14"/>
  <c r="B94" i="14" a="1"/>
  <c r="B94" i="14"/>
  <c r="L95" i="14" a="1"/>
  <c r="L95" i="14"/>
  <c r="J95" i="14" a="1"/>
  <c r="J95" i="14"/>
  <c r="I95" i="14" a="1"/>
  <c r="I95" i="14"/>
  <c r="F95" i="14" a="1"/>
  <c r="F95" i="14"/>
  <c r="E95" i="14" a="1"/>
  <c r="E95" i="14"/>
  <c r="D95" i="14" a="1"/>
  <c r="D95" i="14"/>
  <c r="C95" i="14" a="1"/>
  <c r="C95" i="14"/>
  <c r="B95" i="14" a="1"/>
  <c r="B95" i="14"/>
  <c r="L96" i="14" a="1"/>
  <c r="L96" i="14"/>
  <c r="J96" i="14" a="1"/>
  <c r="J96" i="14"/>
  <c r="I96" i="14" a="1"/>
  <c r="I96" i="14"/>
  <c r="F96" i="14" a="1"/>
  <c r="F96" i="14"/>
  <c r="E96" i="14" a="1"/>
  <c r="E96" i="14"/>
  <c r="D96" i="14" a="1"/>
  <c r="D96" i="14"/>
  <c r="C96" i="14" a="1"/>
  <c r="C96" i="14"/>
  <c r="B96" i="14" a="1"/>
  <c r="B96" i="14"/>
  <c r="L97" i="14" a="1"/>
  <c r="L97" i="14"/>
  <c r="J97" i="14" a="1"/>
  <c r="J97" i="14"/>
  <c r="I97" i="14" a="1"/>
  <c r="I97" i="14"/>
  <c r="F97" i="14" a="1"/>
  <c r="F97" i="14"/>
  <c r="E97" i="14" a="1"/>
  <c r="E97" i="14"/>
  <c r="D97" i="14" a="1"/>
  <c r="D97" i="14"/>
  <c r="C97" i="14" a="1"/>
  <c r="C97" i="14"/>
  <c r="B97" i="14" a="1"/>
  <c r="B97" i="14"/>
  <c r="L98" i="14" a="1"/>
  <c r="L98" i="14"/>
  <c r="J98" i="14" a="1"/>
  <c r="J98" i="14"/>
  <c r="I98" i="14" a="1"/>
  <c r="I98" i="14"/>
  <c r="F98" i="14" a="1"/>
  <c r="F98" i="14"/>
  <c r="E98" i="14" a="1"/>
  <c r="E98" i="14"/>
  <c r="D98" i="14" a="1"/>
  <c r="D98" i="14"/>
  <c r="C98" i="14" a="1"/>
  <c r="C98" i="14"/>
  <c r="B98" i="14" a="1"/>
  <c r="B98" i="14"/>
  <c r="L99" i="14" a="1"/>
  <c r="L99" i="14"/>
  <c r="J99" i="14" a="1"/>
  <c r="J99" i="14"/>
  <c r="I99" i="14" a="1"/>
  <c r="I99" i="14"/>
  <c r="F99" i="14" a="1"/>
  <c r="F99" i="14"/>
  <c r="E99" i="14" a="1"/>
  <c r="E99" i="14"/>
  <c r="D99" i="14" a="1"/>
  <c r="D99" i="14"/>
  <c r="C99" i="14" a="1"/>
  <c r="C99" i="14"/>
  <c r="B99" i="14" a="1"/>
  <c r="B99" i="14"/>
  <c r="L100" i="14" a="1"/>
  <c r="L100" i="14"/>
  <c r="J100" i="14" a="1"/>
  <c r="J100" i="14"/>
  <c r="I100" i="14" a="1"/>
  <c r="I100" i="14"/>
  <c r="F100" i="14" a="1"/>
  <c r="F100" i="14"/>
  <c r="E100" i="14" a="1"/>
  <c r="E100" i="14"/>
  <c r="D100" i="14" a="1"/>
  <c r="D100" i="14"/>
  <c r="C100" i="14" a="1"/>
  <c r="C100" i="14"/>
  <c r="B100" i="14" a="1"/>
  <c r="B100" i="14"/>
  <c r="L101" i="14" a="1"/>
  <c r="L101" i="14"/>
  <c r="J101" i="14" a="1"/>
  <c r="J101" i="14"/>
  <c r="I101" i="14" a="1"/>
  <c r="I101" i="14"/>
  <c r="F101" i="14" a="1"/>
  <c r="F101" i="14"/>
  <c r="E101" i="14" a="1"/>
  <c r="E101" i="14"/>
  <c r="D101" i="14" a="1"/>
  <c r="D101" i="14"/>
  <c r="C101" i="14" a="1"/>
  <c r="C101" i="14"/>
  <c r="B101" i="14" a="1"/>
  <c r="B101" i="14"/>
  <c r="L102" i="14" a="1"/>
  <c r="L102" i="14"/>
  <c r="J102" i="14" a="1"/>
  <c r="J102" i="14"/>
  <c r="I102" i="14" a="1"/>
  <c r="I102" i="14"/>
  <c r="F102" i="14" a="1"/>
  <c r="F102" i="14"/>
  <c r="E102" i="14" a="1"/>
  <c r="E102" i="14"/>
  <c r="D102" i="14" a="1"/>
  <c r="D102" i="14"/>
  <c r="C102" i="14" a="1"/>
  <c r="C102" i="14"/>
  <c r="B102" i="14" a="1"/>
  <c r="B102" i="14"/>
  <c r="L103" i="14" a="1"/>
  <c r="L103" i="14"/>
  <c r="J103" i="14" a="1"/>
  <c r="J103" i="14"/>
  <c r="I103" i="14" a="1"/>
  <c r="I103" i="14"/>
  <c r="F103" i="14" a="1"/>
  <c r="F103" i="14"/>
  <c r="E103" i="14" a="1"/>
  <c r="E103" i="14"/>
  <c r="D103" i="14" a="1"/>
  <c r="D103" i="14"/>
  <c r="C103" i="14" a="1"/>
  <c r="C103" i="14"/>
  <c r="B103" i="14" a="1"/>
  <c r="B103" i="14"/>
  <c r="L104" i="14" a="1"/>
  <c r="L104" i="14"/>
  <c r="J104" i="14" a="1"/>
  <c r="J104" i="14"/>
  <c r="I104" i="14" a="1"/>
  <c r="I104" i="14"/>
  <c r="F104" i="14" a="1"/>
  <c r="F104" i="14"/>
  <c r="E104" i="14" a="1"/>
  <c r="E104" i="14"/>
  <c r="D104" i="14" a="1"/>
  <c r="D104" i="14"/>
  <c r="C104" i="14" a="1"/>
  <c r="C104" i="14"/>
  <c r="B104" i="14" a="1"/>
  <c r="B104" i="14"/>
  <c r="L105" i="14" a="1"/>
  <c r="L105" i="14"/>
  <c r="J105" i="14" a="1"/>
  <c r="J105" i="14"/>
  <c r="I105" i="14" a="1"/>
  <c r="I105" i="14"/>
  <c r="F105" i="14" a="1"/>
  <c r="F105" i="14"/>
  <c r="E105" i="14" a="1"/>
  <c r="E105" i="14"/>
  <c r="D105" i="14" a="1"/>
  <c r="D105" i="14"/>
  <c r="C105" i="14" a="1"/>
  <c r="C105" i="14"/>
  <c r="B105" i="14" a="1"/>
  <c r="B105" i="14"/>
  <c r="L106" i="14" a="1"/>
  <c r="L106" i="14"/>
  <c r="J106" i="14" a="1"/>
  <c r="J106" i="14"/>
  <c r="I106" i="14" a="1"/>
  <c r="I106" i="14"/>
  <c r="F106" i="14" a="1"/>
  <c r="F106" i="14"/>
  <c r="E106" i="14" a="1"/>
  <c r="E106" i="14"/>
  <c r="D106" i="14" a="1"/>
  <c r="D106" i="14"/>
  <c r="C106" i="14" a="1"/>
  <c r="C106" i="14"/>
  <c r="B106" i="14" a="1"/>
  <c r="B106" i="14"/>
  <c r="L107" i="14" a="1"/>
  <c r="L107" i="14"/>
  <c r="J107" i="14" a="1"/>
  <c r="J107" i="14"/>
  <c r="I107" i="14" a="1"/>
  <c r="I107" i="14"/>
  <c r="F107" i="14" a="1"/>
  <c r="F107" i="14"/>
  <c r="E107" i="14" a="1"/>
  <c r="E107" i="14"/>
  <c r="D107" i="14" a="1"/>
  <c r="D107" i="14"/>
  <c r="C107" i="14" a="1"/>
  <c r="C107" i="14"/>
  <c r="B107" i="14" a="1"/>
  <c r="B107" i="14"/>
  <c r="L108" i="14" a="1"/>
  <c r="L108" i="14"/>
  <c r="J108" i="14" a="1"/>
  <c r="J108" i="14"/>
  <c r="I108" i="14" a="1"/>
  <c r="I108" i="14"/>
  <c r="F108" i="14" a="1"/>
  <c r="F108" i="14"/>
  <c r="E108" i="14" a="1"/>
  <c r="E108" i="14"/>
  <c r="D108" i="14" a="1"/>
  <c r="D108" i="14"/>
  <c r="C108" i="14" a="1"/>
  <c r="C108" i="14"/>
  <c r="B108" i="14" a="1"/>
  <c r="B108" i="14"/>
  <c r="L109" i="14" a="1"/>
  <c r="L109" i="14"/>
  <c r="J109" i="14" a="1"/>
  <c r="J109" i="14"/>
  <c r="I109" i="14" a="1"/>
  <c r="I109" i="14"/>
  <c r="F109" i="14" a="1"/>
  <c r="F109" i="14"/>
  <c r="E109" i="14" a="1"/>
  <c r="E109" i="14"/>
  <c r="D109" i="14" a="1"/>
  <c r="D109" i="14"/>
  <c r="C109" i="14" a="1"/>
  <c r="C109" i="14"/>
  <c r="B109" i="14" a="1"/>
  <c r="B109" i="14"/>
  <c r="L110" i="14" a="1"/>
  <c r="L110" i="14"/>
  <c r="J110" i="14" a="1"/>
  <c r="J110" i="14"/>
  <c r="I110" i="14" a="1"/>
  <c r="I110" i="14"/>
  <c r="F110" i="14" a="1"/>
  <c r="F110" i="14"/>
  <c r="E110" i="14" a="1"/>
  <c r="E110" i="14"/>
  <c r="D110" i="14" a="1"/>
  <c r="D110" i="14"/>
  <c r="C110" i="14" a="1"/>
  <c r="C110" i="14"/>
  <c r="B110" i="14" a="1"/>
  <c r="B110" i="14"/>
  <c r="L111" i="14" a="1"/>
  <c r="L111" i="14"/>
  <c r="J111" i="14" a="1"/>
  <c r="J111" i="14"/>
  <c r="I111" i="14" a="1"/>
  <c r="I111" i="14"/>
  <c r="F111" i="14" a="1"/>
  <c r="F111" i="14"/>
  <c r="E111" i="14" a="1"/>
  <c r="E111" i="14"/>
  <c r="D111" i="14" a="1"/>
  <c r="D111" i="14"/>
  <c r="C111" i="14" a="1"/>
  <c r="C111" i="14"/>
  <c r="B111" i="14" a="1"/>
  <c r="B111" i="14"/>
  <c r="L112" i="14" a="1"/>
  <c r="L112" i="14"/>
  <c r="J112" i="14" a="1"/>
  <c r="J112" i="14"/>
  <c r="I112" i="14" a="1"/>
  <c r="I112" i="14"/>
  <c r="F112" i="14" a="1"/>
  <c r="F112" i="14"/>
  <c r="E112" i="14" a="1"/>
  <c r="E112" i="14"/>
  <c r="D112" i="14" a="1"/>
  <c r="D112" i="14"/>
  <c r="C112" i="14" a="1"/>
  <c r="C112" i="14"/>
  <c r="B112" i="14" a="1"/>
  <c r="B112" i="14"/>
  <c r="L113" i="14" a="1"/>
  <c r="L113" i="14"/>
  <c r="J113" i="14" a="1"/>
  <c r="J113" i="14"/>
  <c r="I113" i="14" a="1"/>
  <c r="I113" i="14"/>
  <c r="F113" i="14" a="1"/>
  <c r="F113" i="14"/>
  <c r="E113" i="14" a="1"/>
  <c r="E113" i="14"/>
  <c r="D113" i="14" a="1"/>
  <c r="D113" i="14"/>
  <c r="C113" i="14" a="1"/>
  <c r="C113" i="14"/>
  <c r="B113" i="14" a="1"/>
  <c r="B113" i="14"/>
  <c r="L114" i="14" a="1"/>
  <c r="L114" i="14"/>
  <c r="J114" i="14" a="1"/>
  <c r="J114" i="14"/>
  <c r="I114" i="14" a="1"/>
  <c r="I114" i="14"/>
  <c r="F114" i="14" a="1"/>
  <c r="F114" i="14"/>
  <c r="E114" i="14" a="1"/>
  <c r="E114" i="14"/>
  <c r="D114" i="14" a="1"/>
  <c r="D114" i="14"/>
  <c r="C114" i="14" a="1"/>
  <c r="C114" i="14"/>
  <c r="B114" i="14" a="1"/>
  <c r="B114" i="14"/>
  <c r="L115" i="14" a="1"/>
  <c r="L115" i="14"/>
  <c r="J115" i="14" a="1"/>
  <c r="J115" i="14"/>
  <c r="I115" i="14" a="1"/>
  <c r="I115" i="14"/>
  <c r="F115" i="14" a="1"/>
  <c r="F115" i="14"/>
  <c r="E115" i="14" a="1"/>
  <c r="E115" i="14"/>
  <c r="D115" i="14" a="1"/>
  <c r="D115" i="14"/>
  <c r="C115" i="14" a="1"/>
  <c r="C115" i="14"/>
  <c r="B115" i="14" a="1"/>
  <c r="B115" i="14"/>
  <c r="L116" i="14" a="1"/>
  <c r="L116" i="14"/>
  <c r="J116" i="14" a="1"/>
  <c r="J116" i="14"/>
  <c r="I116" i="14" a="1"/>
  <c r="I116" i="14"/>
  <c r="F116" i="14" a="1"/>
  <c r="F116" i="14"/>
  <c r="E116" i="14" a="1"/>
  <c r="E116" i="14"/>
  <c r="D116" i="14" a="1"/>
  <c r="D116" i="14"/>
  <c r="C116" i="14" a="1"/>
  <c r="C116" i="14"/>
  <c r="B116" i="14" a="1"/>
  <c r="B116" i="14"/>
  <c r="L117" i="14" a="1"/>
  <c r="L117" i="14"/>
  <c r="J117" i="14" a="1"/>
  <c r="J117" i="14"/>
  <c r="I117" i="14" a="1"/>
  <c r="I117" i="14"/>
  <c r="F117" i="14" a="1"/>
  <c r="F117" i="14"/>
  <c r="E117" i="14" a="1"/>
  <c r="E117" i="14"/>
  <c r="D117" i="14" a="1"/>
  <c r="D117" i="14"/>
  <c r="C117" i="14" a="1"/>
  <c r="C117" i="14"/>
  <c r="B117" i="14" a="1"/>
  <c r="B117" i="14"/>
  <c r="L118" i="14" a="1"/>
  <c r="L118" i="14"/>
  <c r="J118" i="14" a="1"/>
  <c r="J118" i="14"/>
  <c r="I118" i="14" a="1"/>
  <c r="I118" i="14"/>
  <c r="F118" i="14" a="1"/>
  <c r="F118" i="14"/>
  <c r="E118" i="14" a="1"/>
  <c r="E118" i="14"/>
  <c r="D118" i="14" a="1"/>
  <c r="D118" i="14"/>
  <c r="C118" i="14" a="1"/>
  <c r="C118" i="14"/>
  <c r="B118" i="14" a="1"/>
  <c r="B118" i="14"/>
  <c r="L119" i="14" a="1"/>
  <c r="L119" i="14"/>
  <c r="J119" i="14" a="1"/>
  <c r="J119" i="14"/>
  <c r="I119" i="14" a="1"/>
  <c r="I119" i="14"/>
  <c r="F119" i="14" a="1"/>
  <c r="F119" i="14"/>
  <c r="E119" i="14" a="1"/>
  <c r="E119" i="14"/>
  <c r="D119" i="14" a="1"/>
  <c r="D119" i="14"/>
  <c r="C119" i="14" a="1"/>
  <c r="C119" i="14"/>
  <c r="B119" i="14" a="1"/>
  <c r="B119" i="14"/>
  <c r="L120" i="14" a="1"/>
  <c r="L120" i="14"/>
  <c r="J120" i="14" a="1"/>
  <c r="J120" i="14"/>
  <c r="I120" i="14" a="1"/>
  <c r="I120" i="14"/>
  <c r="F120" i="14" a="1"/>
  <c r="F120" i="14"/>
  <c r="E120" i="14" a="1"/>
  <c r="E120" i="14"/>
  <c r="D120" i="14" a="1"/>
  <c r="D120" i="14"/>
  <c r="C120" i="14" a="1"/>
  <c r="C120" i="14"/>
  <c r="B120" i="14" a="1"/>
  <c r="B120" i="14"/>
  <c r="L121" i="14" a="1"/>
  <c r="L121" i="14"/>
  <c r="J121" i="14" a="1"/>
  <c r="J121" i="14"/>
  <c r="I121" i="14" a="1"/>
  <c r="I121" i="14"/>
  <c r="F121" i="14" a="1"/>
  <c r="F121" i="14"/>
  <c r="E121" i="14" a="1"/>
  <c r="E121" i="14"/>
  <c r="D121" i="14" a="1"/>
  <c r="D121" i="14"/>
  <c r="C121" i="14" a="1"/>
  <c r="C121" i="14"/>
  <c r="B121" i="14" a="1"/>
  <c r="B121" i="14"/>
  <c r="L122" i="14" a="1"/>
  <c r="L122" i="14"/>
  <c r="J122" i="14" a="1"/>
  <c r="J122" i="14"/>
  <c r="I122" i="14" a="1"/>
  <c r="I122" i="14"/>
  <c r="F122" i="14" a="1"/>
  <c r="F122" i="14"/>
  <c r="E122" i="14" a="1"/>
  <c r="E122" i="14"/>
  <c r="D122" i="14" a="1"/>
  <c r="D122" i="14"/>
  <c r="C122" i="14" a="1"/>
  <c r="C122" i="14"/>
  <c r="B122" i="14" a="1"/>
  <c r="B122" i="14"/>
  <c r="L123" i="14" a="1"/>
  <c r="L123" i="14"/>
  <c r="J123" i="14" a="1"/>
  <c r="J123" i="14"/>
  <c r="I123" i="14" a="1"/>
  <c r="I123" i="14"/>
  <c r="F123" i="14" a="1"/>
  <c r="F123" i="14"/>
  <c r="E123" i="14" a="1"/>
  <c r="E123" i="14"/>
  <c r="D123" i="14" a="1"/>
  <c r="D123" i="14"/>
  <c r="C123" i="14" a="1"/>
  <c r="C123" i="14"/>
  <c r="B123" i="14" a="1"/>
  <c r="B123" i="14"/>
  <c r="L124" i="14" a="1"/>
  <c r="L124" i="14"/>
  <c r="J124" i="14" a="1"/>
  <c r="J124" i="14"/>
  <c r="I124" i="14" a="1"/>
  <c r="I124" i="14"/>
  <c r="F124" i="14" a="1"/>
  <c r="F124" i="14"/>
  <c r="E124" i="14" a="1"/>
  <c r="E124" i="14"/>
  <c r="D124" i="14" a="1"/>
  <c r="D124" i="14"/>
  <c r="C124" i="14" a="1"/>
  <c r="C124" i="14"/>
  <c r="B124" i="14" a="1"/>
  <c r="B124" i="14"/>
  <c r="L125" i="14" a="1"/>
  <c r="L125" i="14"/>
  <c r="J125" i="14" a="1"/>
  <c r="J125" i="14"/>
  <c r="I125" i="14" a="1"/>
  <c r="I125" i="14"/>
  <c r="F125" i="14" a="1"/>
  <c r="F125" i="14"/>
  <c r="E125" i="14" a="1"/>
  <c r="E125" i="14"/>
  <c r="D125" i="14" a="1"/>
  <c r="D125" i="14"/>
  <c r="C125" i="14" a="1"/>
  <c r="C125" i="14"/>
  <c r="B125" i="14" a="1"/>
  <c r="B125" i="14"/>
  <c r="L126" i="14" a="1"/>
  <c r="L126" i="14"/>
  <c r="J126" i="14" a="1"/>
  <c r="J126" i="14"/>
  <c r="I126" i="14" a="1"/>
  <c r="I126" i="14"/>
  <c r="F126" i="14" a="1"/>
  <c r="F126" i="14"/>
  <c r="E126" i="14" a="1"/>
  <c r="E126" i="14"/>
  <c r="D126" i="14" a="1"/>
  <c r="D126" i="14"/>
  <c r="C126" i="14" a="1"/>
  <c r="C126" i="14"/>
  <c r="B126" i="14" a="1"/>
  <c r="B126" i="14"/>
  <c r="L127" i="14" a="1"/>
  <c r="L127" i="14"/>
  <c r="J127" i="14" a="1"/>
  <c r="J127" i="14"/>
  <c r="I127" i="14" a="1"/>
  <c r="I127" i="14"/>
  <c r="F127" i="14" a="1"/>
  <c r="F127" i="14"/>
  <c r="E127" i="14" a="1"/>
  <c r="E127" i="14"/>
  <c r="D127" i="14" a="1"/>
  <c r="D127" i="14"/>
  <c r="C127" i="14" a="1"/>
  <c r="C127" i="14"/>
  <c r="B127" i="14" a="1"/>
  <c r="B127" i="14"/>
  <c r="L128" i="14" a="1"/>
  <c r="L128" i="14"/>
  <c r="J128" i="14" a="1"/>
  <c r="J128" i="14"/>
  <c r="I128" i="14" a="1"/>
  <c r="I128" i="14"/>
  <c r="F128" i="14" a="1"/>
  <c r="F128" i="14"/>
  <c r="E128" i="14" a="1"/>
  <c r="E128" i="14"/>
  <c r="D128" i="14" a="1"/>
  <c r="D128" i="14"/>
  <c r="C128" i="14" a="1"/>
  <c r="C128" i="14"/>
  <c r="B128" i="14" a="1"/>
  <c r="B128" i="14"/>
  <c r="L129" i="14" a="1"/>
  <c r="L129" i="14"/>
  <c r="J129" i="14" a="1"/>
  <c r="J129" i="14"/>
  <c r="I129" i="14" a="1"/>
  <c r="I129" i="14"/>
  <c r="F129" i="14" a="1"/>
  <c r="F129" i="14"/>
  <c r="E129" i="14" a="1"/>
  <c r="E129" i="14"/>
  <c r="D129" i="14" a="1"/>
  <c r="D129" i="14"/>
  <c r="C129" i="14" a="1"/>
  <c r="C129" i="14"/>
  <c r="B129" i="14" a="1"/>
  <c r="B129" i="14"/>
  <c r="L130" i="14" a="1"/>
  <c r="L130" i="14"/>
  <c r="J130" i="14" a="1"/>
  <c r="J130" i="14"/>
  <c r="I130" i="14" a="1"/>
  <c r="I130" i="14"/>
  <c r="F130" i="14" a="1"/>
  <c r="F130" i="14"/>
  <c r="E130" i="14" a="1"/>
  <c r="E130" i="14"/>
  <c r="D130" i="14" a="1"/>
  <c r="D130" i="14"/>
  <c r="C130" i="14" a="1"/>
  <c r="C130" i="14"/>
  <c r="B130" i="14" a="1"/>
  <c r="B130" i="14"/>
  <c r="L131" i="14" a="1"/>
  <c r="L131" i="14"/>
  <c r="J131" i="14" a="1"/>
  <c r="J131" i="14"/>
  <c r="I131" i="14" a="1"/>
  <c r="I131" i="14"/>
  <c r="F131" i="14" a="1"/>
  <c r="F131" i="14"/>
  <c r="E131" i="14" a="1"/>
  <c r="E131" i="14"/>
  <c r="D131" i="14" a="1"/>
  <c r="D131" i="14"/>
  <c r="C131" i="14" a="1"/>
  <c r="C131" i="14"/>
  <c r="B131" i="14" a="1"/>
  <c r="B131" i="14"/>
  <c r="L132" i="14" a="1"/>
  <c r="L132" i="14"/>
  <c r="J132" i="14" a="1"/>
  <c r="J132" i="14"/>
  <c r="I132" i="14" a="1"/>
  <c r="I132" i="14"/>
  <c r="F132" i="14" a="1"/>
  <c r="F132" i="14"/>
  <c r="E132" i="14" a="1"/>
  <c r="E132" i="14"/>
  <c r="D132" i="14" a="1"/>
  <c r="D132" i="14"/>
  <c r="C132" i="14" a="1"/>
  <c r="C132" i="14"/>
  <c r="B132" i="14" a="1"/>
  <c r="B132" i="14"/>
  <c r="L133" i="14" a="1"/>
  <c r="L133" i="14"/>
  <c r="J133" i="14" a="1"/>
  <c r="J133" i="14"/>
  <c r="I133" i="14" a="1"/>
  <c r="I133" i="14"/>
  <c r="F133" i="14" a="1"/>
  <c r="F133" i="14"/>
  <c r="E133" i="14" a="1"/>
  <c r="E133" i="14"/>
  <c r="D133" i="14" a="1"/>
  <c r="D133" i="14"/>
  <c r="C133" i="14" a="1"/>
  <c r="C133" i="14"/>
  <c r="B133" i="14" a="1"/>
  <c r="B133" i="14"/>
  <c r="L134" i="14" a="1"/>
  <c r="L134" i="14"/>
  <c r="J134" i="14" a="1"/>
  <c r="J134" i="14"/>
  <c r="I134" i="14" a="1"/>
  <c r="I134" i="14"/>
  <c r="F134" i="14" a="1"/>
  <c r="F134" i="14"/>
  <c r="E134" i="14" a="1"/>
  <c r="E134" i="14"/>
  <c r="D134" i="14" a="1"/>
  <c r="D134" i="14"/>
  <c r="C134" i="14" a="1"/>
  <c r="C134" i="14"/>
  <c r="B134" i="14" a="1"/>
  <c r="B134" i="14"/>
  <c r="L135" i="14" a="1"/>
  <c r="L135" i="14"/>
  <c r="J135" i="14" a="1"/>
  <c r="J135" i="14"/>
  <c r="I135" i="14" a="1"/>
  <c r="I135" i="14"/>
  <c r="F135" i="14" a="1"/>
  <c r="F135" i="14"/>
  <c r="E135" i="14" a="1"/>
  <c r="E135" i="14"/>
  <c r="D135" i="14" a="1"/>
  <c r="D135" i="14"/>
  <c r="C135" i="14" a="1"/>
  <c r="C135" i="14"/>
  <c r="B135" i="14" a="1"/>
  <c r="B135" i="14"/>
  <c r="L136" i="14" a="1"/>
  <c r="L136" i="14"/>
  <c r="J136" i="14" a="1"/>
  <c r="J136" i="14"/>
  <c r="I136" i="14" a="1"/>
  <c r="I136" i="14"/>
  <c r="F136" i="14" a="1"/>
  <c r="F136" i="14"/>
  <c r="E136" i="14" a="1"/>
  <c r="E136" i="14"/>
  <c r="D136" i="14" a="1"/>
  <c r="D136" i="14"/>
  <c r="C136" i="14" a="1"/>
  <c r="C136" i="14"/>
  <c r="B136" i="14" a="1"/>
  <c r="B136" i="14"/>
  <c r="L137" i="14" a="1"/>
  <c r="L137" i="14"/>
  <c r="J137" i="14" a="1"/>
  <c r="J137" i="14"/>
  <c r="I137" i="14" a="1"/>
  <c r="I137" i="14"/>
  <c r="F137" i="14" a="1"/>
  <c r="F137" i="14"/>
  <c r="E137" i="14" a="1"/>
  <c r="E137" i="14"/>
  <c r="D137" i="14" a="1"/>
  <c r="D137" i="14"/>
  <c r="C137" i="14" a="1"/>
  <c r="C137" i="14"/>
  <c r="B137" i="14" a="1"/>
  <c r="B137" i="14"/>
  <c r="L138" i="14" a="1"/>
  <c r="L138" i="14"/>
  <c r="J138" i="14" a="1"/>
  <c r="J138" i="14"/>
  <c r="I138" i="14" a="1"/>
  <c r="I138" i="14"/>
  <c r="F138" i="14" a="1"/>
  <c r="F138" i="14"/>
  <c r="E138" i="14" a="1"/>
  <c r="E138" i="14"/>
  <c r="D138" i="14" a="1"/>
  <c r="D138" i="14"/>
  <c r="C138" i="14" a="1"/>
  <c r="C138" i="14"/>
  <c r="B138" i="14" a="1"/>
  <c r="B138" i="14"/>
  <c r="L139" i="14" a="1"/>
  <c r="L139" i="14"/>
  <c r="J139" i="14" a="1"/>
  <c r="J139" i="14"/>
  <c r="I139" i="14" a="1"/>
  <c r="I139" i="14"/>
  <c r="F139" i="14" a="1"/>
  <c r="F139" i="14"/>
  <c r="E139" i="14" a="1"/>
  <c r="E139" i="14"/>
  <c r="D139" i="14" a="1"/>
  <c r="D139" i="14"/>
  <c r="C139" i="14" a="1"/>
  <c r="C139" i="14"/>
  <c r="B139" i="14" a="1"/>
  <c r="B139" i="14"/>
  <c r="L140" i="14" a="1"/>
  <c r="L140" i="14"/>
  <c r="J140" i="14" a="1"/>
  <c r="J140" i="14"/>
  <c r="I140" i="14" a="1"/>
  <c r="I140" i="14"/>
  <c r="F140" i="14" a="1"/>
  <c r="F140" i="14"/>
  <c r="E140" i="14" a="1"/>
  <c r="E140" i="14"/>
  <c r="D140" i="14" a="1"/>
  <c r="D140" i="14"/>
  <c r="C140" i="14" a="1"/>
  <c r="C140" i="14"/>
  <c r="B140" i="14" a="1"/>
  <c r="B140" i="14"/>
  <c r="L141" i="14" a="1"/>
  <c r="L141" i="14"/>
  <c r="J141" i="14" a="1"/>
  <c r="J141" i="14"/>
  <c r="I141" i="14" a="1"/>
  <c r="I141" i="14"/>
  <c r="F141" i="14" a="1"/>
  <c r="F141" i="14"/>
  <c r="E141" i="14" a="1"/>
  <c r="E141" i="14"/>
  <c r="D141" i="14" a="1"/>
  <c r="D141" i="14"/>
  <c r="C141" i="14" a="1"/>
  <c r="C141" i="14"/>
  <c r="B141" i="14" a="1"/>
  <c r="B141" i="14"/>
  <c r="L142" i="14" a="1"/>
  <c r="L142" i="14"/>
  <c r="J142" i="14" a="1"/>
  <c r="J142" i="14"/>
  <c r="I142" i="14" a="1"/>
  <c r="I142" i="14"/>
  <c r="F142" i="14" a="1"/>
  <c r="F142" i="14"/>
  <c r="E142" i="14" a="1"/>
  <c r="E142" i="14"/>
  <c r="D142" i="14" a="1"/>
  <c r="D142" i="14"/>
  <c r="C142" i="14" a="1"/>
  <c r="C142" i="14"/>
  <c r="B142" i="14" a="1"/>
  <c r="B142" i="14"/>
  <c r="L143" i="14" a="1"/>
  <c r="L143" i="14"/>
  <c r="J143" i="14" a="1"/>
  <c r="J143" i="14"/>
  <c r="I143" i="14" a="1"/>
  <c r="I143" i="14"/>
  <c r="F143" i="14" a="1"/>
  <c r="F143" i="14"/>
  <c r="E143" i="14" a="1"/>
  <c r="E143" i="14"/>
  <c r="D143" i="14" a="1"/>
  <c r="D143" i="14"/>
  <c r="C143" i="14" a="1"/>
  <c r="C143" i="14"/>
  <c r="B143" i="14" a="1"/>
  <c r="B143" i="14"/>
  <c r="L144" i="14" a="1"/>
  <c r="L144" i="14"/>
  <c r="J144" i="14" a="1"/>
  <c r="J144" i="14"/>
  <c r="I144" i="14" a="1"/>
  <c r="I144" i="14"/>
  <c r="F144" i="14" a="1"/>
  <c r="F144" i="14"/>
  <c r="E144" i="14" a="1"/>
  <c r="E144" i="14"/>
  <c r="D144" i="14" a="1"/>
  <c r="D144" i="14"/>
  <c r="C144" i="14" a="1"/>
  <c r="C144" i="14"/>
  <c r="B144" i="14" a="1"/>
  <c r="B144" i="14"/>
  <c r="L145" i="14" a="1"/>
  <c r="L145" i="14"/>
  <c r="J145" i="14" a="1"/>
  <c r="J145" i="14"/>
  <c r="I145" i="14" a="1"/>
  <c r="I145" i="14"/>
  <c r="F145" i="14" a="1"/>
  <c r="F145" i="14"/>
  <c r="E145" i="14" a="1"/>
  <c r="E145" i="14"/>
  <c r="D145" i="14" a="1"/>
  <c r="D145" i="14"/>
  <c r="C145" i="14" a="1"/>
  <c r="C145" i="14"/>
  <c r="B145" i="14" a="1"/>
  <c r="B145" i="14"/>
  <c r="L146" i="14" a="1"/>
  <c r="L146" i="14"/>
  <c r="J146" i="14" a="1"/>
  <c r="J146" i="14"/>
  <c r="I146" i="14" a="1"/>
  <c r="I146" i="14"/>
  <c r="F146" i="14" a="1"/>
  <c r="F146" i="14"/>
  <c r="E146" i="14" a="1"/>
  <c r="E146" i="14"/>
  <c r="D146" i="14" a="1"/>
  <c r="D146" i="14"/>
  <c r="C146" i="14" a="1"/>
  <c r="C146" i="14"/>
  <c r="B146" i="14" a="1"/>
  <c r="B146" i="14"/>
  <c r="L147" i="14" a="1"/>
  <c r="L147" i="14"/>
  <c r="J147" i="14" a="1"/>
  <c r="J147" i="14"/>
  <c r="I147" i="14" a="1"/>
  <c r="I147" i="14"/>
  <c r="F147" i="14" a="1"/>
  <c r="F147" i="14"/>
  <c r="E147" i="14" a="1"/>
  <c r="E147" i="14"/>
  <c r="D147" i="14" a="1"/>
  <c r="D147" i="14"/>
  <c r="C147" i="14" a="1"/>
  <c r="C147" i="14"/>
  <c r="B147" i="14" a="1"/>
  <c r="B147" i="14"/>
  <c r="L148" i="14" a="1"/>
  <c r="L148" i="14"/>
  <c r="J148" i="14" a="1"/>
  <c r="J148" i="14"/>
  <c r="I148" i="14" a="1"/>
  <c r="I148" i="14"/>
  <c r="F148" i="14" a="1"/>
  <c r="F148" i="14"/>
  <c r="E148" i="14" a="1"/>
  <c r="E148" i="14"/>
  <c r="D148" i="14" a="1"/>
  <c r="D148" i="14"/>
  <c r="C148" i="14" a="1"/>
  <c r="C148" i="14"/>
  <c r="B148" i="14" a="1"/>
  <c r="B148" i="14"/>
  <c r="L149" i="14" a="1"/>
  <c r="L149" i="14"/>
  <c r="J149" i="14" a="1"/>
  <c r="J149" i="14"/>
  <c r="I149" i="14" a="1"/>
  <c r="I149" i="14"/>
  <c r="F149" i="14" a="1"/>
  <c r="F149" i="14"/>
  <c r="E149" i="14" a="1"/>
  <c r="E149" i="14"/>
  <c r="D149" i="14" a="1"/>
  <c r="D149" i="14"/>
  <c r="C149" i="14" a="1"/>
  <c r="C149" i="14"/>
  <c r="B149" i="14" a="1"/>
  <c r="B149" i="14"/>
  <c r="L31" i="15" a="1"/>
  <c r="L31" i="15"/>
  <c r="K31" i="15" a="1"/>
  <c r="K31" i="15"/>
  <c r="F31" i="15" a="1"/>
  <c r="F31" i="15"/>
  <c r="E31" i="15" a="1"/>
  <c r="E31" i="15"/>
  <c r="D31" i="15" a="1"/>
  <c r="D31" i="15"/>
  <c r="C31" i="15" a="1"/>
  <c r="C31" i="15"/>
  <c r="B31" i="15" a="1"/>
  <c r="B31" i="15"/>
  <c r="L30" i="15" a="1"/>
  <c r="L30" i="15"/>
  <c r="K30" i="15" a="1"/>
  <c r="K30" i="15"/>
  <c r="F30" i="15" a="1"/>
  <c r="F30" i="15"/>
  <c r="E30" i="15" a="1"/>
  <c r="E30" i="15"/>
  <c r="D30" i="15" a="1"/>
  <c r="D30" i="15"/>
  <c r="C30" i="15" a="1"/>
  <c r="C30" i="15"/>
  <c r="B30" i="15" a="1"/>
  <c r="B30" i="15"/>
  <c r="L29" i="15" a="1"/>
  <c r="L29" i="15"/>
  <c r="K29" i="15" a="1"/>
  <c r="K29" i="15"/>
  <c r="F29" i="15" a="1"/>
  <c r="F29" i="15"/>
  <c r="E29" i="15" a="1"/>
  <c r="E29" i="15"/>
  <c r="D29" i="15" a="1"/>
  <c r="D29" i="15"/>
  <c r="C29" i="15" a="1"/>
  <c r="C29" i="15"/>
  <c r="B29" i="15" a="1"/>
  <c r="B29" i="15"/>
  <c r="L28" i="15" a="1"/>
  <c r="L28" i="15"/>
  <c r="K28" i="15" a="1"/>
  <c r="K28" i="15"/>
  <c r="F28" i="15" a="1"/>
  <c r="F28" i="15"/>
  <c r="E28" i="15" a="1"/>
  <c r="E28" i="15"/>
  <c r="D28" i="15" a="1"/>
  <c r="D28" i="15"/>
  <c r="C28" i="15" a="1"/>
  <c r="C28" i="15"/>
  <c r="B28" i="15" a="1"/>
  <c r="B28" i="15"/>
  <c r="L27" i="15" a="1"/>
  <c r="L27" i="15"/>
  <c r="K27" i="15" a="1"/>
  <c r="K27" i="15"/>
  <c r="F27" i="15" a="1"/>
  <c r="F27" i="15"/>
  <c r="E27" i="15" a="1"/>
  <c r="E27" i="15"/>
  <c r="D27" i="15" a="1"/>
  <c r="D27" i="15"/>
  <c r="C27" i="15" a="1"/>
  <c r="C27" i="15"/>
  <c r="B27" i="15" a="1"/>
  <c r="B27" i="15"/>
  <c r="L26" i="15" a="1"/>
  <c r="L26" i="15"/>
  <c r="K26" i="15" a="1"/>
  <c r="K26" i="15"/>
  <c r="F26" i="15" a="1"/>
  <c r="F26" i="15"/>
  <c r="E26" i="15" a="1"/>
  <c r="E26" i="15"/>
  <c r="D26" i="15" a="1"/>
  <c r="D26" i="15"/>
  <c r="C26" i="15" a="1"/>
  <c r="C26" i="15"/>
  <c r="B26" i="15" a="1"/>
  <c r="B26" i="15"/>
  <c r="L25" i="15" a="1"/>
  <c r="L25" i="15"/>
  <c r="K25" i="15" a="1"/>
  <c r="K25" i="15"/>
  <c r="F25" i="15" a="1"/>
  <c r="F25" i="15"/>
  <c r="E25" i="15" a="1"/>
  <c r="E25" i="15"/>
  <c r="D25" i="15" a="1"/>
  <c r="D25" i="15"/>
  <c r="C25" i="15" a="1"/>
  <c r="C25" i="15"/>
  <c r="B25" i="15" a="1"/>
  <c r="B25" i="15"/>
  <c r="L24" i="15" a="1"/>
  <c r="L24" i="15"/>
  <c r="K24" i="15" a="1"/>
  <c r="K24" i="15"/>
  <c r="F24" i="15" a="1"/>
  <c r="F24" i="15"/>
  <c r="E24" i="15" a="1"/>
  <c r="E24" i="15"/>
  <c r="D24" i="15" a="1"/>
  <c r="D24" i="15"/>
  <c r="C24" i="15" a="1"/>
  <c r="C24" i="15"/>
  <c r="B24" i="15" a="1"/>
  <c r="B24" i="15"/>
  <c r="L23" i="15" a="1"/>
  <c r="L23" i="15"/>
  <c r="K23" i="15" a="1"/>
  <c r="K23" i="15"/>
  <c r="F23" i="15" a="1"/>
  <c r="F23" i="15"/>
  <c r="E23" i="15" a="1"/>
  <c r="E23" i="15"/>
  <c r="D23" i="15" a="1"/>
  <c r="D23" i="15"/>
  <c r="C23" i="15" a="1"/>
  <c r="C23" i="15"/>
  <c r="B23" i="15" a="1"/>
  <c r="B23" i="15"/>
  <c r="L22" i="15" a="1"/>
  <c r="L22" i="15"/>
  <c r="K22" i="15" a="1"/>
  <c r="K22" i="15"/>
  <c r="F22" i="15" a="1"/>
  <c r="F22" i="15"/>
  <c r="E22" i="15" a="1"/>
  <c r="E22" i="15"/>
  <c r="D22" i="15" a="1"/>
  <c r="D22" i="15"/>
  <c r="C22" i="15" a="1"/>
  <c r="C22" i="15"/>
  <c r="B22" i="15" a="1"/>
  <c r="B22" i="15"/>
  <c r="L21" i="15" a="1"/>
  <c r="L21" i="15"/>
  <c r="K21" i="15" a="1"/>
  <c r="K21" i="15"/>
  <c r="F21" i="15" a="1"/>
  <c r="F21" i="15"/>
  <c r="E21" i="15" a="1"/>
  <c r="E21" i="15"/>
  <c r="D21" i="15" a="1"/>
  <c r="D21" i="15"/>
  <c r="C21" i="15" a="1"/>
  <c r="C21" i="15"/>
  <c r="B21" i="15" a="1"/>
  <c r="B21" i="15"/>
  <c r="L20" i="15" a="1"/>
  <c r="L20" i="15"/>
  <c r="K20" i="15" a="1"/>
  <c r="K20" i="15"/>
  <c r="F20" i="15" a="1"/>
  <c r="F20" i="15"/>
  <c r="E20" i="15" a="1"/>
  <c r="E20" i="15"/>
  <c r="D20" i="15" a="1"/>
  <c r="D20" i="15"/>
  <c r="C20" i="15" a="1"/>
  <c r="C20" i="15"/>
  <c r="B20" i="15" a="1"/>
  <c r="B20" i="15"/>
  <c r="L19" i="15" a="1"/>
  <c r="L19" i="15"/>
  <c r="K19" i="15" a="1"/>
  <c r="K19" i="15"/>
  <c r="F19" i="15" a="1"/>
  <c r="F19" i="15"/>
  <c r="E19" i="15" a="1"/>
  <c r="E19" i="15"/>
  <c r="D19" i="15" a="1"/>
  <c r="D19" i="15"/>
  <c r="C19" i="15" a="1"/>
  <c r="C19" i="15"/>
  <c r="B19" i="15" a="1"/>
  <c r="B19" i="15"/>
  <c r="L18" i="15" a="1"/>
  <c r="L18" i="15"/>
  <c r="K18" i="15" a="1"/>
  <c r="K18" i="15"/>
  <c r="F18" i="15" a="1"/>
  <c r="F18" i="15"/>
  <c r="E18" i="15" a="1"/>
  <c r="E18" i="15"/>
  <c r="D18" i="15" a="1"/>
  <c r="D18" i="15"/>
  <c r="C18" i="15" a="1"/>
  <c r="C18" i="15"/>
  <c r="B18" i="15" a="1"/>
  <c r="B18" i="15"/>
  <c r="L17" i="15" a="1"/>
  <c r="L17" i="15"/>
  <c r="K17" i="15" a="1"/>
  <c r="K17" i="15"/>
  <c r="F17" i="15" a="1"/>
  <c r="F17" i="15"/>
  <c r="E17" i="15" a="1"/>
  <c r="E17" i="15"/>
  <c r="D17" i="15" a="1"/>
  <c r="D17" i="15"/>
  <c r="C17" i="15" a="1"/>
  <c r="C17" i="15"/>
  <c r="B17" i="15" a="1"/>
  <c r="B17" i="15"/>
  <c r="L16" i="15" a="1"/>
  <c r="L16" i="15"/>
  <c r="K16" i="15" a="1"/>
  <c r="K16" i="15"/>
  <c r="F16" i="15" a="1"/>
  <c r="F16" i="15"/>
  <c r="E16" i="15" a="1"/>
  <c r="E16" i="15"/>
  <c r="D16" i="15" a="1"/>
  <c r="D16" i="15"/>
  <c r="C16" i="15" a="1"/>
  <c r="C16" i="15"/>
  <c r="B16" i="15" a="1"/>
  <c r="B16" i="15"/>
  <c r="L15" i="15" a="1"/>
  <c r="L15" i="15"/>
  <c r="K15" i="15" a="1"/>
  <c r="K15" i="15"/>
  <c r="F15" i="15" a="1"/>
  <c r="F15" i="15"/>
  <c r="E15" i="15" a="1"/>
  <c r="E15" i="15"/>
  <c r="D15" i="15" a="1"/>
  <c r="D15" i="15"/>
  <c r="C15" i="15" a="1"/>
  <c r="C15" i="15"/>
  <c r="B15" i="15" a="1"/>
  <c r="B15" i="15"/>
  <c r="L14" i="15" a="1"/>
  <c r="L14" i="15"/>
  <c r="K14" i="15" a="1"/>
  <c r="K14" i="15"/>
  <c r="F14" i="15" a="1"/>
  <c r="F14" i="15"/>
  <c r="E14" i="15" a="1"/>
  <c r="E14" i="15"/>
  <c r="D14" i="15" a="1"/>
  <c r="D14" i="15"/>
  <c r="C14" i="15" a="1"/>
  <c r="C14" i="15"/>
  <c r="B14" i="15" a="1"/>
  <c r="B14" i="15"/>
  <c r="L13" i="15" a="1"/>
  <c r="L13" i="15"/>
  <c r="K13" i="15" a="1"/>
  <c r="K13" i="15"/>
  <c r="F13" i="15" a="1"/>
  <c r="F13" i="15"/>
  <c r="E13" i="15" a="1"/>
  <c r="E13" i="15"/>
  <c r="D13" i="15" a="1"/>
  <c r="D13" i="15"/>
  <c r="C13" i="15" a="1"/>
  <c r="C13" i="15"/>
  <c r="B13" i="15" a="1"/>
  <c r="B13" i="15"/>
  <c r="L12" i="15" a="1"/>
  <c r="L12" i="15"/>
  <c r="K12" i="15" a="1"/>
  <c r="K12" i="15"/>
  <c r="F12" i="15" a="1"/>
  <c r="F12" i="15"/>
  <c r="E12" i="15" a="1"/>
  <c r="E12" i="15"/>
  <c r="D12" i="15" a="1"/>
  <c r="D12" i="15"/>
  <c r="C12" i="15" a="1"/>
  <c r="C12" i="15"/>
  <c r="B12" i="15" a="1"/>
  <c r="B12" i="15"/>
  <c r="L11" i="15" a="1"/>
  <c r="L11" i="15"/>
  <c r="K11" i="15" a="1"/>
  <c r="K11" i="15"/>
  <c r="F11" i="15" a="1"/>
  <c r="F11" i="15"/>
  <c r="E11" i="15" a="1"/>
  <c r="E11" i="15"/>
  <c r="D11" i="15" a="1"/>
  <c r="D11" i="15"/>
  <c r="C11" i="15" a="1"/>
  <c r="C11" i="15"/>
  <c r="B11" i="15" a="1"/>
  <c r="B11" i="15"/>
  <c r="L10" i="15" a="1"/>
  <c r="L10" i="15"/>
  <c r="K10" i="15" a="1"/>
  <c r="K10" i="15"/>
  <c r="F10" i="15" a="1"/>
  <c r="F10" i="15"/>
  <c r="E10" i="15" a="1"/>
  <c r="E10" i="15"/>
  <c r="D10" i="15" a="1"/>
  <c r="D10" i="15"/>
  <c r="C10" i="15" a="1"/>
  <c r="C10" i="15"/>
  <c r="B10" i="15" a="1"/>
  <c r="B10" i="15"/>
  <c r="L9" i="15" a="1"/>
  <c r="L9" i="15"/>
  <c r="K9" i="15" a="1"/>
  <c r="K9" i="15"/>
  <c r="F9" i="15" a="1"/>
  <c r="F9" i="15"/>
  <c r="E9" i="15" a="1"/>
  <c r="E9" i="15"/>
  <c r="D9" i="15" a="1"/>
  <c r="D9" i="15"/>
  <c r="C9" i="15" a="1"/>
  <c r="C9" i="15"/>
  <c r="B9" i="15" a="1"/>
  <c r="B9" i="15"/>
  <c r="L8" i="15" a="1"/>
  <c r="L8" i="15"/>
  <c r="K8" i="15" a="1"/>
  <c r="K8" i="15"/>
  <c r="F8" i="15" a="1"/>
  <c r="F8" i="15"/>
  <c r="E8" i="15" a="1"/>
  <c r="E8" i="15"/>
  <c r="D8" i="15" a="1"/>
  <c r="D8" i="15"/>
  <c r="C8" i="15" a="1"/>
  <c r="C8" i="15"/>
  <c r="B8" i="15" a="1"/>
  <c r="B8" i="15"/>
  <c r="L7" i="15" a="1"/>
  <c r="L7" i="15"/>
  <c r="K7" i="15" a="1"/>
  <c r="K7" i="15"/>
  <c r="F7" i="15" a="1"/>
  <c r="F7" i="15"/>
  <c r="E7" i="15" a="1"/>
  <c r="E7" i="15"/>
  <c r="D7" i="15" a="1"/>
  <c r="D7" i="15"/>
  <c r="C7" i="15" a="1"/>
  <c r="C7" i="15"/>
  <c r="B7" i="15" a="1"/>
  <c r="B7" i="15"/>
  <c r="L6" i="15" a="1"/>
  <c r="L6" i="15"/>
  <c r="K6" i="15" a="1"/>
  <c r="K6" i="15"/>
  <c r="F6" i="15" a="1"/>
  <c r="F6" i="15"/>
  <c r="E6" i="15" a="1"/>
  <c r="E6" i="15"/>
  <c r="D6" i="15" a="1"/>
  <c r="D6" i="15"/>
  <c r="C6" i="15" a="1"/>
  <c r="C6" i="15"/>
  <c r="B6" i="15" a="1"/>
  <c r="B6" i="15"/>
  <c r="L5" i="15" a="1"/>
  <c r="L5" i="15"/>
  <c r="K5" i="15" a="1"/>
  <c r="K5" i="15"/>
  <c r="F5" i="15" a="1"/>
  <c r="F5" i="15"/>
  <c r="E5" i="15" a="1"/>
  <c r="E5" i="15"/>
  <c r="D5" i="15" a="1"/>
  <c r="D5" i="15"/>
  <c r="C5" i="15" a="1"/>
  <c r="C5" i="15"/>
  <c r="B5" i="15" a="1"/>
  <c r="B5" i="15"/>
  <c r="K4" i="15" a="1"/>
  <c r="K4" i="15"/>
  <c r="M4" i="15"/>
  <c r="F4" i="15" a="1"/>
  <c r="F4" i="15"/>
  <c r="E4" i="15" a="1"/>
  <c r="E4" i="15"/>
  <c r="D4" i="15" a="1"/>
  <c r="D4" i="15"/>
  <c r="C4" i="15" a="1"/>
  <c r="C4" i="15"/>
  <c r="B4" i="15" a="1"/>
  <c r="B4" i="15"/>
  <c r="B10" i="18"/>
  <c r="G12" i="19"/>
  <c r="B8" i="18"/>
  <c r="B9" i="18"/>
  <c r="G11" i="19"/>
  <c r="G9" i="19"/>
  <c r="G10" i="19"/>
  <c r="B27" i="19"/>
  <c r="H19" i="19"/>
  <c r="H20" i="19"/>
  <c r="C32" i="18"/>
  <c r="C33" i="18"/>
  <c r="C34" i="20"/>
  <c r="H7" i="20"/>
  <c r="D18" i="20"/>
  <c r="K255" i="6"/>
  <c r="I255" i="6"/>
  <c r="L255" i="6"/>
  <c r="I245" i="6"/>
  <c r="L245" i="6"/>
  <c r="K245" i="6"/>
  <c r="K229" i="6"/>
  <c r="I229" i="6"/>
  <c r="L229" i="6"/>
  <c r="K193" i="6"/>
  <c r="I193" i="6"/>
  <c r="L193" i="6"/>
  <c r="K244" i="6"/>
  <c r="I244" i="6"/>
  <c r="L244" i="6"/>
  <c r="I187" i="6"/>
  <c r="L187" i="6"/>
  <c r="K187" i="6"/>
  <c r="K228" i="6"/>
  <c r="I228" i="6"/>
  <c r="L228" i="6"/>
  <c r="K212" i="6"/>
  <c r="I212" i="6"/>
  <c r="L212" i="6"/>
  <c r="K204" i="6"/>
  <c r="I204" i="6"/>
  <c r="L204" i="6"/>
  <c r="K196" i="6"/>
  <c r="I196" i="6"/>
  <c r="L196" i="6"/>
  <c r="I198" i="6"/>
  <c r="L198" i="6"/>
  <c r="K198" i="6"/>
  <c r="K259" i="6"/>
  <c r="I259" i="6"/>
  <c r="L259" i="6"/>
  <c r="I215" i="6"/>
  <c r="L215" i="6"/>
  <c r="K215" i="6"/>
  <c r="I207" i="6"/>
  <c r="L207" i="6"/>
  <c r="K207" i="6"/>
  <c r="I199" i="6"/>
  <c r="L199" i="6"/>
  <c r="K199" i="6"/>
  <c r="K234" i="6"/>
  <c r="I234" i="6"/>
  <c r="L234" i="6"/>
  <c r="N7" i="6"/>
  <c r="N5" i="6"/>
  <c r="O5" i="6"/>
  <c r="I167" i="6"/>
  <c r="L167" i="6"/>
  <c r="N8" i="6"/>
  <c r="O8" i="6"/>
  <c r="N6" i="6"/>
  <c r="K5" i="19"/>
  <c r="K167" i="6"/>
  <c r="K13" i="17"/>
  <c r="C14" i="19"/>
  <c r="K252" i="6"/>
  <c r="I252" i="6"/>
  <c r="L252" i="6"/>
  <c r="I267" i="6"/>
  <c r="L267" i="6"/>
  <c r="K267" i="6"/>
  <c r="I260" i="6"/>
  <c r="L260" i="6"/>
  <c r="K260" i="6"/>
  <c r="K273" i="6"/>
  <c r="I273" i="6"/>
  <c r="K265" i="6"/>
  <c r="I265" i="6"/>
  <c r="L265" i="6"/>
  <c r="I257" i="6"/>
  <c r="L257" i="6"/>
  <c r="K257" i="6"/>
  <c r="K249" i="6"/>
  <c r="I249" i="6"/>
  <c r="L249" i="6"/>
  <c r="I233" i="6"/>
  <c r="L233" i="6"/>
  <c r="K233" i="6"/>
  <c r="K225" i="6"/>
  <c r="I225" i="6"/>
  <c r="L225" i="6"/>
  <c r="K217" i="6"/>
  <c r="I217" i="6"/>
  <c r="L217" i="6"/>
  <c r="K197" i="6"/>
  <c r="I197" i="6"/>
  <c r="L197" i="6"/>
  <c r="K189" i="6"/>
  <c r="I189" i="6"/>
  <c r="L189" i="6"/>
  <c r="K181" i="6"/>
  <c r="I181" i="6"/>
  <c r="L181" i="6"/>
  <c r="I218" i="6"/>
  <c r="L218" i="6"/>
  <c r="K218" i="6"/>
  <c r="I179" i="6"/>
  <c r="L179" i="6"/>
  <c r="K179" i="6"/>
  <c r="I248" i="6"/>
  <c r="L248" i="6"/>
  <c r="K248" i="6"/>
  <c r="I236" i="6"/>
  <c r="L236" i="6"/>
  <c r="K236" i="6"/>
  <c r="K220" i="6"/>
  <c r="I220" i="6"/>
  <c r="L220" i="6"/>
  <c r="K192" i="6"/>
  <c r="I192" i="6"/>
  <c r="L192" i="6"/>
  <c r="K176" i="6"/>
  <c r="I176" i="6"/>
  <c r="L176" i="6"/>
  <c r="K168" i="6"/>
  <c r="I168" i="6"/>
  <c r="L168" i="6"/>
  <c r="I190" i="6"/>
  <c r="L190" i="6"/>
  <c r="K190" i="6"/>
  <c r="I239" i="6"/>
  <c r="L239" i="6"/>
  <c r="K239" i="6"/>
  <c r="I231" i="6"/>
  <c r="L231" i="6"/>
  <c r="K231" i="6"/>
  <c r="I223" i="6"/>
  <c r="L223" i="6"/>
  <c r="K223" i="6"/>
  <c r="I226" i="6"/>
  <c r="L226" i="6"/>
  <c r="K226" i="6"/>
  <c r="K270" i="6"/>
  <c r="I270" i="6"/>
  <c r="L270" i="6"/>
  <c r="K262" i="6"/>
  <c r="I262" i="6"/>
  <c r="L262" i="6"/>
  <c r="I254" i="6"/>
  <c r="L254" i="6"/>
  <c r="K254" i="6"/>
  <c r="I242" i="6"/>
  <c r="L242" i="6"/>
  <c r="K242" i="6"/>
  <c r="K16" i="17"/>
  <c r="F5" i="18"/>
  <c r="I251" i="6"/>
  <c r="L251" i="6"/>
  <c r="K251" i="6"/>
  <c r="F6" i="18"/>
  <c r="K209" i="6"/>
  <c r="I209" i="6"/>
  <c r="L209" i="6"/>
  <c r="K173" i="6"/>
  <c r="I173" i="6"/>
  <c r="L173" i="6"/>
  <c r="I202" i="6"/>
  <c r="L202" i="6"/>
  <c r="K202" i="6"/>
  <c r="I171" i="6"/>
  <c r="L171" i="6"/>
  <c r="K171" i="6"/>
  <c r="K224" i="6"/>
  <c r="I224" i="6"/>
  <c r="L224" i="6"/>
  <c r="K216" i="6"/>
  <c r="I216" i="6"/>
  <c r="L216" i="6"/>
  <c r="K208" i="6"/>
  <c r="I208" i="6"/>
  <c r="L208" i="6"/>
  <c r="K200" i="6"/>
  <c r="I200" i="6"/>
  <c r="L200" i="6"/>
  <c r="K184" i="6"/>
  <c r="I184" i="6"/>
  <c r="L184" i="6"/>
  <c r="K238" i="6"/>
  <c r="I238" i="6"/>
  <c r="L238" i="6"/>
  <c r="I182" i="6"/>
  <c r="L182" i="6"/>
  <c r="K182" i="6"/>
  <c r="K247" i="6"/>
  <c r="I247" i="6"/>
  <c r="L247" i="6"/>
  <c r="I219" i="6"/>
  <c r="L219" i="6"/>
  <c r="K219" i="6"/>
  <c r="I211" i="6"/>
  <c r="L211" i="6"/>
  <c r="K211" i="6"/>
  <c r="I203" i="6"/>
  <c r="L203" i="6"/>
  <c r="K203" i="6"/>
  <c r="C56" i="20"/>
  <c r="L7" i="20"/>
  <c r="D50" i="20"/>
  <c r="K7" i="17"/>
  <c r="K264" i="6"/>
  <c r="I264" i="6"/>
  <c r="L264" i="6"/>
  <c r="K271" i="6"/>
  <c r="I271" i="6"/>
  <c r="L271" i="6"/>
  <c r="I263" i="6"/>
  <c r="L263" i="6"/>
  <c r="K263" i="6"/>
  <c r="I269" i="6"/>
  <c r="L269" i="6"/>
  <c r="K269" i="6"/>
  <c r="K261" i="6"/>
  <c r="I261" i="6"/>
  <c r="L261" i="6"/>
  <c r="K253" i="6"/>
  <c r="I253" i="6"/>
  <c r="L253" i="6"/>
  <c r="K237" i="6"/>
  <c r="I237" i="6"/>
  <c r="L237" i="6"/>
  <c r="K221" i="6"/>
  <c r="I221" i="6"/>
  <c r="L221" i="6"/>
  <c r="K213" i="6"/>
  <c r="I213" i="6"/>
  <c r="L213" i="6"/>
  <c r="K201" i="6"/>
  <c r="I201" i="6"/>
  <c r="L201" i="6"/>
  <c r="K185" i="6"/>
  <c r="I185" i="6"/>
  <c r="L185" i="6"/>
  <c r="K177" i="6"/>
  <c r="I177" i="6"/>
  <c r="L177" i="6"/>
  <c r="I195" i="6"/>
  <c r="L195" i="6"/>
  <c r="K195" i="6"/>
  <c r="K240" i="6"/>
  <c r="I240" i="6"/>
  <c r="L240" i="6"/>
  <c r="K232" i="6"/>
  <c r="I232" i="6"/>
  <c r="L232" i="6"/>
  <c r="K188" i="6"/>
  <c r="I188" i="6"/>
  <c r="L188" i="6"/>
  <c r="K180" i="6"/>
  <c r="I180" i="6"/>
  <c r="L180" i="6"/>
  <c r="K172" i="6"/>
  <c r="I172" i="6"/>
  <c r="L172" i="6"/>
  <c r="I230" i="6"/>
  <c r="L230" i="6"/>
  <c r="K230" i="6"/>
  <c r="I174" i="6"/>
  <c r="L174" i="6"/>
  <c r="K174" i="6"/>
  <c r="K243" i="6"/>
  <c r="I243" i="6"/>
  <c r="L243" i="6"/>
  <c r="K235" i="6"/>
  <c r="I235" i="6"/>
  <c r="L235" i="6"/>
  <c r="I227" i="6"/>
  <c r="L227" i="6"/>
  <c r="K227" i="6"/>
  <c r="I210" i="6"/>
  <c r="L210" i="6"/>
  <c r="K210" i="6"/>
  <c r="I266" i="6"/>
  <c r="L266" i="6"/>
  <c r="K266" i="6"/>
  <c r="K258" i="6"/>
  <c r="I258" i="6"/>
  <c r="L258" i="6"/>
  <c r="K246" i="6"/>
  <c r="I246" i="6"/>
  <c r="L246" i="6"/>
  <c r="B5" i="18"/>
  <c r="B6" i="18"/>
  <c r="E23" i="20"/>
  <c r="P7" i="20"/>
  <c r="E24" i="20"/>
  <c r="P8" i="20"/>
  <c r="E25" i="20"/>
  <c r="P9" i="20"/>
  <c r="E26" i="20"/>
  <c r="P10" i="20"/>
  <c r="E27" i="20"/>
  <c r="P11" i="20"/>
  <c r="E28" i="20"/>
  <c r="P12" i="20"/>
  <c r="E29" i="20"/>
  <c r="P13" i="20"/>
  <c r="E30" i="20"/>
  <c r="P14" i="20"/>
  <c r="E31" i="20"/>
  <c r="P15" i="20"/>
  <c r="E32" i="20"/>
  <c r="P16" i="20"/>
  <c r="E33" i="20"/>
  <c r="P17" i="20"/>
  <c r="B34" i="20"/>
  <c r="E34" i="20"/>
  <c r="E22" i="20"/>
  <c r="P6" i="20"/>
  <c r="K4" i="16"/>
  <c r="K7" i="16"/>
  <c r="K8" i="16"/>
  <c r="K9" i="16"/>
  <c r="K10" i="16"/>
  <c r="K11" i="16"/>
  <c r="K12" i="16"/>
  <c r="K13" i="16"/>
  <c r="K14" i="16"/>
  <c r="K15" i="16"/>
  <c r="K16" i="16"/>
  <c r="K4" i="13"/>
  <c r="K6" i="13"/>
  <c r="K7" i="13"/>
  <c r="K8" i="13"/>
  <c r="K9" i="13"/>
  <c r="K10" i="13"/>
  <c r="K11" i="13"/>
  <c r="K12" i="13"/>
  <c r="K13" i="13"/>
  <c r="K14" i="13"/>
  <c r="K15" i="13"/>
  <c r="K16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4" i="12"/>
  <c r="K5" i="12"/>
  <c r="K7" i="12"/>
  <c r="K8" i="12"/>
  <c r="K9" i="12"/>
  <c r="K10" i="12"/>
  <c r="K12" i="12"/>
  <c r="K13" i="12"/>
  <c r="K14" i="12"/>
  <c r="K15" i="12"/>
  <c r="K16" i="12"/>
  <c r="K18" i="12"/>
  <c r="K19" i="12"/>
  <c r="K20" i="12"/>
  <c r="K21" i="12"/>
  <c r="K22" i="12"/>
  <c r="K23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5" i="14"/>
  <c r="K23" i="14"/>
  <c r="K22" i="14"/>
  <c r="K21" i="14"/>
  <c r="K20" i="14"/>
  <c r="K18" i="14"/>
  <c r="K17" i="14"/>
  <c r="K15" i="14"/>
  <c r="K13" i="14"/>
  <c r="K12" i="14"/>
  <c r="K10" i="14"/>
  <c r="K7" i="14"/>
  <c r="K6" i="14"/>
  <c r="K5" i="14"/>
  <c r="K4" i="14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N11" i="6"/>
  <c r="N14" i="6"/>
  <c r="O7" i="6"/>
  <c r="F56" i="20"/>
  <c r="E56" i="20"/>
  <c r="D56" i="20"/>
  <c r="B30" i="17"/>
  <c r="B31" i="17"/>
  <c r="C54" i="20"/>
  <c r="J7" i="20"/>
  <c r="C55" i="20"/>
  <c r="K7" i="20"/>
  <c r="O6" i="6"/>
  <c r="N12" i="6"/>
  <c r="F54" i="20"/>
  <c r="E54" i="20"/>
  <c r="D54" i="20"/>
  <c r="F55" i="20"/>
  <c r="E55" i="20"/>
  <c r="D55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<sst xmlns="http://schemas.openxmlformats.org/spreadsheetml/2006/main" count="7336" uniqueCount="2584">
  <si>
    <t>📝 نموذج تسجيل حالة حمل عالي الخطورة - تجمع جازان الصحي 2026</t>
  </si>
  <si>
    <t>✅ اضغط على الخلية الصفراء للإدخال - القوائم المنسدلة جاهزة للاختيار</t>
  </si>
  <si>
    <t>🔍 البحث عن حالة موجودة</t>
  </si>
  <si>
    <t>📋 البيانات الأساسية للمريضة</t>
  </si>
  <si>
    <t>أدخل السجل المدني:</t>
  </si>
  <si>
    <t>اسم المريضة:</t>
  </si>
  <si>
    <t>رقم الهوية:</t>
  </si>
  <si>
    <t>الاسم:</t>
  </si>
  <si>
    <t>تاريخ الميلاد:</t>
  </si>
  <si>
    <t>العمر:</t>
  </si>
  <si>
    <t>رقم الجوال:</t>
  </si>
  <si>
    <t>العنوان:</t>
  </si>
  <si>
    <t>القطاع:</t>
  </si>
  <si>
    <t>المركز الصحي:</t>
  </si>
  <si>
    <t>تاريخ LMP:</t>
  </si>
  <si>
    <t>عمر الحمل:</t>
  </si>
  <si>
    <t>المستشفى:</t>
  </si>
  <si>
    <t>تاريخ الزيارة:</t>
  </si>
  <si>
    <t>اسم الطبيب:</t>
  </si>
  <si>
    <t>VTE:</t>
  </si>
  <si>
    <t>Enoxaparin:</t>
  </si>
  <si>
    <t>⚠️ عوامل الخطورة والتقييم</t>
  </si>
  <si>
    <t>VTE عالي الخطورة؟</t>
  </si>
  <si>
    <t>تم وصف Enoxaparin؟</t>
  </si>
  <si>
    <t>تاريخ الموعد:</t>
  </si>
  <si>
    <t>مستوى الخطورة:</t>
  </si>
  <si>
    <t>توصية الإحالة:</t>
  </si>
  <si>
    <t>الالتزام:</t>
  </si>
  <si>
    <t>المستشفى المحال إليه:</t>
  </si>
  <si>
    <t>الحضور:</t>
  </si>
  <si>
    <t>📞 بيانات المتابعة</t>
  </si>
  <si>
    <t>💡 أدخل رقم السجل المدني للبحث</t>
  </si>
  <si>
    <t>إفادة الحضور:</t>
  </si>
  <si>
    <t>تصنيف المنسق:</t>
  </si>
  <si>
    <t>ملاحظات:</t>
  </si>
  <si>
    <t>📖 دليل سريع للاستخدام</t>
  </si>
  <si>
    <t>1️⃣</t>
  </si>
  <si>
    <t>أدخل بيانات المريضة الأساسية في الحقول الصفراء</t>
  </si>
  <si>
    <t>2️⃣</t>
  </si>
  <si>
    <t>اختر القطاع والمستشفى من القوائم المنسدلة</t>
  </si>
  <si>
    <t>3️⃣</t>
  </si>
  <si>
    <t>حدد مستوى الخطورة وتوصية الإحالة</t>
  </si>
  <si>
    <t>4️⃣</t>
  </si>
  <si>
    <t>بعد الإدخال، انسخ البيانات إلى ورقة 'البيانات'</t>
  </si>
  <si>
    <t>5️⃣</t>
  </si>
  <si>
    <t>جميع المؤشرات ستتحدث تلقائياً!</t>
  </si>
  <si>
    <t>🏥 ربط القطاعات بالمستشفيات</t>
  </si>
  <si>
    <t>🎯 تصنيفات المنسق</t>
  </si>
  <si>
    <t>القطاع</t>
  </si>
  <si>
    <t>المستشفى المحال إليه</t>
  </si>
  <si>
    <t>التصنيف</t>
  </si>
  <si>
    <t>الإجراء</t>
  </si>
  <si>
    <t>المركزي + فرسان</t>
  </si>
  <si>
    <t>مستشفى جازان العام</t>
  </si>
  <si>
    <t>🟢 منخفض</t>
  </si>
  <si>
    <t>تعود للمركز الصحي</t>
  </si>
  <si>
    <t>الغربي + الجبلي</t>
  </si>
  <si>
    <t>مستشفى صبيا العام</t>
  </si>
  <si>
    <t>🟡 عالي</t>
  </si>
  <si>
    <t>متابعة بنفس المستشفى</t>
  </si>
  <si>
    <t>الأوسط + بني مالك</t>
  </si>
  <si>
    <t>مستشفى أبو عريش العام</t>
  </si>
  <si>
    <t>🔴 عالي جداً</t>
  </si>
  <si>
    <t>تحويل لـ KFCH</t>
  </si>
  <si>
    <t>الجنوبي</t>
  </si>
  <si>
    <t>مستشفى صامطة العام</t>
  </si>
  <si>
    <t>الشمالي</t>
  </si>
  <si>
    <t>مستشفى بيش العام</t>
  </si>
  <si>
    <t>الحالات الحرجة</t>
  </si>
  <si>
    <t>مستشفى الملك فهد (KFCH)</t>
  </si>
  <si>
    <t>⚠️ ملاحظة هامة: مؤشر الالتزام يُحسب تلقائياً - يجب حجز الموعد خلال يومين عمل (الجمعة والسبت مستثناة)</t>
  </si>
  <si>
    <t>📖 دليل العمل الشامل - نظام إدارة الحمل عالي الخطورة - تجمع جازان الصحي 2026</t>
  </si>
  <si>
    <t>📑 فهرس المحتويات</t>
  </si>
  <si>
    <t>الرقم</t>
  </si>
  <si>
    <t>القسم</t>
  </si>
  <si>
    <t>الوصف</t>
  </si>
  <si>
    <t>نظرة عامة</t>
  </si>
  <si>
    <t>وصف شامل للنظام وأهدافه</t>
  </si>
  <si>
    <t>هيكل الملف</t>
  </si>
  <si>
    <t>شرح 18 ورقة عمل</t>
  </si>
  <si>
    <t>إدخال حالة جديدة</t>
  </si>
  <si>
    <t>خطوات التسجيل والإدخال</t>
  </si>
  <si>
    <t>توزيع القطاعات</t>
  </si>
  <si>
    <t>ربط القطاعات بالمستشفيات</t>
  </si>
  <si>
    <t>تصنيفات المنسق</t>
  </si>
  <si>
    <t>خيارات التصنيف الثلاثة</t>
  </si>
  <si>
    <t>6️⃣</t>
  </si>
  <si>
    <t>مؤشرات الأداء</t>
  </si>
  <si>
    <t>شرح KPIs والحسابات</t>
  </si>
  <si>
    <t>7️⃣</t>
  </si>
  <si>
    <t>صيغة الالتزام</t>
  </si>
  <si>
    <t>حساب مؤشر الالتزام</t>
  </si>
  <si>
    <t>8️⃣</t>
  </si>
  <si>
    <t>نموذج الإدخال</t>
  </si>
  <si>
    <t>استخدام نموذج الإدخال والتحديث</t>
  </si>
  <si>
    <t>9️⃣</t>
  </si>
  <si>
    <t>التقارير</t>
  </si>
  <si>
    <t>إنشاء وتصدير التقارير</t>
  </si>
  <si>
    <t>🔟</t>
  </si>
  <si>
    <t>إرشادات هامة</t>
  </si>
  <si>
    <t>نصائح وتحذيرات</t>
  </si>
  <si>
    <t>1️⃣ نظرة عامة على النظام</t>
  </si>
  <si>
    <t>الهدف:</t>
  </si>
  <si>
    <t>إدارة ومتابعة حالات الحمل عالي الخطورة في تجمع جازان الصحي</t>
  </si>
  <si>
    <t>النطاق:</t>
  </si>
  <si>
    <t>8 قطاعات + 6 مستشفيات (5 عامة + الملك فهد المركزي)</t>
  </si>
  <si>
    <t>المستخدمون:</t>
  </si>
  <si>
    <t>منسقو الإحالات في المراكز الصحية والمستشفيات</t>
  </si>
  <si>
    <t>التحديث:</t>
  </si>
  <si>
    <t>تلقائي - جميع المؤشرات والتقارير تتحدث فوراً عند إضافة البيانات</t>
  </si>
  <si>
    <t>مصدر البيانات:</t>
  </si>
  <si>
    <t>Microsoft Forms - متصل بورقة البيانات</t>
  </si>
  <si>
    <t>2️⃣ هيكل الملف (18 ورقة)</t>
  </si>
  <si>
    <t>الورقة</t>
  </si>
  <si>
    <t>الوظيفة</t>
  </si>
  <si>
    <t>النوع</t>
  </si>
  <si>
    <t>📖_دليل_العمل</t>
  </si>
  <si>
    <t>دليل الاستخدام الشامل</t>
  </si>
  <si>
    <t>مرجع 📚</t>
  </si>
  <si>
    <t>هذه الورقة</t>
  </si>
  <si>
    <t>📝_نموذج_الإدخال</t>
  </si>
  <si>
    <t>نموذج تسجيل حالة جديدة</t>
  </si>
  <si>
    <t>إدخال ✏️</t>
  </si>
  <si>
    <t>قوائم منسدلة</t>
  </si>
  <si>
    <t>📊_لوحة_التحكم</t>
  </si>
  <si>
    <t>المؤشرات الرئيسية + البحث</t>
  </si>
  <si>
    <t>عرض 👁️</t>
  </si>
  <si>
    <t>لوحة تحكم مركزية</t>
  </si>
  <si>
    <t>📈_التقارير</t>
  </si>
  <si>
    <t>KPIs شهرية + رسوم بيانية</t>
  </si>
  <si>
    <t>عرض + فلتر 📊</t>
  </si>
  <si>
    <t>تقارير شهرية وسنوية</t>
  </si>
  <si>
    <t>توزيع_الإحالات</t>
  </si>
  <si>
    <t>توزيع على المستشفيات</t>
  </si>
  <si>
    <t>إحصائيات التوزيع</t>
  </si>
  <si>
    <t>النظام_الذكي</t>
  </si>
  <si>
    <t>نظام توقع الإحالات</t>
  </si>
  <si>
    <t>نقاط الخطورة</t>
  </si>
  <si>
    <t>إحالات_KFCH</t>
  </si>
  <si>
    <t>إحالات الملك فهد</t>
  </si>
  <si>
    <t>تلقائي من البيانات</t>
  </si>
  <si>
    <t>إحالات_جازان</t>
  </si>
  <si>
    <t>إحالات مستشفى جازان</t>
  </si>
  <si>
    <t>إحالات_صبيا</t>
  </si>
  <si>
    <t>إحالات مستشفى صبيا</t>
  </si>
  <si>
    <t>إحالات_أبو_عريش</t>
  </si>
  <si>
    <t>إحالات أبو عريش</t>
  </si>
  <si>
    <t>إحالات_صامطة</t>
  </si>
  <si>
    <t>إحالات صامطة</t>
  </si>
  <si>
    <t>إحالات_بيش</t>
  </si>
  <si>
    <t>إحالات بيش</t>
  </si>
  <si>
    <t>الحالات_العاجلة</t>
  </si>
  <si>
    <t>VTE بدون علاج</t>
  </si>
  <si>
    <t>متابعة عاجلة</t>
  </si>
  <si>
    <t>تقييم_VTE</t>
  </si>
  <si>
    <t>تقييم خطورة VTE</t>
  </si>
  <si>
    <t>حالات VTE</t>
  </si>
  <si>
    <t>متابعة_الحالات</t>
  </si>
  <si>
    <t>نظام المتابعة</t>
  </si>
  <si>
    <t>المواعيد والحضور</t>
  </si>
  <si>
    <t>البيانات</t>
  </si>
  <si>
    <t>البيانات من Forms</t>
  </si>
  <si>
    <t>مصدر 📁</t>
  </si>
  <si>
    <t>لا تعدل</t>
  </si>
  <si>
    <t>3️⃣ خطوات إدخال حالة جديدة</t>
  </si>
  <si>
    <t>الخطوة</t>
  </si>
  <si>
    <t>التفاصيل</t>
  </si>
  <si>
    <t>افتح ورقة 'البيانات'</t>
  </si>
  <si>
    <t>أو استخدم نموذج الإدخال 📝</t>
  </si>
  <si>
    <t>أضف بيانات المريضة</t>
  </si>
  <si>
    <t>البيانات تأتي من Forms تلقائياً</t>
  </si>
  <si>
    <t>أدخل اسم المستشفى في عمود AR</t>
  </si>
  <si>
    <t>جازان/صبيا/أبو عريش/صامطة/بيش/الملك فهد</t>
  </si>
  <si>
    <t>أدخل تاريخ الموعد في عمود AS</t>
  </si>
  <si>
    <t>تاريخ موعد المريضة</t>
  </si>
  <si>
    <t>أدخل إفادة الحضور في عمود AJ</t>
  </si>
  <si>
    <t>حضرت / لم تحضر / بانتظار</t>
  </si>
  <si>
    <t>✅</t>
  </si>
  <si>
    <t>جميع الأوراق تتحدث تلقائياً!</t>
  </si>
  <si>
    <t>لا تحتاج تحديث يدوي</t>
  </si>
  <si>
    <t>4️⃣ توزيع القطاعات على المستشفيات</t>
  </si>
  <si>
    <t>المستشفى</t>
  </si>
  <si>
    <t>ملاحظات</t>
  </si>
  <si>
    <t>الرئيسي</t>
  </si>
  <si>
    <t>بعد التقييم</t>
  </si>
  <si>
    <t>5️⃣ تصنيفات المنسق</t>
  </si>
  <si>
    <t>اللون</t>
  </si>
  <si>
    <t>متى يُستخدم</t>
  </si>
  <si>
    <t>🟢 منخفض - يعود للمركز</t>
  </si>
  <si>
    <t>أخضر</t>
  </si>
  <si>
    <t>لا تحتاج متابعة تخصصية</t>
  </si>
  <si>
    <t>🟡 عالي - متابعة بالمستشفى</t>
  </si>
  <si>
    <t>أصفر</t>
  </si>
  <si>
    <t>تتابع بنفس المستشفى</t>
  </si>
  <si>
    <t>تحتاج متابعة لكن ليست حرجة</t>
  </si>
  <si>
    <t>🔴 عالي جداً - تحويل KFCH</t>
  </si>
  <si>
    <t>أحمر</t>
  </si>
  <si>
    <t>تحويل للملك فهد</t>
  </si>
  <si>
    <t>حالة حرجة</t>
  </si>
  <si>
    <t>6️⃣ مؤشرات الأداء (KPIs)</t>
  </si>
  <si>
    <t>المؤشر</t>
  </si>
  <si>
    <t>الهدف</t>
  </si>
  <si>
    <t>الحساب</t>
  </si>
  <si>
    <t>نسبة التحويل</t>
  </si>
  <si>
    <t>% المُحالة للمستشفيات</t>
  </si>
  <si>
    <t>المحولات ÷ المسجلات</t>
  </si>
  <si>
    <t>نسبة الالتزام</t>
  </si>
  <si>
    <t>% حجز الموعد خلال يومين</t>
  </si>
  <si>
    <t>الملتزمين ÷ الإجمالي</t>
  </si>
  <si>
    <t>نسبة الحضور</t>
  </si>
  <si>
    <t>% الحضور للمواعيد</t>
  </si>
  <si>
    <t>الحاضرات ÷ الإجمالي</t>
  </si>
  <si>
    <t>وصف Enoxaparin</t>
  </si>
  <si>
    <t>% VTE الموصوف لها علاج</t>
  </si>
  <si>
    <t>تم الوصف ÷ VTE</t>
  </si>
  <si>
    <t>7️⃣ صيغة حساب الالتزام</t>
  </si>
  <si>
    <t>الصيغة:</t>
  </si>
  <si>
    <t>NETWORKDAYS.INTL(تاريخ_الزيارة,تاريخ_الموعد,"0000011")-1&lt;=2</t>
  </si>
  <si>
    <t>0000011:</t>
  </si>
  <si>
    <t>استثناء الجمعة والسبت</t>
  </si>
  <si>
    <t>≤ 2 أيام:</t>
  </si>
  <si>
    <t>✅ ملتزم</t>
  </si>
  <si>
    <t>&gt; 2 أيام:</t>
  </si>
  <si>
    <t>❌ غير ملتزم</t>
  </si>
  <si>
    <t>بدون موعد:</t>
  </si>
  <si>
    <t>⏳ بانتظار</t>
  </si>
  <si>
    <t>8️⃣ استخدام نموذج الإدخال</t>
  </si>
  <si>
    <t>افتح ورقة 📝_نموذج_الإدخال</t>
  </si>
  <si>
    <t>أدخل البيانات في الحقول الصفراء</t>
  </si>
  <si>
    <t>اختر من القوائم المنسدلة</t>
  </si>
  <si>
    <t>انسخ البيانات إلى ورقة 'البيانات'</t>
  </si>
  <si>
    <t>💡</t>
  </si>
  <si>
    <t>يمكن استخدامه للبحث والتحديث أيضاً</t>
  </si>
  <si>
    <t>9️⃣ إنشاء وتصدير التقارير</t>
  </si>
  <si>
    <t>اذهب إلى ورقة 📈_التقارير</t>
  </si>
  <si>
    <t>اختر الشهر والسنة من القوائم</t>
  </si>
  <si>
    <t>الإحصائيات تتحدث تلقائياً</t>
  </si>
  <si>
    <t>للتصدير: Ctrl+P ← Print to PDF</t>
  </si>
  <si>
    <t>تشمل: المسجلات، الالتزام، الحضور، القطاعات، المستشفيات</t>
  </si>
  <si>
    <t>🔟 إرشادات هامة</t>
  </si>
  <si>
    <t>⚠️</t>
  </si>
  <si>
    <t>لا تحذف أو تعدل الصيغ المحمية</t>
  </si>
  <si>
    <t>أدخل البيانات في الأعمدة المخصصة فقط</t>
  </si>
  <si>
    <t>استخدم القوائم المنسدلة</t>
  </si>
  <si>
    <t>جميع التحديثات تلقائية</t>
  </si>
  <si>
    <t>الجمعة والسبت مستثناة من أيام العمل</t>
  </si>
  <si>
    <t>للبحث: استخدم السجل المدني في لوحة التحكم</t>
  </si>
  <si>
    <t>للتحديث: اذهب لورقة المستشفى أو البيانات</t>
  </si>
  <si>
    <t>📞 الدعم الفني</t>
  </si>
  <si>
    <t>للاستفسارات:</t>
  </si>
  <si>
    <t>فريق تحسين مسار الحمل عالي الخطورة</t>
  </si>
  <si>
    <t>تاريخ التحديث:</t>
  </si>
  <si>
    <t>مايو 2026</t>
  </si>
  <si>
    <t>الإصدار:</t>
  </si>
  <si>
    <t>2.0 - النسخة المتطورة</t>
  </si>
  <si>
    <t>📊 لوحة توزيع الإحالات على المستشفيات - تجمع جازان الصحي 2026</t>
  </si>
  <si>
    <t>📈 ملخص الإحالات</t>
  </si>
  <si>
    <t>🏥 توزيع الإحالات حسب المستشفى</t>
  </si>
  <si>
    <t>إجمالي الحالات المسجلة</t>
  </si>
  <si>
    <t>عدد الإحالات</t>
  </si>
  <si>
    <t>النسبة</t>
  </si>
  <si>
    <t>الحالات تحتاج إحالة</t>
  </si>
  <si>
    <t>مستشفى الملك فهد المركزي (تحويلات)</t>
  </si>
  <si>
    <t>متابعة في المركز</t>
  </si>
  <si>
    <t>🔴 حالات حرجة</t>
  </si>
  <si>
    <t>🟠 حالات عالية</t>
  </si>
  <si>
    <t>🟡 حالات متوسطة</t>
  </si>
  <si>
    <t>📍 توزيع الحالات حسب القطاع</t>
  </si>
  <si>
    <t>💡 تعليمات الاستخدام</t>
  </si>
  <si>
    <t>عدد الحالات</t>
  </si>
  <si>
    <t>كل مستشفى له ورقة خاصة بإحالاته</t>
  </si>
  <si>
    <t>القطاع المركزي</t>
  </si>
  <si>
    <t>الحالات تُصنف تلقائياً حسب القطاع</t>
  </si>
  <si>
    <t>القطاع الأوسط</t>
  </si>
  <si>
    <t>الحالات الحرجة تُحال لمستشفى الملك فهد</t>
  </si>
  <si>
    <t>القطاع الغربي</t>
  </si>
  <si>
    <t>البيانات تتحدث تلقائياً من ورقة البيانات</t>
  </si>
  <si>
    <t>القطاع الجنوبي</t>
  </si>
  <si>
    <t>للتحديث: أضف البيانات الجديدة في ورقة البيانات</t>
  </si>
  <si>
    <t>القطاع الشمالي</t>
  </si>
  <si>
    <t>القطاع الجبلي</t>
  </si>
  <si>
    <t>قطاع بني مالك</t>
  </si>
  <si>
    <t>قطاع فرسان</t>
  </si>
  <si>
    <t>📐 صيغة حساب الالتزام:</t>
  </si>
  <si>
    <t>🔹 الصيغة: IF(NETWORKDAYS.INTL(تاريخ_الزيارة,تاريخ_الموعد,"0000011")-1&lt;=2,"✅ ملتزم","❌ غير ملتزم")</t>
  </si>
  <si>
    <t>🔹 "0000011" = استثناء الجمعة (اليوم 6) والسبت (اليوم 7)</t>
  </si>
  <si>
    <t>🔹 إذا كان الفرق ≤ 2 أيام عمل = ✅ ملتزم، وإلا = ❌ غير ملتزم</t>
  </si>
  <si>
    <t>📊 مؤشر الالتزام (حجز الموعد خلال يومين عمل)</t>
  </si>
  <si>
    <t>العدد</t>
  </si>
  <si>
    <t>✅ ملتزم (خلال يومين عمل)</t>
  </si>
  <si>
    <t>❌ غير ملتزم (أكثر من يومين)</t>
  </si>
  <si>
    <t>⏳ بانتظار الموعد</t>
  </si>
  <si>
    <t>💡 ملاحظة: الالتزام = حجز الموعد خلال يومين عمل (الجمعة والسبت مستثناة)</t>
  </si>
  <si>
    <t>🏥 لوحة التحكم المركزية - مشروع تحسين مسار الحمل عالي الخطورة - تجمع جازان الصحي 2026</t>
  </si>
  <si>
    <t>📅 آخر تحديث:</t>
  </si>
  <si>
    <t>📊 إجمالي الحالات</t>
  </si>
  <si>
    <t>🔴 VTE عالي</t>
  </si>
  <si>
    <t>⚠️ بدون علاج</t>
  </si>
  <si>
    <t>✅ تم العلاج</t>
  </si>
  <si>
    <t>👵 عمر &gt; 40</t>
  </si>
  <si>
    <t>🚨 حرجة</t>
  </si>
  <si>
    <t>🏥 توزيع الإحالات على المستشفيات</t>
  </si>
  <si>
    <t>📊 توزيع مستويات الخطورة</t>
  </si>
  <si>
    <t>المستوى</t>
  </si>
  <si>
    <t>🔴 حرج</t>
  </si>
  <si>
    <t>إحالة فورية للمستشفى</t>
  </si>
  <si>
    <t>🟠 عالي</t>
  </si>
  <si>
    <t>إحالة تخصصية</t>
  </si>
  <si>
    <t>🟡 متوسط</t>
  </si>
  <si>
    <t>متابعة مكثفة</t>
  </si>
  <si>
    <t>متابعة روتينية</t>
  </si>
  <si>
    <t>🔍 البحث بالسجل المدني</t>
  </si>
  <si>
    <t>⏱️ مؤشر الالتزام (حجز الموعد خلال يومين عمل)</t>
  </si>
  <si>
    <t>الحالة</t>
  </si>
  <si>
    <t>✅ ملتزم (≤ يومين عمل)</t>
  </si>
  <si>
    <t>🟢 جيد</t>
  </si>
  <si>
    <t>❌ غير ملتزم (&gt; يومين)</t>
  </si>
  <si>
    <t>🔴 يحتاج متابعة</t>
  </si>
  <si>
    <t>⚪ معلق</t>
  </si>
  <si>
    <t>💡 ملاحظة: الالتزام يُحسب بعد إدخال تاريخ الموعد</t>
  </si>
  <si>
    <t>العلاج:</t>
  </si>
  <si>
    <t>🚨 تنبيهات عاجلة</t>
  </si>
  <si>
    <t>⚠️ حالات VTE بدون Enoxaparin:</t>
  </si>
  <si>
    <t>حالة تحتاج متابعة فورية</t>
  </si>
  <si>
    <t>للبحث عن مريضة: أدخل السجل المدني في الخانة الصفراء</t>
  </si>
  <si>
    <t>🔴 حالات حرجة تحتاج إحالة:</t>
  </si>
  <si>
    <t>لمتابعة حالة: اذهب لورقة المستشفى المعني</t>
  </si>
  <si>
    <t>👵 حوامل فوق 40 سنة + VTE:</t>
  </si>
  <si>
    <t>حالة عالية الخطورة</t>
  </si>
  <si>
    <t>للتحويل لـ KFCH: حدد 'عالي جداً - تحويل KFCH' في تصنيف المنسق</t>
  </si>
  <si>
    <t>لإضافة بيانات جديدة: انسخها إلى ورقة 'البيانات'</t>
  </si>
  <si>
    <t>الجمعة والسبت مستثناة من حساب أيام العمل</t>
  </si>
  <si>
    <t>🔗 روابط سريعة للأوراق:</t>
  </si>
  <si>
    <t>📊 توزيع_الإحالات</t>
  </si>
  <si>
    <t>🏥 إحالات_جازان</t>
  </si>
  <si>
    <t>🏥 إحالات_صبيا</t>
  </si>
  <si>
    <t>🏥 إحالات_أبو_عريش</t>
  </si>
  <si>
    <t>🏥 إحالات_صامطة</t>
  </si>
  <si>
    <t>🏥 إحالات_بيش</t>
  </si>
  <si>
    <t>🏥 إحالات_KFCH</t>
  </si>
  <si>
    <t>🚨 الحالات_العاجلة</t>
  </si>
  <si>
    <t>📋 تقييم_VTE</t>
  </si>
  <si>
    <t>📁 البيانات</t>
  </si>
  <si>
    <t>🧠 النظام_الذكي</t>
  </si>
  <si>
    <t>🏥 نظام الحمل عالي الخطورة الذكي - تجمع جازان الصحي 2026</t>
  </si>
  <si>
    <t>⚠️ الحالات الحرجة تُحال للمستشفى التابع للقطاع أولاً، ثم تُحوَّل لـ KFCH بعد التقييم</t>
  </si>
  <si>
    <t>إجمالي الحالات</t>
  </si>
  <si>
    <t>⚠️ تحتاج إحالة</t>
  </si>
  <si>
    <t>عمر &gt; 40</t>
  </si>
  <si>
    <t>✅ Enoxaparin</t>
  </si>
  <si>
    <t>📈 إحصائيات الإحالات</t>
  </si>
  <si>
    <t>📊 نظام توقع الإحالات الذكي</t>
  </si>
  <si>
    <t>#</t>
  </si>
  <si>
    <t>السجل المدني</t>
  </si>
  <si>
    <t>اسم المريضة</t>
  </si>
  <si>
    <t>العمر</t>
  </si>
  <si>
    <t>VTE</t>
  </si>
  <si>
    <t>مستوى الخطر</t>
  </si>
  <si>
    <t>توصية الإحالة</t>
  </si>
  <si>
    <t>الأولوية</t>
  </si>
  <si>
    <t>مستشفى الإحالة</t>
  </si>
  <si>
    <t>فايزة يحى جابر المالكى</t>
  </si>
  <si>
    <t>القطاع الأوسط Middle Sector</t>
  </si>
  <si>
    <t>🟢 لا</t>
  </si>
  <si>
    <t>AWATIF AHMED ABDULLAH HAKAMI</t>
  </si>
  <si>
    <t>القطاع المركزي Central Sector</t>
  </si>
  <si>
    <t>MUTIBAH FAYADH MUTAEN TUMAYHI</t>
  </si>
  <si>
    <t>القطاع الغربي Western Sector</t>
  </si>
  <si>
    <t>⚡ ملخص سريع</t>
  </si>
  <si>
    <t>منيرة خالد علي خبراني</t>
  </si>
  <si>
    <t>🔴 نعم</t>
  </si>
  <si>
    <t>إحالة فورية</t>
  </si>
  <si>
    <t>مستشفى أبو عريش العام ⚠️</t>
  </si>
  <si>
    <t>إحالة فورية مطلوبة</t>
  </si>
  <si>
    <t>WUSHAYLAH MOFAREH BIN YAHYA MUFDI</t>
  </si>
  <si>
    <t>القطاع الجبلي Aljabaly Sector</t>
  </si>
  <si>
    <t>LAILA ALI HUSSAIN KADI</t>
  </si>
  <si>
    <t>VTE بدون Enoxaparin</t>
  </si>
  <si>
    <t>ندا عبدالله ناصر صالح يحي</t>
  </si>
  <si>
    <t>هند جابر احمد عقيلي</t>
  </si>
  <si>
    <t>KHADEJA AHMED ALI SARWI</t>
  </si>
  <si>
    <t>رقيا احمد قاسم مجلي</t>
  </si>
  <si>
    <t>laila zowalan hawas</t>
  </si>
  <si>
    <t>عفراء حيدر عبده حكمي</t>
  </si>
  <si>
    <t>LAILA JABER ALI ADLAN</t>
  </si>
  <si>
    <t>خجة محمد حكمي</t>
  </si>
  <si>
    <t>مستشفى جازان العام ⚠️</t>
  </si>
  <si>
    <t>فاطمة علي حكمي</t>
  </si>
  <si>
    <t>نقاط الخطورة:</t>
  </si>
  <si>
    <t>BASMAH ABED ABDULLAH MASMALI</t>
  </si>
  <si>
    <t>مستوى الخطر:</t>
  </si>
  <si>
    <t>اميرة حسن عيسى حكمي</t>
  </si>
  <si>
    <t>التوصية:</t>
  </si>
  <si>
    <t>AMAL MUSHARI ALKHAIRAT</t>
  </si>
  <si>
    <t>هدي منصور عبده حمدي</t>
  </si>
  <si>
    <t>القطاع الجنوبي Southern Sector</t>
  </si>
  <si>
    <t>📋 تعليمات الاستخدام</t>
  </si>
  <si>
    <t>FATIMAH MOHAMMED HAMAD HAKAMI</t>
  </si>
  <si>
    <t>1. البيانات تتحدث تلقائياً من ورقة البيانات</t>
  </si>
  <si>
    <t>هناء حسن النعمي</t>
  </si>
  <si>
    <t>2. للبحث: أدخل السجل المدني في الخانة الصفراء</t>
  </si>
  <si>
    <t>fatma jaber mohammed</t>
  </si>
  <si>
    <t>القطاع الشمالي Northern Sector</t>
  </si>
  <si>
    <t>3. الحالات الحرجة تظهر باللون الأحمر</t>
  </si>
  <si>
    <t>سهام علي علي عتين</t>
  </si>
  <si>
    <t>4. ⚠️ بدون علاج = تحتاج Enoxaparin فوراً</t>
  </si>
  <si>
    <t>RYHANA AHMED JABBAR</t>
  </si>
  <si>
    <t>5. للفرز: اضغط على عمود الأولوية (K)</t>
  </si>
  <si>
    <t>نعمه احمد سليمان علي غزواني</t>
  </si>
  <si>
    <t>لطيفه علي موسى حيدر</t>
  </si>
  <si>
    <t>Aesha MOHAMMED AHMED MURAYR</t>
  </si>
  <si>
    <t>سهام احمد حسن مسملي</t>
  </si>
  <si>
    <t>SHYMAA EISAA ALI</t>
  </si>
  <si>
    <t>ZARAH MOFAREH ALI SUHLULI</t>
  </si>
  <si>
    <t>Nada bahlul yahya kurmi</t>
  </si>
  <si>
    <t>RADHYAH YAHYA MOHAMMED ALMALKI</t>
  </si>
  <si>
    <t>NORAH HUSSAIN OTHMAN HAKAMI</t>
  </si>
  <si>
    <t>SALIHAH AHMED HUSSAIN GHAZWANI</t>
  </si>
  <si>
    <t>Norah Mana Yahya</t>
  </si>
  <si>
    <t>قطاع بني مالك Bani Malik Sector</t>
  </si>
  <si>
    <t>RAHAF AHMED MOHAMMED ALRAJAB</t>
  </si>
  <si>
    <t>AHLAAM ALI GASSAB ALSHAMRANI</t>
  </si>
  <si>
    <t>كاذيه سلمان سالم حريصى</t>
  </si>
  <si>
    <t>bany malik sectorقطاع بني مالك</t>
  </si>
  <si>
    <t>FATIMAH SIDDIQ YAHYA MASHYAKHI</t>
  </si>
  <si>
    <t>Middle sectorالقطاع الاوسط</t>
  </si>
  <si>
    <t>NIMAH HASSAN YAHYA SUHLULI</t>
  </si>
  <si>
    <t>Western Sectorالقطاع الغربي</t>
  </si>
  <si>
    <t>مستشفى صبيا العام ⚠️</t>
  </si>
  <si>
    <t>jumah ali ahmed</t>
  </si>
  <si>
    <t>بدرية عبدالكريم حمدي</t>
  </si>
  <si>
    <t>Central Sectorالقطاع المركزي</t>
  </si>
  <si>
    <t>SALMA YAHYA ALI AHMED MOHAMMED</t>
  </si>
  <si>
    <t>SHATHA HASSAN ALI DAHISH</t>
  </si>
  <si>
    <t>نورة عبدة محمد القاضي</t>
  </si>
  <si>
    <t>Southern Sector القطاع الجنوبي</t>
  </si>
  <si>
    <t>غير محدد</t>
  </si>
  <si>
    <t>صفيه محمد جابر هزازى</t>
  </si>
  <si>
    <t>وفاء فيصل عبدالله قيسي</t>
  </si>
  <si>
    <t>Amani jubran sahly</t>
  </si>
  <si>
    <t>نجود يحيى عبده قاسم</t>
  </si>
  <si>
    <t>JAYDAA MOHAMMED IBRAHIM HADDAD</t>
  </si>
  <si>
    <t>17Y 10M</t>
  </si>
  <si>
    <t>سكوت معيد</t>
  </si>
  <si>
    <t>جميله سلمان جبران غزواني</t>
  </si>
  <si>
    <t>aljabaly sectorالقطاع الجبلي</t>
  </si>
  <si>
    <t>عايشه احمد ابراهيم الحسني</t>
  </si>
  <si>
    <t>جميله محمد حسن غزواني</t>
  </si>
  <si>
    <t>زينب علي عيسي قيسي</t>
  </si>
  <si>
    <t>RAHMAH ABDOH IBRAHIM</t>
  </si>
  <si>
    <t>EISHAH MOHAMMED AHMED ALJOHANI</t>
  </si>
  <si>
    <t>KHULUD ESSA BINALI KHORMI</t>
  </si>
  <si>
    <t>FATEMAH ABDULAZIZ ALI ALHAKAMI</t>
  </si>
  <si>
    <t>TAYSIR HASSAN ABDU SIDDIQ</t>
  </si>
  <si>
    <t>فاطمه سنينس صوعان هزازي</t>
  </si>
  <si>
    <t>FATIMAH MANSOUR AHMED QASEM</t>
  </si>
  <si>
    <t>Jumah hassan mohmmed hurubi</t>
  </si>
  <si>
    <t>WAFA ZAHER YAHYA ALOTAYFI</t>
  </si>
  <si>
    <t>WASAN OMAR BUHAYS ALNAJJAR</t>
  </si>
  <si>
    <t>ABEER HASSAN MOHAMMED AGEELI</t>
  </si>
  <si>
    <t>HAWMAA ALI IBRAHIM FOQERY</t>
  </si>
  <si>
    <t>Northern Sectorالقطاع الشمالي</t>
  </si>
  <si>
    <t>مستشفى بيش العام ⚠️</t>
  </si>
  <si>
    <t>ALSHAYMAA MUSAAD IBRAHIM NAJDI</t>
  </si>
  <si>
    <t>REHAB HUSSAIN AHMED HAKAMI</t>
  </si>
  <si>
    <t>Tasnin Basin Saad Hendi</t>
  </si>
  <si>
    <t>TAHANI WAHEEB JUHAYNI HABS</t>
  </si>
  <si>
    <t>عائشة محمد عبدالله حدادي</t>
  </si>
  <si>
    <t xml:space="preserve">Southern Sector القطاع الجنوبي				</t>
  </si>
  <si>
    <t>NASIYAH ALI AHMED HAZAZI</t>
  </si>
  <si>
    <t>ناديه علي احمد مدخلي</t>
  </si>
  <si>
    <t xml:space="preserve">عائشة ثابت مهدي </t>
  </si>
  <si>
    <t xml:space="preserve">THURAYA </t>
  </si>
  <si>
    <t>سلمى احمد محمد حشيبري</t>
  </si>
  <si>
    <t>FATIMAH MAHDI MOHSEN TUMAYHI</t>
  </si>
  <si>
    <t>عزيزة احمد مساوي  شوك</t>
  </si>
  <si>
    <t>هدى علي ربيع عيسى عظابي</t>
  </si>
  <si>
    <t>رحمة محمد مهدي مغفوري</t>
  </si>
  <si>
    <t>FATIMAH HASSAN ABDULLAH SALEH</t>
  </si>
  <si>
    <t>SHAHD AHMED</t>
  </si>
  <si>
    <t>HUDA HADI OTHMAN HUFDI</t>
  </si>
  <si>
    <t xml:space="preserve">مريم حسن المالكي </t>
  </si>
  <si>
    <t>RANEEM ALI</t>
  </si>
  <si>
    <t xml:space="preserve">Walla abdu awajy </t>
  </si>
  <si>
    <t>GHADEER FAHAD ESSA HAKAMI</t>
  </si>
  <si>
    <t>SALMA ALI JABBAR</t>
  </si>
  <si>
    <t>حنان احمد محمد عواجي</t>
  </si>
  <si>
    <t>MASHAEL  JABER  SAWHAN</t>
  </si>
  <si>
    <t>NORAH ALI TAYYASH ASHIRI (164000000004501) - نوره علي بن طياش عشيري</t>
  </si>
  <si>
    <t>خديجة هاشم</t>
  </si>
  <si>
    <t>ALIYAH AHMED ABDULLAH QAYSI</t>
  </si>
  <si>
    <t>MAJIDAH SULAIMAN AHMED ALSHAHRANI</t>
  </si>
  <si>
    <t>رانية عبد السلام امجاهد</t>
  </si>
  <si>
    <t>جمعة علي يحيى غزواني</t>
  </si>
  <si>
    <t>JUMAH MASHNI ABDULLAH TUMAYHI</t>
  </si>
  <si>
    <t>ندى عبدالله ناصر يحي</t>
  </si>
  <si>
    <t xml:space="preserve"> Middle sectorالقطاع الاوسط </t>
  </si>
  <si>
    <t>نوف احمد علي حسن مغفوري</t>
  </si>
  <si>
    <t xml:space="preserve">امل محسن العماري </t>
  </si>
  <si>
    <t>WIAM HASSAN OTHMAN HAKAMI</t>
  </si>
  <si>
    <t>سميرة احمد حسن حكمي</t>
  </si>
  <si>
    <t xml:space="preserve">فاطمة علي علي حكمي </t>
  </si>
  <si>
    <t>Fatimah hussain taher qaysi</t>
  </si>
  <si>
    <t>HISSAH ALI BIN AHMED HIBAH</t>
  </si>
  <si>
    <t>مروة خميس</t>
  </si>
  <si>
    <t>SALMA ABDULLAH  HASSAN</t>
  </si>
  <si>
    <t>مريم يحي محمد شاجري</t>
  </si>
  <si>
    <t xml:space="preserve">ليلى محمد ابراهيم عقيل </t>
  </si>
  <si>
    <t>MATRAH MOHAMMED ALI MASHYAKHI</t>
  </si>
  <si>
    <t>هاشميه الحسن محمد مجرشي</t>
  </si>
  <si>
    <t>FAWZIAH HADI AMRI</t>
  </si>
  <si>
    <t>MUIDHAH ABDU ABDULLAH WAHHAN</t>
  </si>
  <si>
    <t>AREEJ AHMED MOHAMMED ZUGHAIBI</t>
  </si>
  <si>
    <t>jubarah hassan yhia mashi</t>
  </si>
  <si>
    <t>SHAHAD DUHDUH ABDULLAH DUHDUH</t>
  </si>
  <si>
    <t>ZAHRAH OTHMAN ABDU ABDALI</t>
  </si>
  <si>
    <t>SARAH HAMAD EISI NUHI</t>
  </si>
  <si>
    <t xml:space="preserve">نعمة احمد محمد هروبي </t>
  </si>
  <si>
    <t xml:space="preserve">ميلاف محمد جميل </t>
  </si>
  <si>
    <t>حاجة احمد محمد حدادي</t>
  </si>
  <si>
    <t xml:space="preserve">تغريد علي سالم ال عبدالله </t>
  </si>
  <si>
    <t xml:space="preserve">fatma ali  masoud  </t>
  </si>
  <si>
    <t>FATIMAH AHMED ALI GHUNAYMI</t>
  </si>
  <si>
    <t>ربوعة يزيد حسن دوران</t>
  </si>
  <si>
    <t>SAHAR HASSAN Q SHARAHILI</t>
  </si>
  <si>
    <t>HAJAR ABDU MOHSEN HARBAN</t>
  </si>
  <si>
    <t>SHAHAD NASSER MOHAMMED JABRIL</t>
  </si>
  <si>
    <t>SALHA JABBAR  ALI</t>
  </si>
  <si>
    <t>SALIHAH JABER QASEM GHAZWANI</t>
  </si>
  <si>
    <t>تغريد أحمد فتحي جريبي</t>
  </si>
  <si>
    <t>Huda hussein najmi</t>
  </si>
  <si>
    <t xml:space="preserve">MITIBA  FAYE MOHAMMED </t>
  </si>
  <si>
    <t>اسماء احمد الشهري</t>
  </si>
  <si>
    <t>معالي علي شعبي</t>
  </si>
  <si>
    <t>رجاء عبدالله محمد ربيع</t>
  </si>
  <si>
    <t>سراب علي يحي</t>
  </si>
  <si>
    <t>الهنوف احمد</t>
  </si>
  <si>
    <t>عائشة حسين</t>
  </si>
  <si>
    <t>ZAHRA DHAIFALLAH SHOEI JAAFARI</t>
  </si>
  <si>
    <t>بدور مسعود</t>
  </si>
  <si>
    <t>NADA AYIDH SAEED AL</t>
  </si>
  <si>
    <t>WEJDAN HADI HASSAN ALAAULLAH</t>
  </si>
  <si>
    <t>فوزيه عبدالله علي مقري</t>
  </si>
  <si>
    <t>FADIYAH HASSAN AHMED SAHLI</t>
  </si>
  <si>
    <t>NASEEM NASSER AHMED ALSHARIF</t>
  </si>
  <si>
    <t>AHLAM YAHIA SALMAN ALFAIFI</t>
  </si>
  <si>
    <t>AMAL MOHAMMED ALI GHATHI</t>
  </si>
  <si>
    <t>SARAH ALI AHMED JAHFALI</t>
  </si>
  <si>
    <t>حنان علي حسين ازيبي</t>
  </si>
  <si>
    <t>خديجه عجلان جابر الريفي</t>
  </si>
  <si>
    <t>wafa abkar hazazi</t>
  </si>
  <si>
    <t>خلود عبدالله محمد مرير</t>
  </si>
  <si>
    <t>tabah jubran salim</t>
  </si>
  <si>
    <t> bany malik sectorقطاع بني مالك</t>
  </si>
  <si>
    <t>LOBNA YAHYA MARUI HAMLAN</t>
  </si>
  <si>
    <t>عائشه يحي معشي</t>
  </si>
  <si>
    <t>فوزيه شوعي مقبول</t>
  </si>
  <si>
    <t>🏥 مستشفى الملك فهد المركزي - قائمة الإحالات (تلقائي من البيانات)</t>
  </si>
  <si>
    <t>✅ هذه الورقة تسحب تلقائياً الحالات المسجلة لمستشفى الملك فهد من عمود 'اسم المستشفى المحال إليه' في ورقة البيانات</t>
  </si>
  <si>
    <t>رقم الجوال</t>
  </si>
  <si>
    <t>تاريخ الزيارة</t>
  </si>
  <si>
    <t>تاريخ الموعد</t>
  </si>
  <si>
    <t>الالتزام</t>
  </si>
  <si>
    <t>افادة الحضور</t>
  </si>
  <si>
    <t>تصنيف المنسق</t>
  </si>
  <si>
    <t>ملاحظات المنسق</t>
  </si>
  <si>
    <t>📊 الإحصائيات</t>
  </si>
  <si>
    <t>إجمالي الإحالات:</t>
  </si>
  <si>
    <t>✅ ملتزم:</t>
  </si>
  <si>
    <t>❌ غير ملتزم:</t>
  </si>
  <si>
    <t>🏥 مستشفى صبيا العام - قائمة الإحالات</t>
  </si>
  <si>
    <t>عدد الحالات المحالة:</t>
  </si>
  <si>
    <t>🏥 مستشفى جازان العام - قائمة الإحالات</t>
  </si>
  <si>
    <t>🏥 مستشفى أبو عريش العام - قائمة الإحالات</t>
  </si>
  <si>
    <t>🏥 مستشفى صامطة العام - قائمة الإحالات</t>
  </si>
  <si>
    <t>للتحويل لـ KFCH؟</t>
  </si>
  <si>
    <t>🏥 مستشفى بيش العام - قائمة الإحالات</t>
  </si>
  <si>
    <t>🚨 الحالات العاجلة - VTE بدون Enoxaparin</t>
  </si>
  <si>
    <t>إجمالي الحالات العاجلة:</t>
  </si>
  <si>
    <t>الاسم</t>
  </si>
  <si>
    <t>رقم المريضة</t>
  </si>
  <si>
    <t>⚠️ وصف Enoxaparin</t>
  </si>
  <si>
    <t>⚠️ تقييم خطر الجلطات الوريدية (VTE) - تجمع جازان الصحي 2026</t>
  </si>
  <si>
    <t>خطورة VTE</t>
  </si>
  <si>
    <t>تم وصف العلاج</t>
  </si>
  <si>
    <t>هل بدأت الدواء؟</t>
  </si>
  <si>
    <t>🔴 عالي الخطورة</t>
  </si>
  <si>
    <t>✅ نعم</t>
  </si>
  <si>
    <t>❌ لا</t>
  </si>
  <si>
    <t>إجمالي حالات VTE عالية الخطورة:</t>
  </si>
  <si>
    <t>تم وصف Enoxaparin:</t>
  </si>
  <si>
    <t>⚠️ لم يُوصف Enoxaparin:</t>
  </si>
  <si>
    <t>Id</t>
  </si>
  <si>
    <t>وقت البدء</t>
  </si>
  <si>
    <t>وقت الإكمال</t>
  </si>
  <si>
    <t>البريد الإلكتروني</t>
  </si>
  <si>
    <t>sectorالقطاع</t>
  </si>
  <si>
    <t>القطاع الغربي (Western Sector)</t>
  </si>
  <si>
    <t>القطاع الاوسط (Middle Sector)</t>
  </si>
  <si>
    <t>القطاع الشمالي (Northern Sector)</t>
  </si>
  <si>
    <t>القطاع المركزي (Central Sector)</t>
  </si>
  <si>
    <t>القطاع الجبلي (Mountain Sector)</t>
  </si>
  <si>
    <t>القطاع بني مالك (Bani Malik Sector)</t>
  </si>
  <si>
    <t>القطاع فرسان (Farasan Sector)</t>
  </si>
  <si>
    <t>المركز الصحي PHC</t>
  </si>
  <si>
    <t>Date Of Visit</t>
  </si>
  <si>
    <t>L.M.P</t>
  </si>
  <si>
    <t>  Current gestational age by week </t>
  </si>
  <si>
    <t>Date of birth for the pregnant1</t>
  </si>
  <si>
    <t>Patient's age (in years)</t>
  </si>
  <si>
    <t>Patient's full name</t>
  </si>
  <si>
    <t>ID number</t>
  </si>
  <si>
    <t>patient address</t>
  </si>
  <si>
    <t>Doctor's Mobile Number</t>
  </si>
  <si>
    <t>Patient's Mobile Number</t>
  </si>
  <si>
    <t>Does the patient have any of the following risk factors? (More than one option can be selected)</t>
  </si>
  <si>
    <t>Does the patient have any of the following pregnancy-related or current health risk factors? (More than one option can be selected)</t>
  </si>
  <si>
    <t>Which of the following general medical conditions does the patient have? (Select all that apply)</t>
  </si>
  <si>
    <t>Medication: If patient got pregnant while she is on medication like Warfarin, isotretinoin , methotrexate , mycophenolate mofetil or any other significant medications contraindicated for pregnancy</t>
  </si>
  <si>
    <t>Is the patient considered high-risk for Venous Thromboembolism (VTE)? " https://jazanphc.com/VTECalc ”</t>
  </si>
  <si>
    <t>Has thromboprophylaxis (Enoxaparin) for VTE been prescribed?</t>
  </si>
  <si>
    <t>Did the doctor explain to the patient the mechanism and importance of the referral before leaving the center?</t>
  </si>
  <si>
    <t>Doctor's name</t>
  </si>
  <si>
    <t>Are there any comments?</t>
  </si>
  <si>
    <t xml:space="preserve">تاريخ الموعد افي اللمستشفى </t>
  </si>
  <si>
    <t xml:space="preserve">افادة الحضور </t>
  </si>
  <si>
    <t>حالة الحضور</t>
  </si>
  <si>
    <t xml:space="preserve">اسم المستشفى المحال اليه </t>
  </si>
  <si>
    <t xml:space="preserve">استجابات تواصل المراجعة </t>
  </si>
  <si>
    <t>NOTE:</t>
  </si>
  <si>
    <t>هل بدأت استخدام الدواء؟</t>
  </si>
  <si>
    <t>ملاحظات التواصل</t>
  </si>
  <si>
    <t>اسم المستشف لمحال اليه</t>
  </si>
  <si>
    <t>اسم المستشفى (موحد)</t>
  </si>
  <si>
    <t>رقم الصف</t>
  </si>
  <si>
    <t>⚠️ ملاحظات التحقق من التواريخ</t>
  </si>
  <si>
    <t>anonymous</t>
  </si>
  <si>
    <t>مركز مزهرة</t>
  </si>
  <si>
    <t>14wkd 5 d</t>
  </si>
  <si>
    <t>13/2/1423</t>
  </si>
  <si>
    <t>جنان حسين محمد حكمي</t>
  </si>
  <si>
    <t>1115947606</t>
  </si>
  <si>
    <t>No</t>
  </si>
  <si>
    <t>بيان حكمي</t>
  </si>
  <si>
    <t>5/3/2026</t>
  </si>
  <si>
    <t>تم الحظور</t>
  </si>
  <si>
    <t>مستشفي جازان العام</t>
  </si>
  <si>
    <t>5wks 2 d</t>
  </si>
  <si>
    <t>6/1/1406</t>
  </si>
  <si>
    <t>ابتسام احمد عبدالله حكمي</t>
  </si>
  <si>
    <t>1096345200</t>
  </si>
  <si>
    <t>Advanced maternal age more than 40 years old;</t>
  </si>
  <si>
    <t>3/3/2026</t>
  </si>
  <si>
    <t>مركز المضايا</t>
  </si>
  <si>
    <t>5</t>
  </si>
  <si>
    <t>26/1/1423</t>
  </si>
  <si>
    <t>KHULUD ALI JABRIL HAKAMI</t>
  </si>
  <si>
    <t>1115638270</t>
  </si>
  <si>
    <t>المضايا</t>
  </si>
  <si>
    <t>Blood Pressure 140/90mmhg or more at booking or during visits;</t>
  </si>
  <si>
    <t>Cardiac disease: Pulmonary arterial hypertension, Cardiomyopathy, Previous Peripartum cardiomyopathy, Arrhythmias, Ischemic heart disease, Coronary artery disease, Moderate to severe mitral stenosis, Moderate to severe aortic stenosis, Left ventricular impairment (Ejection Fraction ≤ 45%);</t>
  </si>
  <si>
    <t>dr Samia Elawad</t>
  </si>
  <si>
    <t>مجهول</t>
  </si>
  <si>
    <t>مركز الشاطىء</t>
  </si>
  <si>
    <t>29 wks</t>
  </si>
  <si>
    <t>26/4/1425</t>
  </si>
  <si>
    <t>ريتاج حسن بن هادي مسملي</t>
  </si>
  <si>
    <t>جازان</t>
  </si>
  <si>
    <t>0507398758</t>
  </si>
  <si>
    <t>0556703168</t>
  </si>
  <si>
    <t>Polyhydramnios / oligohydramnios</t>
  </si>
  <si>
    <t>8/3/2026</t>
  </si>
  <si>
    <t>مركز الحسيني</t>
  </si>
  <si>
    <t>8</t>
  </si>
  <si>
    <t>27/11/1399</t>
  </si>
  <si>
    <t>علا الله حسن محمد الليل</t>
  </si>
  <si>
    <t>1096356959</t>
  </si>
  <si>
    <t>الحسيني</t>
  </si>
  <si>
    <t>0556826709</t>
  </si>
  <si>
    <t>Advanced maternal age more than 40 years old</t>
  </si>
  <si>
    <t>Yes</t>
  </si>
  <si>
    <t>Amira hashim gafar</t>
  </si>
  <si>
    <t>مستشفي صبيا العام</t>
  </si>
  <si>
    <t>مركز مقزع</t>
  </si>
  <si>
    <t>20 week</t>
  </si>
  <si>
    <t>22/9/1418</t>
  </si>
  <si>
    <t>حالية يحي جبران المصغري</t>
  </si>
  <si>
    <t>1103367783</t>
  </si>
  <si>
    <t>مقزع</t>
  </si>
  <si>
    <t>0559703070</t>
  </si>
  <si>
    <t>Previous one cesarean section with short interval &lt; 18 months</t>
  </si>
  <si>
    <t>Multifetal gestation</t>
  </si>
  <si>
    <t>Khadega dawod gibreel</t>
  </si>
  <si>
    <t>no</t>
  </si>
  <si>
    <t>16/3/2026</t>
  </si>
  <si>
    <t>لم تحظر</t>
  </si>
  <si>
    <t>الكربوس</t>
  </si>
  <si>
    <t>18W5D</t>
  </si>
  <si>
    <t>9/6/1411</t>
  </si>
  <si>
    <t>سمية علي محمد حكمي</t>
  </si>
  <si>
    <t>1101328571</t>
  </si>
  <si>
    <t>محلية</t>
  </si>
  <si>
    <t>0554742568</t>
  </si>
  <si>
    <t>0591556502</t>
  </si>
  <si>
    <t>Previous 2 or more cesarean section</t>
  </si>
  <si>
    <t>سوسن حسن العيسى</t>
  </si>
  <si>
    <t>لم يتم الرد اكثر من مرة</t>
  </si>
  <si>
    <t>✅ تم تصحيح التاريخ من 11\3\2026 إلى 11/3/2026</t>
  </si>
  <si>
    <t>مركز الدرب</t>
  </si>
  <si>
    <t>20W1D</t>
  </si>
  <si>
    <t>1/7/1404</t>
  </si>
  <si>
    <t>Ashwaq Ahmed Mohammed Balatif</t>
  </si>
  <si>
    <t>Al Darb</t>
  </si>
  <si>
    <t>0558102937</t>
  </si>
  <si>
    <t>0534843594</t>
  </si>
  <si>
    <t>Nil</t>
  </si>
  <si>
    <t>Chukwuebuka Patrick</t>
  </si>
  <si>
    <t>None</t>
  </si>
  <si>
    <t>ولدت يوم 4\3\2026</t>
  </si>
  <si>
    <t>✅ تم حذف القيمة الخاطئة 'end'</t>
  </si>
  <si>
    <t>مركز السلامة</t>
  </si>
  <si>
    <t>15</t>
  </si>
  <si>
    <t>13/3/1409</t>
  </si>
  <si>
    <t>اماني يحي علي كبش</t>
  </si>
  <si>
    <t>1073682286</t>
  </si>
  <si>
    <t>السلامه</t>
  </si>
  <si>
    <t>0578583983</t>
  </si>
  <si>
    <t>rumaisa mohamed khidir</t>
  </si>
  <si>
    <t>لاترغب بالموعد</t>
  </si>
  <si>
    <t>مستشفي بيش العام</t>
  </si>
  <si>
    <t>✅ تم تصحيح التاريخ من 9\3\2026 إلى 9/3/2026</t>
  </si>
  <si>
    <t>27 W</t>
  </si>
  <si>
    <t>9/8/1418</t>
  </si>
  <si>
    <t>احلام ابراهيم احمد جابر</t>
  </si>
  <si>
    <t>1115598771</t>
  </si>
  <si>
    <t>0551831583</t>
  </si>
  <si>
    <t>BMI ≥35</t>
  </si>
  <si>
    <t>Complex mental health disorder (e.g. Major depression requiring follow up, Schizophrenia, Psychosis, severe anxiety, etc.)</t>
  </si>
  <si>
    <t>مركز الخارش</t>
  </si>
  <si>
    <t>7WEEKS</t>
  </si>
  <si>
    <t>5/2/1420</t>
  </si>
  <si>
    <t>مريم احمد يحيي حمدي</t>
  </si>
  <si>
    <t>1130121203</t>
  </si>
  <si>
    <t>صامطه</t>
  </si>
  <si>
    <t>0537907961</t>
  </si>
  <si>
    <t>0536283933</t>
  </si>
  <si>
    <t>Previous history of fetal growth restriction or birthweight less than 2.5 kg;Previous history of preeclampsia / eclampsia</t>
  </si>
  <si>
    <t>NON</t>
  </si>
  <si>
    <t>AFRA IBRAHIM ALI ABDALLAH</t>
  </si>
  <si>
    <t>15/3/2026</t>
  </si>
  <si>
    <t>مستشفي صامطه العام</t>
  </si>
  <si>
    <t>✅ تم تصحيح التاريخ من 15\3\2026 إلى 15/3/2026</t>
  </si>
  <si>
    <t>مركز محلية</t>
  </si>
  <si>
    <t>13w2d</t>
  </si>
  <si>
    <t>2/9/1428</t>
  </si>
  <si>
    <t>Renad Mohammed ali ahmdini</t>
  </si>
  <si>
    <t>1139635757</t>
  </si>
  <si>
    <t>Algazow</t>
  </si>
  <si>
    <t>0559755978</t>
  </si>
  <si>
    <t>0556650141</t>
  </si>
  <si>
    <t>≥3 previous miscarriages;Previous preterm birth &lt;34 weeks;Previous one cesarean section with short interval &lt; 18 months</t>
  </si>
  <si>
    <t>Dalal ali mulaysi</t>
  </si>
  <si>
    <t>18/3/2026</t>
  </si>
  <si>
    <t>اخر مراجعه شهر ٧</t>
  </si>
  <si>
    <t>مركز الريث</t>
  </si>
  <si>
    <t>24 W 5 D</t>
  </si>
  <si>
    <t>21/8/1406</t>
  </si>
  <si>
    <t>FATMA MUFARRH YAHYA</t>
  </si>
  <si>
    <t>1065138073</t>
  </si>
  <si>
    <t>ALRAITH</t>
  </si>
  <si>
    <t>0558001389</t>
  </si>
  <si>
    <t>0532081461</t>
  </si>
  <si>
    <t>Previous uterine surgery (like myomectomy reaching to uterine cavity , removal of septum, Cervical Cerclage)</t>
  </si>
  <si>
    <t>NO</t>
  </si>
  <si>
    <t>MARWA HASSAN</t>
  </si>
  <si>
    <t>PT LAST PREGNANCY WAS ECTOPIC PREGNANCY ENDED BY SURGICAL OPERATION BEFORE 14 MONTHS</t>
  </si>
  <si>
    <t>لم يتم الرد اكثر من مرة 3</t>
  </si>
  <si>
    <t>✅ تم تصحيح التاريخ من 16\3\2026 إلى 16/3/2026</t>
  </si>
  <si>
    <t>مركز الغراء</t>
  </si>
  <si>
    <t>29W 3D</t>
  </si>
  <si>
    <t>10/7/1413</t>
  </si>
  <si>
    <t>EMAN MOHAMMED ABU TUMAYHI</t>
  </si>
  <si>
    <t>1080104324</t>
  </si>
  <si>
    <t>Jazan altomhhah</t>
  </si>
  <si>
    <t>0535806606</t>
  </si>
  <si>
    <t>Rheumatological disease: SLE, Rheumatoid arthritis, Sjogren syndrome, Mixed connective tissue disease, Systemic sclerosis</t>
  </si>
  <si>
    <t>SFIYH MOHAMMED ALI HAKAMI</t>
  </si>
  <si>
    <t>19/3/2026</t>
  </si>
  <si>
    <t>لم تحضر وتم حجز موعد جديد 6/4/2026</t>
  </si>
  <si>
    <t>✅ تم تصحيح السنة من 206 إلى 2026</t>
  </si>
  <si>
    <t>مركز ضمد الشمالي</t>
  </si>
  <si>
    <t>5WEEKS 4 DAYS</t>
  </si>
  <si>
    <t>19/1/1423</t>
  </si>
  <si>
    <t>SAHAR AHMED BIN MOHAMMED HAKAMI</t>
  </si>
  <si>
    <t>1120110281</t>
  </si>
  <si>
    <t>KHODIARA</t>
  </si>
  <si>
    <t>0565929920</t>
  </si>
  <si>
    <t>0508985743</t>
  </si>
  <si>
    <t>Neurological diseases: Epilepsy, Multiple sclerosis, Myasthenia Gravis, Stroke, etc. Respiratory diseases: Uncontrolled bronchial asthma, TB, etc.</t>
  </si>
  <si>
    <t>LEVTRIACETAM</t>
  </si>
  <si>
    <t>RANIA YAHYA HUSSEIN ABDULLAH</t>
  </si>
  <si>
    <t>12/3/2026</t>
  </si>
  <si>
    <t>مركز الصهاليل</t>
  </si>
  <si>
    <t>30W3D</t>
  </si>
  <si>
    <t>23/11/1422</t>
  </si>
  <si>
    <t>Rayhanah Hassan Yahya</t>
  </si>
  <si>
    <t>1115266551</t>
  </si>
  <si>
    <t>Harub</t>
  </si>
  <si>
    <t>568482402</t>
  </si>
  <si>
    <t>Previous stillbirth;Previous 2 or more cesarean section</t>
  </si>
  <si>
    <t>Yadira Ruiz</t>
  </si>
  <si>
    <t>✅ تم تصحيح التاريخ من 19\3\2026 إلى 19/3/2026</t>
  </si>
  <si>
    <t>مركز العيدابي</t>
  </si>
  <si>
    <t>29w</t>
  </si>
  <si>
    <t>10/9/1409</t>
  </si>
  <si>
    <t>امنة سلمان مفرح غزواني</t>
  </si>
  <si>
    <t>1061102602</t>
  </si>
  <si>
    <t>العيدابي</t>
  </si>
  <si>
    <t>0533196948</t>
  </si>
  <si>
    <t>0594808888</t>
  </si>
  <si>
    <t>BMI ≥35;Blood Pressure 140/90mmhg or more at booking or during visits</t>
  </si>
  <si>
    <t>Endocrine diseases: Hyperthyroidism/Graves disease, Hyperparathyroidism, Adrenal insufficiency/Addison disease, etc.</t>
  </si>
  <si>
    <t>ايمان فتحي فضل السيد</t>
  </si>
  <si>
    <t>المريضه تتابع مع اخصائي النساء والولادة بمستشفى العيدابي</t>
  </si>
  <si>
    <t>مركز صبيا</t>
  </si>
  <si>
    <t>4</t>
  </si>
  <si>
    <t>6/10/1405</t>
  </si>
  <si>
    <t>سعاد سلمان بكري</t>
  </si>
  <si>
    <t>1055011710</t>
  </si>
  <si>
    <t>Sabia</t>
  </si>
  <si>
    <t>0535697714</t>
  </si>
  <si>
    <t>0553346156</t>
  </si>
  <si>
    <t>DM (either type I or II)</t>
  </si>
  <si>
    <t>Misoon Redine</t>
  </si>
  <si>
    <t>20 weeks</t>
  </si>
  <si>
    <t>15/4/1421</t>
  </si>
  <si>
    <t>جيهان عبده حيدر مغفوري</t>
  </si>
  <si>
    <t>1133877017</t>
  </si>
  <si>
    <t>سوسن العيسى</t>
  </si>
  <si>
    <t>6+6</t>
  </si>
  <si>
    <t>1/7/1410</t>
  </si>
  <si>
    <t>FATIMAH ALI ABDU ZAYBI</t>
  </si>
  <si>
    <t>1137769400</t>
  </si>
  <si>
    <t>ALHISN DAMAD</t>
  </si>
  <si>
    <t>STARTED HEPARIN INJECTIONS</t>
  </si>
  <si>
    <t>G6P5L5 ALL SVD HISTORY OF DVT 8 YEARS AGO ON COC CURRENTLY 6 WEEKS + 6 DAYS</t>
  </si>
  <si>
    <t>مستشفي ابوعريش العام</t>
  </si>
  <si>
    <t>16w6d</t>
  </si>
  <si>
    <t>27/3/1423</t>
  </si>
  <si>
    <t>امل احمد قاسم جعفر</t>
  </si>
  <si>
    <t>1116401827</t>
  </si>
  <si>
    <t>0590426652</t>
  </si>
  <si>
    <t>no medication</t>
  </si>
  <si>
    <t>36W</t>
  </si>
  <si>
    <t>1/5/1412</t>
  </si>
  <si>
    <t>ريم داوود قاضي</t>
  </si>
  <si>
    <t>1080159708</t>
  </si>
  <si>
    <t>جيزان حي المطار</t>
  </si>
  <si>
    <t>0509407238</t>
  </si>
  <si>
    <t>History of massive blood transfusion</t>
  </si>
  <si>
    <t>Precious pregnancy ( Pregnancy after primary or secondary infertility)</t>
  </si>
  <si>
    <t>Hematological disease: Sickle cell anemia, Thalassemia major (alpha and beta), Immune Thrombocytopenic Purpura, TTP, Congenital Thrombocytopenia, Hematological malignancies</t>
  </si>
  <si>
    <t>سوسن</t>
  </si>
  <si>
    <t>22/11/1408</t>
  </si>
  <si>
    <t>NEIMA OMER MOHAMED HASSAN</t>
  </si>
  <si>
    <t>0569892200</t>
  </si>
  <si>
    <t>0532905342</t>
  </si>
  <si>
    <t>Previous history of preeclampsia / eclampsia;Previous history of fetal growth restriction or birthweight less than 2.5 kg</t>
  </si>
  <si>
    <t>Cardiac disease: Pulmonary arterial hypertension, Cardiomyopathy, Previous Peripartum cardiomyopathy, Arrhythmias, Ischemic heart disease, Coronary artery disease, Moderate to severe mitral stenosis, Moderate to severe aortic stenosis, Left ventricular impairment (Ejection Fraction ≤ 45%)</t>
  </si>
  <si>
    <t>MESHAL BAJONED</t>
  </si>
  <si>
    <t>مركز مخطط 6</t>
  </si>
  <si>
    <t>20W3D</t>
  </si>
  <si>
    <t>13/7/1412</t>
  </si>
  <si>
    <t>AMAL ABDULLAH ALI QAYSI</t>
  </si>
  <si>
    <t>1094145172</t>
  </si>
  <si>
    <t>JAZAN</t>
  </si>
  <si>
    <t>0545389390</t>
  </si>
  <si>
    <t>0547484170</t>
  </si>
  <si>
    <t>Previous preterm birth &lt;34 weeks;Previous history of fetal growth restriction or birthweight less than 2.5 kg</t>
  </si>
  <si>
    <t>Shaimaa Bahnasy</t>
  </si>
  <si>
    <t>مركز مخطط 5</t>
  </si>
  <si>
    <t>24</t>
  </si>
  <si>
    <t>SADIQA SAEED ALI ALMONTASHERI</t>
  </si>
  <si>
    <t>1058788454</t>
  </si>
  <si>
    <t>--</t>
  </si>
  <si>
    <t>0506281308</t>
  </si>
  <si>
    <t>Advanced maternal age more than 40 years old;Diagnosed as GDM</t>
  </si>
  <si>
    <t>HANOUF HAKAMI</t>
  </si>
  <si>
    <t>10/3/2026</t>
  </si>
  <si>
    <t>28W2D</t>
  </si>
  <si>
    <t>Fatimah Mohammed Yahya Alizzi</t>
  </si>
  <si>
    <t>1100312543</t>
  </si>
  <si>
    <t>506705169</t>
  </si>
  <si>
    <t>Previous neonatal death</t>
  </si>
  <si>
    <t>Yadira Callender Ruiz</t>
  </si>
  <si>
    <t>2/4/2026</t>
  </si>
  <si>
    <t>28</t>
  </si>
  <si>
    <t>19/6/1999</t>
  </si>
  <si>
    <t>لجين محسن حسين خردلي</t>
  </si>
  <si>
    <t>1108050699</t>
  </si>
  <si>
    <t>الخرادلة</t>
  </si>
  <si>
    <t>0565911046</t>
  </si>
  <si>
    <t>0552211853</t>
  </si>
  <si>
    <t>Diagnosed as GDM</t>
  </si>
  <si>
    <t>ىخ</t>
  </si>
  <si>
    <t>waleed muqri</t>
  </si>
  <si>
    <t>✅ تم تصحيح التاريخ من 12\3\2026 إلى 12/3/2026</t>
  </si>
  <si>
    <t>7 WEEKS 3 DAYS</t>
  </si>
  <si>
    <t>YARA AMRO ALI ABUHOZAH</t>
  </si>
  <si>
    <t>1117369478</t>
  </si>
  <si>
    <t>RIYADH CURRENTLY DAMAD</t>
  </si>
  <si>
    <t>METFORMIN 500 ONCE DAILY+ LEVOTHYROXIN 75 MCQ</t>
  </si>
  <si>
    <t>G3P2L2 LMP 17/1/2026 HYPOTHYROIDISM ON LEVOTHYROXIN 75MCQ / INSULIN RESISTANCE WAS ON METFORMIN 500 MG DAILY</t>
  </si>
  <si>
    <t>مركز الروضة ج</t>
  </si>
  <si>
    <t>15W 4D</t>
  </si>
  <si>
    <t>13/11/1982</t>
  </si>
  <si>
    <t>FARRUKH SOBIA MOHD MOHD ASGHAR</t>
  </si>
  <si>
    <t>2371681582</t>
  </si>
  <si>
    <t>جازان , حي الروضة الجنوبي</t>
  </si>
  <si>
    <t>0534472471</t>
  </si>
  <si>
    <t>0538587629</t>
  </si>
  <si>
    <t>د. سارة الكاشف</t>
  </si>
  <si>
    <t>HIGH HBA1C 5.9, prediabetes stage</t>
  </si>
  <si>
    <t>مركز المعبوج</t>
  </si>
  <si>
    <t>7</t>
  </si>
  <si>
    <t>16-1-1995</t>
  </si>
  <si>
    <t>اريج قاسم علي الحفاف</t>
  </si>
  <si>
    <t>1089244964</t>
  </si>
  <si>
    <t>المعبوج</t>
  </si>
  <si>
    <t>0532950042</t>
  </si>
  <si>
    <t>0556696317</t>
  </si>
  <si>
    <t>Pt with hx of asthma</t>
  </si>
  <si>
    <t>Mymonah ageel</t>
  </si>
  <si>
    <t>Pt with asthma</t>
  </si>
  <si>
    <t>23/4/2026</t>
  </si>
  <si>
    <t>9</t>
  </si>
  <si>
    <t>Eman alsayed mohamed fayad</t>
  </si>
  <si>
    <t>2491520140</t>
  </si>
  <si>
    <t>Jazan, rawdah district</t>
  </si>
  <si>
    <t>0593357782</t>
  </si>
  <si>
    <t>0505104465</t>
  </si>
  <si>
    <t>≥3 previous miscarriages;Previous 2 or more cesarean section</t>
  </si>
  <si>
    <t>Dr.Amani kuabisi</t>
  </si>
  <si>
    <t>القطاع الاوسط</t>
  </si>
  <si>
    <t>مركز ابو عريش الشمالي</t>
  </si>
  <si>
    <t>6</t>
  </si>
  <si>
    <t>26/4/1415</t>
  </si>
  <si>
    <t>عهود عيسى موسى خيري</t>
  </si>
  <si>
    <t>1118863784</t>
  </si>
  <si>
    <t>alkadra</t>
  </si>
  <si>
    <t>0541885145</t>
  </si>
  <si>
    <t>0530672497</t>
  </si>
  <si>
    <t>≥3 previous miscarriages;Previous stillbirth;Previous history of preeclampsia / eclampsia;Previous history of fetal growth restriction or birthweight less than 2.5 kg</t>
  </si>
  <si>
    <t>Intrauterine fetal death</t>
  </si>
  <si>
    <t>abdulaziz</t>
  </si>
  <si>
    <t>مركز العريش</t>
  </si>
  <si>
    <t>2wks 6 days</t>
  </si>
  <si>
    <t>NADA DAWOOD GADI</t>
  </si>
  <si>
    <t>1067750933</t>
  </si>
  <si>
    <t>ALAREESH</t>
  </si>
  <si>
    <t>0560688063</t>
  </si>
  <si>
    <t>0541366345</t>
  </si>
  <si>
    <t>≥3 previous miscarriages</t>
  </si>
  <si>
    <t>MIRTAZAPINE 30MG AND RISPERDONR 2MG FOR DEPRESSON</t>
  </si>
  <si>
    <t>MAI MAHDI ABDALLAH</t>
  </si>
  <si>
    <t>37w</t>
  </si>
  <si>
    <t>31/3/2025</t>
  </si>
  <si>
    <t>FATIMAH WALI ALI MAGHFURI</t>
  </si>
  <si>
    <t>1079527022</t>
  </si>
  <si>
    <t>0533487424</t>
  </si>
  <si>
    <t>35W5D</t>
  </si>
  <si>
    <t>RAYHANAH SULAIMAN YAHYA SUHLULI</t>
  </si>
  <si>
    <t>1083139400</t>
  </si>
  <si>
    <t>Sahaleal</t>
  </si>
  <si>
    <t>0530772945</t>
  </si>
  <si>
    <t>BMI 39, age 37, cs</t>
  </si>
  <si>
    <t>19/312026</t>
  </si>
  <si>
    <t>مركز عياش</t>
  </si>
  <si>
    <t>19-7-1997</t>
  </si>
  <si>
    <t>نورا يحى شار بكري</t>
  </si>
  <si>
    <t>1099817965</t>
  </si>
  <si>
    <t>قرية الحيلة - مركز عياش</t>
  </si>
  <si>
    <t>0533087683</t>
  </si>
  <si>
    <t>0558074917</t>
  </si>
  <si>
    <t>Previous history of fetal growth restriction or birthweight less than 2.5 kg</t>
  </si>
  <si>
    <t>وفاء الفاضل عابدين</t>
  </si>
  <si>
    <t>مركز الأحد</t>
  </si>
  <si>
    <t>26w6D</t>
  </si>
  <si>
    <t>Hajar Mohammed Abdullah Rajhi</t>
  </si>
  <si>
    <t>1101718243</t>
  </si>
  <si>
    <t>الاحد</t>
  </si>
  <si>
    <t>O548598916</t>
  </si>
  <si>
    <t>0552912156</t>
  </si>
  <si>
    <t>Dr Afkar Osman Elabeid Mohammed</t>
  </si>
  <si>
    <t>25W 5D</t>
  </si>
  <si>
    <t>JAMILAH YAHYA JABER SAHLOLI</t>
  </si>
  <si>
    <t>1088937386</t>
  </si>
  <si>
    <t>500162816</t>
  </si>
  <si>
    <t>Previous 2 or more cesarean section;Previous one cesarean section with short interval &lt; 18 months</t>
  </si>
  <si>
    <t>27</t>
  </si>
  <si>
    <t>ثريا طاهر عبده حمدي</t>
  </si>
  <si>
    <t>1059980852</t>
  </si>
  <si>
    <t>مزهرة</t>
  </si>
  <si>
    <t>د بيان حكمي</t>
  </si>
  <si>
    <t>0543864232</t>
  </si>
  <si>
    <t>0</t>
  </si>
  <si>
    <t>✅ تم تصحيح التاريخ المشوه من 19\312026 إلى 19/3/2026</t>
  </si>
  <si>
    <t>6W5D</t>
  </si>
  <si>
    <t>30/10/2026</t>
  </si>
  <si>
    <t>خديجه مفرح محمد المالكي</t>
  </si>
  <si>
    <t>1098022054</t>
  </si>
  <si>
    <t>العسيلة</t>
  </si>
  <si>
    <t>0507740419</t>
  </si>
  <si>
    <t>G3P0+0 AILED 2 IVF</t>
  </si>
  <si>
    <t>10w5d</t>
  </si>
  <si>
    <t>لميس حسن مغفوري</t>
  </si>
  <si>
    <t>1143229811</t>
  </si>
  <si>
    <t>0503617899</t>
  </si>
  <si>
    <t>✅ تم تصحيح التاريخ المشوه من 193\2026 إلى 19/3/2026</t>
  </si>
  <si>
    <t>29w5d</t>
  </si>
  <si>
    <t>14/1/1994</t>
  </si>
  <si>
    <t>عائشة ولي بالقاسم مغفوري</t>
  </si>
  <si>
    <t>1112084494</t>
  </si>
  <si>
    <t>0533906126</t>
  </si>
  <si>
    <t>18</t>
  </si>
  <si>
    <t>SAMAH AHMED ALI KHARDALI</t>
  </si>
  <si>
    <t>1130716325</t>
  </si>
  <si>
    <t>0506294322</t>
  </si>
  <si>
    <t>لم تحضر وتم حجز موعد جديد 2/4/2026</t>
  </si>
  <si>
    <t>11w</t>
  </si>
  <si>
    <t>IBTEHAJ ALI ABKAR AGIL</t>
  </si>
  <si>
    <t>1099910513</t>
  </si>
  <si>
    <t>0531115298</t>
  </si>
  <si>
    <t>22-04-1990</t>
  </si>
  <si>
    <t>عائشة علي حكمي</t>
  </si>
  <si>
    <t>جازان - ضاحية الملك عبد الله</t>
  </si>
  <si>
    <t>0554810728</t>
  </si>
  <si>
    <t>شيماء بهنسي</t>
  </si>
  <si>
    <t>AREEJ IBRAHIM AHMED COAL</t>
  </si>
  <si>
    <t>1099876920</t>
  </si>
  <si>
    <t>Sabya</t>
  </si>
  <si>
    <t>0554923781</t>
  </si>
  <si>
    <t>0504352640</t>
  </si>
  <si>
    <t>26/3/2026</t>
  </si>
  <si>
    <t>لاترد تم التواصل اكثر من مره3</t>
  </si>
  <si>
    <t>16w</t>
  </si>
  <si>
    <t>29/11/1992</t>
  </si>
  <si>
    <t>فاطمة ولي مغفوري</t>
  </si>
  <si>
    <t>1079390033</t>
  </si>
  <si>
    <t>0551790141</t>
  </si>
  <si>
    <t>Low Hemoglobin less than 9 g/dl or symptomatic patient</t>
  </si>
  <si>
    <t>14W6D</t>
  </si>
  <si>
    <t>SHARIFAH MOHAMMED YAHYA SUHLULI</t>
  </si>
  <si>
    <t>1100570876</t>
  </si>
  <si>
    <t>0544828609</t>
  </si>
  <si>
    <t>مركز رمادة</t>
  </si>
  <si>
    <t>20 week and 5 days</t>
  </si>
  <si>
    <t>20-8-2000</t>
  </si>
  <si>
    <t>سبأ يحيى حسن مشيخي</t>
  </si>
  <si>
    <t>1130954496</t>
  </si>
  <si>
    <t>اسكان رمادة</t>
  </si>
  <si>
    <t>0556782367</t>
  </si>
  <si>
    <t>0508135883</t>
  </si>
  <si>
    <t>≥3 previous miscarriages;Previous preterm birth &lt;34 weeks;History of placenta accreta , percreta or increta</t>
  </si>
  <si>
    <t>asprin</t>
  </si>
  <si>
    <t>Abdulaziz Mohammed Kariri</t>
  </si>
  <si>
    <t>حاكمة ابي عريش</t>
  </si>
  <si>
    <t>13+2</t>
  </si>
  <si>
    <t>17/9/2026</t>
  </si>
  <si>
    <t>ساره هادي حمزه</t>
  </si>
  <si>
    <t>حاكمه</t>
  </si>
  <si>
    <t>0546009465</t>
  </si>
  <si>
    <t>غدير شبلي</t>
  </si>
  <si>
    <t>Previce aburtion, advance age</t>
  </si>
  <si>
    <t>مستشفى ابوعريش العام</t>
  </si>
  <si>
    <t>34W6D</t>
  </si>
  <si>
    <t>24-05-2001</t>
  </si>
  <si>
    <t>JAMILAH SULAIMAN MOHAMMED ABDULRAHMAN</t>
  </si>
  <si>
    <t>1157296243</t>
  </si>
  <si>
    <t>504689320</t>
  </si>
  <si>
    <t>TSH and T4 LOW. Secondary hypothyroidism</t>
  </si>
  <si>
    <t>20/4/1992</t>
  </si>
  <si>
    <t>رقيه علي محمد حكمي</t>
  </si>
  <si>
    <t>1076329596</t>
  </si>
  <si>
    <t>0556475731</t>
  </si>
  <si>
    <t>مركز بلغازي</t>
  </si>
  <si>
    <t>36</t>
  </si>
  <si>
    <t>منال مفرح يحي</t>
  </si>
  <si>
    <t>1130070657</t>
  </si>
  <si>
    <t>بلغازي</t>
  </si>
  <si>
    <t>0507633532</t>
  </si>
  <si>
    <t>0550781908</t>
  </si>
  <si>
    <t>Marwa</t>
  </si>
  <si>
    <t>Thisthe pt first visit to phct</t>
  </si>
  <si>
    <t>المريضه الغت الموعد</t>
  </si>
  <si>
    <t>34</t>
  </si>
  <si>
    <t>شيخه محمد محسن دهمان</t>
  </si>
  <si>
    <t>1112983141</t>
  </si>
  <si>
    <t>ضمد</t>
  </si>
  <si>
    <t>0596900024</t>
  </si>
  <si>
    <t>0536522309</t>
  </si>
  <si>
    <t>alalaa hussain hakami</t>
  </si>
  <si>
    <t>6WEEKS</t>
  </si>
  <si>
    <t>زهره علي جبران حجوري</t>
  </si>
  <si>
    <t>2416033880</t>
  </si>
  <si>
    <t>الخارش</t>
  </si>
  <si>
    <t>0554277655</t>
  </si>
  <si>
    <t>عفراء ابراهيم علي عبدالله</t>
  </si>
  <si>
    <t>HER VTE RISK IS MODERATE RISK, AND HIGH RISK ACCORDING TO RAQEEN</t>
  </si>
  <si>
    <t>35 w + 3D</t>
  </si>
  <si>
    <t>REHAM AMEN MUHAMAD GOHAL</t>
  </si>
  <si>
    <t>1124972496</t>
  </si>
  <si>
    <t>mahleah</t>
  </si>
  <si>
    <t>0536287859</t>
  </si>
  <si>
    <t>0507054257</t>
  </si>
  <si>
    <t>Atheer Akoor</t>
  </si>
  <si>
    <t>pt is Sickle cell trait</t>
  </si>
  <si>
    <t>✅ تم تصحيح السنة من 2027 إلى 2026</t>
  </si>
  <si>
    <t>29 w</t>
  </si>
  <si>
    <t>عائشة علي حسين حكمي</t>
  </si>
  <si>
    <t>1067399939</t>
  </si>
  <si>
    <t>10W and 6days</t>
  </si>
  <si>
    <t>KHULUD MOHAMMED JOBRAN JOBRAN</t>
  </si>
  <si>
    <t>1086822606</t>
  </si>
  <si>
    <t>0532932247</t>
  </si>
  <si>
    <t>Pregnancy with suspected adnexal mass or mass ≥ 10 cm</t>
  </si>
  <si>
    <t>pt did US in private center , the report shows large size uterine fibroid</t>
  </si>
  <si>
    <t>34W5D</t>
  </si>
  <si>
    <t>22-06-2004</t>
  </si>
  <si>
    <t>SALIHAH HADI MOHAMMED SUHLULI</t>
  </si>
  <si>
    <t>T1DM</t>
  </si>
  <si>
    <t>تم الحضور</t>
  </si>
  <si>
    <t>مركز الدريعية</t>
  </si>
  <si>
    <t>6week 2 days</t>
  </si>
  <si>
    <t>IBTISAM ABDULLAH ABU ALQASIM HANANI</t>
  </si>
  <si>
    <t>1052178512</t>
  </si>
  <si>
    <t>hالدريعيه الجروب</t>
  </si>
  <si>
    <t>0530050617</t>
  </si>
  <si>
    <t>0500647991</t>
  </si>
  <si>
    <t>≥3 previous miscarriages;History of massive blood transfusion</t>
  </si>
  <si>
    <t>Advanced maternal age more than 40 years old;Diagnosed as GDM;Low Hemoglobin less than 9 g/dl or symptomatic patient</t>
  </si>
  <si>
    <t>empa 25mg</t>
  </si>
  <si>
    <t>sahar mohamed fekry el setouhi</t>
  </si>
  <si>
    <t>18/312026</t>
  </si>
  <si>
    <t>10</t>
  </si>
  <si>
    <t>منى مهدي احمد حكمي</t>
  </si>
  <si>
    <t>1071453136</t>
  </si>
  <si>
    <t>السويس</t>
  </si>
  <si>
    <t>0507412685</t>
  </si>
  <si>
    <t>22W2D</t>
  </si>
  <si>
    <t>13-07-1992</t>
  </si>
  <si>
    <t>ABEER HUSSAIN MOFAREH QARRADI</t>
  </si>
  <si>
    <t>1077475919</t>
  </si>
  <si>
    <t>0536330728</t>
  </si>
  <si>
    <t>3 cs</t>
  </si>
  <si>
    <t>19/32026</t>
  </si>
  <si>
    <t>20</t>
  </si>
  <si>
    <t>26-09-1985</t>
  </si>
  <si>
    <t>BADRIAH HUSSAIN ALI RUBAYYI</t>
  </si>
  <si>
    <t>1046769541</t>
  </si>
  <si>
    <t>0531157891</t>
  </si>
  <si>
    <t>Liver and GI diseases: Autoimmune hepatitis, Viral hepatitis (active disease), Liver transplant</t>
  </si>
  <si>
    <t>positive hepatitis B</t>
  </si>
  <si>
    <t>AMNAH MOHAMMED AHMED HIFTHI</t>
  </si>
  <si>
    <t>1121662694</t>
  </si>
  <si>
    <t>الشواجرة</t>
  </si>
  <si>
    <t>0550905278</t>
  </si>
  <si>
    <t>≥3 previous miscarriages;Previous preterm birth &lt;34 weeks;Previous neonatal death;Previous history of fetal growth restriction or birthweight less than 2.5 kg</t>
  </si>
  <si>
    <t>25/3/2026</t>
  </si>
  <si>
    <t>13W</t>
  </si>
  <si>
    <t>27-07-1988</t>
  </si>
  <si>
    <t>MULHIYAH JAYYAB ALI ALIZZI</t>
  </si>
  <si>
    <t>1078753652</t>
  </si>
  <si>
    <t>0508677042</t>
  </si>
  <si>
    <t>Intermediate risk VTE, age 37, BMI 35, 3 abortions</t>
  </si>
  <si>
    <t>لاترغب بالموعد تسكن في خميس مشيط</t>
  </si>
  <si>
    <t>29+5</t>
  </si>
  <si>
    <t>GHALIAH AHMED HAMAD HIFTHI</t>
  </si>
  <si>
    <t>1087694566</t>
  </si>
  <si>
    <t>DAMAD</t>
  </si>
  <si>
    <t>0501570010</t>
  </si>
  <si>
    <t>G4 P1L1 WITH 1ABORTION 1 ECTOPIC AND 1 LSCS</t>
  </si>
  <si>
    <t>مركز صامطة</t>
  </si>
  <si>
    <t>نهى ضعافي محمد مباركي</t>
  </si>
  <si>
    <t>1111661334</t>
  </si>
  <si>
    <t>صامطة</t>
  </si>
  <si>
    <t>0535931658</t>
  </si>
  <si>
    <t>0508455039</t>
  </si>
  <si>
    <t>≥3 previous miscarriages;Previous neonatal death</t>
  </si>
  <si>
    <t>Ali Madkhali</t>
  </si>
  <si>
    <t>لم تحضر الموعد</t>
  </si>
  <si>
    <t>33</t>
  </si>
  <si>
    <t>24-02-1992</t>
  </si>
  <si>
    <t>SALIHAH ALI MOHAMMED HURUBI</t>
  </si>
  <si>
    <t>1116262138</t>
  </si>
  <si>
    <t>لا ترغب بالحجز</t>
  </si>
  <si>
    <t>22 weeks</t>
  </si>
  <si>
    <t>27_7_2026</t>
  </si>
  <si>
    <t>اسماء محمد ابراهيم كريري</t>
  </si>
  <si>
    <t>1018887826</t>
  </si>
  <si>
    <t>جحا</t>
  </si>
  <si>
    <t>0548598916</t>
  </si>
  <si>
    <t>0566957870</t>
  </si>
  <si>
    <t>د.افكار عثمان العبيد محمد</t>
  </si>
  <si>
    <t>Low risk for DVT</t>
  </si>
  <si>
    <t>9W</t>
  </si>
  <si>
    <t>1/1/1412</t>
  </si>
  <si>
    <t>فاطمة احمد قاسم مغفوري</t>
  </si>
  <si>
    <t>1077771630</t>
  </si>
  <si>
    <t>0533313722</t>
  </si>
  <si>
    <t>24-09-1994</t>
  </si>
  <si>
    <t>عسلة محمد جبار الريثي</t>
  </si>
  <si>
    <t>1087997001</t>
  </si>
  <si>
    <t>محافظة الريث</t>
  </si>
  <si>
    <t>0532871659</t>
  </si>
  <si>
    <t>0503938963</t>
  </si>
  <si>
    <t>هاشم محمد</t>
  </si>
  <si>
    <t>30/3/2026</t>
  </si>
  <si>
    <t>مركز الاميرة فهده</t>
  </si>
  <si>
    <t>18 weeks+4days</t>
  </si>
  <si>
    <t>MARYAM AHMED ALI ABIRI</t>
  </si>
  <si>
    <t>1100124708</t>
  </si>
  <si>
    <t>ديحمة الإسكان القديم</t>
  </si>
  <si>
    <t>0508513045</t>
  </si>
  <si>
    <t>Previous preterm birth &lt;34 weeks;Previous stillbirth</t>
  </si>
  <si>
    <t>Osama Ibrahim Gibreel Ahmed</t>
  </si>
  <si>
    <t>referred for evaluation and follow up for maternal and fetal wellbeing</t>
  </si>
  <si>
    <t>29/3/2026</t>
  </si>
  <si>
    <t>9W 1D</t>
  </si>
  <si>
    <t>بدريه علي محمد جلي</t>
  </si>
  <si>
    <t>1081520718</t>
  </si>
  <si>
    <t>جازان. حي الروضة الشمالي</t>
  </si>
  <si>
    <t>0563268572</t>
  </si>
  <si>
    <t>0567774406</t>
  </si>
  <si>
    <t>سارة محمد الحاج الكاشف</t>
  </si>
  <si>
    <t>. two times cardiac arrest in 2 previous delivery and one in the last cholecystectomy PH of DVT medications in the last delivery</t>
  </si>
  <si>
    <t>1/4/2026</t>
  </si>
  <si>
    <t>12W6D</t>
  </si>
  <si>
    <t>OHUD ABDU ABDULLAH AJIMI</t>
  </si>
  <si>
    <t>1128898101</t>
  </si>
  <si>
    <t>0559231453</t>
  </si>
  <si>
    <t>Previous history of baby with congenital anomalies or aneuploidy</t>
  </si>
  <si>
    <t>cs, pulmonary valve stenosis</t>
  </si>
  <si>
    <t>32</t>
  </si>
  <si>
    <t>25/9/1992</t>
  </si>
  <si>
    <t>NORAH HUSSAIN ALI SOMAILI</t>
  </si>
  <si>
    <t>Samtah</t>
  </si>
  <si>
    <t>+966550435640</t>
  </si>
  <si>
    <t>+966536075876</t>
  </si>
  <si>
    <t>Previous preterm birth &lt;34 weeks;Previous stillbirth;Previous uterine surgery (like myomectomy reaching to uterine cavity , removal of septum, Cervical Cerclage)</t>
  </si>
  <si>
    <t>Abubakr I.O. Elmekki</t>
  </si>
  <si>
    <t>10W 3D</t>
  </si>
  <si>
    <t>فهيمه موسي رحمه الله موسي</t>
  </si>
  <si>
    <t>2358928949</t>
  </si>
  <si>
    <t>جازان- حي الروضة الشمالي</t>
  </si>
  <si>
    <t>0558584965</t>
  </si>
  <si>
    <t>سارة الكاشف</t>
  </si>
  <si>
    <t>TWO PREVIOUS SCAR WITH 3 ABORTIONS</t>
  </si>
  <si>
    <t>مركز البيض</t>
  </si>
  <si>
    <t>6-61994</t>
  </si>
  <si>
    <t>عبير زكرى روثان</t>
  </si>
  <si>
    <t>البيض- فلس</t>
  </si>
  <si>
    <t>0553668254</t>
  </si>
  <si>
    <t>Previous history of preeclampsia / eclampsia</t>
  </si>
  <si>
    <t>PATIENT REFERRED PREVIOUSLY TO ABU- AREESH G.H- - HAS APPOINTMENT THERE</t>
  </si>
  <si>
    <t>16</t>
  </si>
  <si>
    <t>18/2/1987</t>
  </si>
  <si>
    <t>فوزية خالد حماد عمر</t>
  </si>
  <si>
    <t>2396444701</t>
  </si>
  <si>
    <t>059155047</t>
  </si>
  <si>
    <t>0532804359</t>
  </si>
  <si>
    <t>dr samia kalom</t>
  </si>
  <si>
    <t>31/3/2026</t>
  </si>
  <si>
    <t>1/7/1402</t>
  </si>
  <si>
    <t>صفاء ناصر هوداني</t>
  </si>
  <si>
    <t>1038283618</t>
  </si>
  <si>
    <t>الخضراء</t>
  </si>
  <si>
    <t>0591055047</t>
  </si>
  <si>
    <t>0536670662</t>
  </si>
  <si>
    <t>Advanced maternal age more than 40 years old;BMI ≥35;Blood Pressure 140/90mmhg or more at booking or during visits</t>
  </si>
  <si>
    <t>DR SAMIA KALOM</t>
  </si>
  <si>
    <t>21W 4D</t>
  </si>
  <si>
    <t>21/05/1995</t>
  </si>
  <si>
    <t>ZAHRAH ABDULAZIZ MOSA JAFARI</t>
  </si>
  <si>
    <t>1093971875</t>
  </si>
  <si>
    <t>مخطط خمسه</t>
  </si>
  <si>
    <t>0502145411</t>
  </si>
  <si>
    <t>0535620967</t>
  </si>
  <si>
    <t>Abnormal anomaly scan</t>
  </si>
  <si>
    <t>DR - HANOUF</t>
  </si>
  <si>
    <t>13W+6D</t>
  </si>
  <si>
    <t>28/9/2026</t>
  </si>
  <si>
    <t>عايشة حسن كعبي</t>
  </si>
  <si>
    <t>1081844332</t>
  </si>
  <si>
    <t>0554734665</t>
  </si>
  <si>
    <t>AtorvaSTATin 20 mg</t>
  </si>
  <si>
    <t>AMANI KUBAISI</t>
  </si>
  <si>
    <t>DAWYA MOHAMMED JABER</t>
  </si>
  <si>
    <t>1115386177</t>
  </si>
  <si>
    <t>0564446100</t>
  </si>
  <si>
    <t>GLICLAZIDE 30 MG</t>
  </si>
  <si>
    <t>MARWA HASSAN MOHAMMED</t>
  </si>
  <si>
    <t>الريان</t>
  </si>
  <si>
    <t>23</t>
  </si>
  <si>
    <t>نادية علي رياني</t>
  </si>
  <si>
    <t>1084153491</t>
  </si>
  <si>
    <t>0533593980</t>
  </si>
  <si>
    <t>0533664002</t>
  </si>
  <si>
    <t>RIHAB MAHGOUP MOHAMMED</t>
  </si>
  <si>
    <t>لا ترغب بالحجز تراجع في مستشفى عسكري لم تجضر</t>
  </si>
  <si>
    <t>17</t>
  </si>
  <si>
    <t>خديجة حسن عيسي حكمي</t>
  </si>
  <si>
    <t>1044402855</t>
  </si>
  <si>
    <t>الضاحية</t>
  </si>
  <si>
    <t>0580251406</t>
  </si>
  <si>
    <t>0557695154</t>
  </si>
  <si>
    <t>Previous 2 or more cesarean section;Previous history of fetal growth restriction or birthweight less than 2.5 kg;Previous preterm birth &lt;34 weeks</t>
  </si>
  <si>
    <t>لا</t>
  </si>
  <si>
    <t>مي محمد احمد الحاج</t>
  </si>
  <si>
    <t>مركز الساره</t>
  </si>
  <si>
    <t>24/10/2026</t>
  </si>
  <si>
    <t>زهور حسن سالم المالكي</t>
  </si>
  <si>
    <t>1111484265</t>
  </si>
  <si>
    <t>السارة</t>
  </si>
  <si>
    <t>0550500424</t>
  </si>
  <si>
    <t>0501405595</t>
  </si>
  <si>
    <t>علي ادم علي</t>
  </si>
  <si>
    <t>22-6-1990</t>
  </si>
  <si>
    <t>فايزة محمد علي طاهري</t>
  </si>
  <si>
    <t>1067712511</t>
  </si>
  <si>
    <t>البيض - فلس</t>
  </si>
  <si>
    <t>0556121109</t>
  </si>
  <si>
    <t>وفائ الفاضل عابدين</t>
  </si>
  <si>
    <t>18WEEKS</t>
  </si>
  <si>
    <t>6/5/1417</t>
  </si>
  <si>
    <t>نوف جبريل محمد مسلط</t>
  </si>
  <si>
    <t>1096368681</t>
  </si>
  <si>
    <t>قرية العمرية</t>
  </si>
  <si>
    <t>0501805894</t>
  </si>
  <si>
    <t>6W4D</t>
  </si>
  <si>
    <t>19-05-1994</t>
  </si>
  <si>
    <t>ليلى حيدر محمد الشريف</t>
  </si>
  <si>
    <t>1086837117</t>
  </si>
  <si>
    <t>قرية بخشة</t>
  </si>
  <si>
    <t>0501967093</t>
  </si>
  <si>
    <t>≥3 previous miscarriages;Previous history of baby with congenital anomalies or aneuploidy;History of affected baby with genetic or metabolic disease incompatible with life</t>
  </si>
  <si>
    <t>همس محمد جبران</t>
  </si>
  <si>
    <t>1078627823</t>
  </si>
  <si>
    <t>حي السويس</t>
  </si>
  <si>
    <t>0533880737</t>
  </si>
  <si>
    <t>11W4D</t>
  </si>
  <si>
    <t>1416/3/7</t>
  </si>
  <si>
    <t>فاتن ابراهيم اسماعيل العاكش</t>
  </si>
  <si>
    <t>1112354889</t>
  </si>
  <si>
    <t>بخشة</t>
  </si>
  <si>
    <t>0552724512</t>
  </si>
  <si>
    <t>Fatimah ali abdullah qanawi</t>
  </si>
  <si>
    <t>1097403966</t>
  </si>
  <si>
    <t>Damad</t>
  </si>
  <si>
    <t>0530832934</t>
  </si>
  <si>
    <t>0535774175</t>
  </si>
  <si>
    <t>Wedad Mohammed Alhazmi</t>
  </si>
  <si>
    <t>Patient referred to ob clinic in damad general hospital and for diabetologist</t>
  </si>
  <si>
    <t>30- صثثنس</t>
  </si>
  <si>
    <t>هدي احمد يحي سالم</t>
  </si>
  <si>
    <t>1038178974</t>
  </si>
  <si>
    <t>البيض - مخطط فلس</t>
  </si>
  <si>
    <t>patient has disc prolapse</t>
  </si>
  <si>
    <t>9/3/2026</t>
  </si>
  <si>
    <t>مستشفى ابو عريش العام</t>
  </si>
  <si>
    <t>مركز الخشابية</t>
  </si>
  <si>
    <t>حليمة احمد علي جيلان</t>
  </si>
  <si>
    <t>2379916964</t>
  </si>
  <si>
    <t>الروابي</t>
  </si>
  <si>
    <t>0548807853</t>
  </si>
  <si>
    <t>0506686125</t>
  </si>
  <si>
    <t>History of ICU admission during pregnancy</t>
  </si>
  <si>
    <t>dr. mashael mohammed jereb</t>
  </si>
  <si>
    <t>total score of VTE : 5 HIGH RISK .</t>
  </si>
  <si>
    <t>22</t>
  </si>
  <si>
    <t>geehan mohammed jaafer</t>
  </si>
  <si>
    <t>2351094525</t>
  </si>
  <si>
    <t>0533735547</t>
  </si>
  <si>
    <t>Advanced maternal age more than 40 years old;BMI ≥35;Rh isoimmunization or fetuses at risk for isoimmunization with positive blood antibodies</t>
  </si>
  <si>
    <t>mymonah ageel</t>
  </si>
  <si>
    <t>pt hx of asthma</t>
  </si>
  <si>
    <t>34 WEEKS</t>
  </si>
  <si>
    <t>SAIDA ALI OKFI</t>
  </si>
  <si>
    <t>1069979795</t>
  </si>
  <si>
    <t>0542170731</t>
  </si>
  <si>
    <t>≥3 previous miscarriages;Previous stillbirth</t>
  </si>
  <si>
    <t>Advanced maternal age more than 40 years old;BMI ≥35</t>
  </si>
  <si>
    <t>MARWA</t>
  </si>
  <si>
    <t>PT SCORE INTERMEDIATE RISK VTE</t>
  </si>
  <si>
    <t>6/4/2026</t>
  </si>
  <si>
    <t>7W 3D</t>
  </si>
  <si>
    <t>JAWAHER ABDULAZIZ ABDULATHIM MAHMOUD</t>
  </si>
  <si>
    <t>1103225635</t>
  </si>
  <si>
    <t>0550971142</t>
  </si>
  <si>
    <t>DR HANOUF</t>
  </si>
  <si>
    <t>PT HUSPAND DIE - WANT REPORT</t>
  </si>
  <si>
    <t>لم يتم الرد</t>
  </si>
  <si>
    <t>33W</t>
  </si>
  <si>
    <t>SAMIRAH MOHAMMED ALI JATHMI</t>
  </si>
  <si>
    <t>1057242123</t>
  </si>
  <si>
    <t>ABUARISH</t>
  </si>
  <si>
    <t>0535256509</t>
  </si>
  <si>
    <t>0557466539</t>
  </si>
  <si>
    <t>LEVOTHYROXINE 25</t>
  </si>
  <si>
    <t>AHMED KHALED ALWAN</t>
  </si>
  <si>
    <t>12 WKS</t>
  </si>
  <si>
    <t>27/1/1990</t>
  </si>
  <si>
    <t>SARAB ALI HAKAMY</t>
  </si>
  <si>
    <t>1099762732</t>
  </si>
  <si>
    <t>0536561328</t>
  </si>
  <si>
    <t>GEEHAN JAFER</t>
  </si>
  <si>
    <t>22/05/1992</t>
  </si>
  <si>
    <t>ENTESAR ABDULATEF EBRAHIMMOHAMMED ABO ALKASEM</t>
  </si>
  <si>
    <t>2383875495</t>
  </si>
  <si>
    <t>0550435640</t>
  </si>
  <si>
    <t>0506779656</t>
  </si>
  <si>
    <t>Previous neonatal death;Previous history of preeclampsia / eclampsia;Previous history of baby with congenital anomalies or aneuploidy</t>
  </si>
  <si>
    <t>o</t>
  </si>
  <si>
    <t>15 WKS</t>
  </si>
  <si>
    <t>28/12/1994</t>
  </si>
  <si>
    <t>FATIMA IBRAHIM</t>
  </si>
  <si>
    <t>1112079874</t>
  </si>
  <si>
    <t>0530464607</t>
  </si>
  <si>
    <t>21 WKS</t>
  </si>
  <si>
    <t>22/5/1986</t>
  </si>
  <si>
    <t>RAJA OMER</t>
  </si>
  <si>
    <t>1068233848</t>
  </si>
  <si>
    <t>0535400811</t>
  </si>
  <si>
    <t>KULUD AHMED</t>
  </si>
  <si>
    <t>2629412558</t>
  </si>
  <si>
    <t>0533769399</t>
  </si>
  <si>
    <t>BMI ≥35;Smoker patient</t>
  </si>
  <si>
    <t>START PROPHYLACTIC AT 28 WKS</t>
  </si>
  <si>
    <t>22 W</t>
  </si>
  <si>
    <t>7/7/1418</t>
  </si>
  <si>
    <t>MIZRYA YAHYA JUBRAN</t>
  </si>
  <si>
    <t>1101362638</t>
  </si>
  <si>
    <t>ALRAITH ALGAHADA</t>
  </si>
  <si>
    <t>0593799440</t>
  </si>
  <si>
    <t>18/3/1410</t>
  </si>
  <si>
    <t>NORAH ARWAD</t>
  </si>
  <si>
    <t>1078210844</t>
  </si>
  <si>
    <t>0559165210</t>
  </si>
  <si>
    <t>مركز الخوالف</t>
  </si>
  <si>
    <t>26/1/1405</t>
  </si>
  <si>
    <t>Eman ali hassan sawadi</t>
  </si>
  <si>
    <t>1044609798</t>
  </si>
  <si>
    <t>الخوالف</t>
  </si>
  <si>
    <t>0549660328</t>
  </si>
  <si>
    <t>0558560388</t>
  </si>
  <si>
    <t>Advanced maternal age more than 40 years old;Low Hemoglobin less than 9 g/dl or symptomatic patient</t>
  </si>
  <si>
    <t>Amani Hashim</t>
  </si>
  <si>
    <t>تم الابلاغ</t>
  </si>
  <si>
    <t/>
  </si>
  <si>
    <t>مركز الخشابية (Al-Khashabiyah Center)</t>
  </si>
  <si>
    <t>20/04/1413</t>
  </si>
  <si>
    <t>1079626162</t>
  </si>
  <si>
    <t>الخشابية</t>
  </si>
  <si>
    <t>0555413669</t>
  </si>
  <si>
    <t>0500642013</t>
  </si>
  <si>
    <t>Previous one cesarean section with short interval &lt; 18 months;</t>
  </si>
  <si>
    <t>fatima elsoni</t>
  </si>
  <si>
    <t xml:space="preserve">مستشفى جازان العام </t>
  </si>
  <si>
    <t>لا يوجد رد بعد 3 محاولات</t>
  </si>
  <si>
    <t>ء</t>
  </si>
  <si>
    <t>مركز الشاطىء (Al-Shati Center)</t>
  </si>
  <si>
    <t>04/03/1408</t>
  </si>
  <si>
    <t>1096345218</t>
  </si>
  <si>
    <t>0551323515</t>
  </si>
  <si>
    <t>Precious pregnancy ( Pregnancy after primary or secondary infertility);</t>
  </si>
  <si>
    <t>-</t>
  </si>
  <si>
    <t>بيان حسن عثمان حكمي</t>
  </si>
  <si>
    <t>اخر انجاب قبل 11 سنة</t>
  </si>
  <si>
    <t>حضرت</t>
  </si>
  <si>
    <t>تم التواصل</t>
  </si>
  <si>
    <t>مركز العريش (Al-Arees Center)</t>
  </si>
  <si>
    <t>7 weeks</t>
  </si>
  <si>
    <t>19/2/1404</t>
  </si>
  <si>
    <t>1067876415</t>
  </si>
  <si>
    <t>العريش</t>
  </si>
  <si>
    <t>0509836185</t>
  </si>
  <si>
    <t>≥3 previous miscarriages;</t>
  </si>
  <si>
    <t>Mai Mahdi</t>
  </si>
  <si>
    <t>مركز الخبراية (Al-Khubrayah Center)</t>
  </si>
  <si>
    <t>20/05/1420</t>
  </si>
  <si>
    <t>1108769298</t>
  </si>
  <si>
    <t>الخبراية</t>
  </si>
  <si>
    <t>0501217267</t>
  </si>
  <si>
    <t>0551309299</t>
  </si>
  <si>
    <t>BMI ≥35;</t>
  </si>
  <si>
    <t>Dr sameer holal</t>
  </si>
  <si>
    <t>مستشفى الملك فهد المركزي (KFCH)</t>
  </si>
  <si>
    <t>مركز بلغازي (Balghazi Center)</t>
  </si>
  <si>
    <t>05/01/1407</t>
  </si>
  <si>
    <t>1042803070</t>
  </si>
  <si>
    <t>BALGAZI</t>
  </si>
  <si>
    <t>0534482943</t>
  </si>
  <si>
    <t>0557493829</t>
  </si>
  <si>
    <t>MOHAMMED ISMAEL</t>
  </si>
  <si>
    <t>Intermediate Risk AND NO Family Medicine Specialist AVAILABLE</t>
  </si>
  <si>
    <t>نعم</t>
  </si>
  <si>
    <t xml:space="preserve">تم صرف الادويه </t>
  </si>
  <si>
    <t>37</t>
  </si>
  <si>
    <t>22/12/1405</t>
  </si>
  <si>
    <t>1076123767</t>
  </si>
  <si>
    <t>Advanced maternal age more than 40 years old;Blood Pressure 140/90mmhg or more at booking or during visits;</t>
  </si>
  <si>
    <t>antihypertensive tabs</t>
  </si>
  <si>
    <t>تراجع بمستشفى اخر</t>
  </si>
  <si>
    <t>مركز الخضراء (Al-Khadra Center)</t>
  </si>
  <si>
    <t>4/8/1407</t>
  </si>
  <si>
    <t>1098883562</t>
  </si>
  <si>
    <t>0503663772</t>
  </si>
  <si>
    <t>Suspected Ectopic pregnancy;BMI ≥35;Advanced maternal age more than 40 years old;Blood Pressure 140/90mmhg or more at booking or during visits;</t>
  </si>
  <si>
    <t>المريضه تراجع بمستشفى الملك فهد ولديها تاريخ مرضي بحمل خارج الرحم واسقاط وكذلك عمرها تجاوز 35</t>
  </si>
  <si>
    <t>الكربوس (Al-Karbous Center)</t>
  </si>
  <si>
    <t>5 W</t>
  </si>
  <si>
    <t>17/1/1413</t>
  </si>
  <si>
    <t>1110869045</t>
  </si>
  <si>
    <t>0550691432</t>
  </si>
  <si>
    <t>29</t>
  </si>
  <si>
    <t>13/8/1412</t>
  </si>
  <si>
    <t>1131498006</t>
  </si>
  <si>
    <t>0504465903</t>
  </si>
  <si>
    <t>Previous 2 or more cesarean section؛</t>
  </si>
  <si>
    <t>مركز العيدابي (Al-Eidabi Center)</t>
  </si>
  <si>
    <t>23-7-1399</t>
  </si>
  <si>
    <t>1060748751</t>
  </si>
  <si>
    <t>531497668</t>
  </si>
  <si>
    <t>509690023</t>
  </si>
  <si>
    <t>Previous history of preeclampsia / eclampsia;</t>
  </si>
  <si>
    <t>Valsartan , amlodipine , hydrochrothiazd ,</t>
  </si>
  <si>
    <t>بشائر محمد غزواني</t>
  </si>
  <si>
    <t>13-06-1986</t>
  </si>
  <si>
    <t>1083600526</t>
  </si>
  <si>
    <t>507633532</t>
  </si>
  <si>
    <t>Low Hemoglobin less than 9 g/dl or symptomatic patient;Blood Pressure 140/90mmhg or more at booking or during visits;</t>
  </si>
  <si>
    <t>marwa</t>
  </si>
  <si>
    <t>مركز المضايا (Al-Madayah Center)</t>
  </si>
  <si>
    <t>27/7/1417</t>
  </si>
  <si>
    <t>1102804414</t>
  </si>
  <si>
    <t>dr samia</t>
  </si>
  <si>
    <t>559860193</t>
  </si>
  <si>
    <t>dr samia elawad</t>
  </si>
  <si>
    <t xml:space="preserve">لم تحضر </t>
  </si>
  <si>
    <t>مغلق</t>
  </si>
  <si>
    <t>مركز الجهو (Al-Jahu Center)</t>
  </si>
  <si>
    <t>7 WEEKS 2 DAYS</t>
  </si>
  <si>
    <t>17/7/1420</t>
  </si>
  <si>
    <t>1110832035</t>
  </si>
  <si>
    <t>ABQAIQ - EASTERN PROVINCE</t>
  </si>
  <si>
    <t>0536811875</t>
  </si>
  <si>
    <t>0504861278</t>
  </si>
  <si>
    <t>MUSADAG MAHGOUB</t>
  </si>
  <si>
    <t>11</t>
  </si>
  <si>
    <t>3/9/1402</t>
  </si>
  <si>
    <t>1012673784</t>
  </si>
  <si>
    <t>الوحلة</t>
  </si>
  <si>
    <t>05531055047</t>
  </si>
  <si>
    <t>0509578967</t>
  </si>
  <si>
    <t>Advanced maternal age more than 40 years old؛</t>
  </si>
  <si>
    <t>30</t>
  </si>
  <si>
    <t>14/2/1414</t>
  </si>
  <si>
    <t>1085003786</t>
  </si>
  <si>
    <t>مركز الأساملة (Al-Asamalah Center)</t>
  </si>
  <si>
    <t>10 weeks</t>
  </si>
  <si>
    <t>1115449041</t>
  </si>
  <si>
    <t>JAZAN , MAGSHYAH</t>
  </si>
  <si>
    <t>0557781327</t>
  </si>
  <si>
    <t>0535940921</t>
  </si>
  <si>
    <t>Previous neonatal death;Previous history of baby with congenital anomalies or aneuploidy</t>
  </si>
  <si>
    <t>folic acid</t>
  </si>
  <si>
    <t>kharifah sherah</t>
  </si>
  <si>
    <t>24/10/1409</t>
  </si>
  <si>
    <t>1064754193</t>
  </si>
  <si>
    <t>0544499430</t>
  </si>
  <si>
    <t>dr samia eleawad</t>
  </si>
  <si>
    <t>modrate risk of VTE</t>
  </si>
  <si>
    <t>مركز مخطط 5 (Mukhattat 5 Center)</t>
  </si>
  <si>
    <t>9W 6D</t>
  </si>
  <si>
    <t>13-3-1997</t>
  </si>
  <si>
    <t>1098360264</t>
  </si>
  <si>
    <t>JAZAN MOKHATAT 5</t>
  </si>
  <si>
    <t>0509377031</t>
  </si>
  <si>
    <t>0509699289</t>
  </si>
  <si>
    <t>WEDAD HUSSAIN MAWBALI</t>
  </si>
  <si>
    <t>.</t>
  </si>
  <si>
    <t>مركز الخوالف (Al-Khawalif Center)</t>
  </si>
  <si>
    <t>28\9\1413</t>
  </si>
  <si>
    <t>الطوال</t>
  </si>
  <si>
    <t>Previous stillbirth;Previous history of fetal growth restriction or birthweight less than 2.5 kg;</t>
  </si>
  <si>
    <t>Sahar mohamed fekry Elsetouhi</t>
  </si>
  <si>
    <t>No thanks</t>
  </si>
  <si>
    <t>مركز القعارية (Al-Qaariah Center)</t>
  </si>
  <si>
    <t>21weeks +1</t>
  </si>
  <si>
    <t>1404/7/1</t>
  </si>
  <si>
    <t>1084038429</t>
  </si>
  <si>
    <t>دحيقة</t>
  </si>
  <si>
    <t>0557405395</t>
  </si>
  <si>
    <t>0554981502</t>
  </si>
  <si>
    <t>Previous 2 or more cesarean section;Previous history of preeclampsia / eclampsia;</t>
  </si>
  <si>
    <t>Bayan khodari</t>
  </si>
  <si>
    <t>35 weeks</t>
  </si>
  <si>
    <t>18-9-1989</t>
  </si>
  <si>
    <t>0534149948</t>
  </si>
  <si>
    <t>DR . MASHAEL MOHAMMED JEREB</t>
  </si>
  <si>
    <t>VTE SCORE 4 .</t>
  </si>
  <si>
    <t xml:space="preserve">في قسم  التنويم لاجراء العمليه </t>
  </si>
  <si>
    <t>مركز الريث (Al-Rayth Center)</t>
  </si>
  <si>
    <t>25 W</t>
  </si>
  <si>
    <t>19/6/ 1991</t>
  </si>
  <si>
    <t>alraith</t>
  </si>
  <si>
    <t>0507359011</t>
  </si>
  <si>
    <t>DM (either type I or II);</t>
  </si>
  <si>
    <t>marwa hassan</t>
  </si>
  <si>
    <t xml:space="preserve">نعم </t>
  </si>
  <si>
    <t>28w</t>
  </si>
  <si>
    <t>26/6/2026</t>
  </si>
  <si>
    <t>الطرشيه صامطه</t>
  </si>
  <si>
    <t>الاا</t>
  </si>
  <si>
    <t>35</t>
  </si>
  <si>
    <t>20/8/1987</t>
  </si>
  <si>
    <t>VTE intermediate risk fetus breech presentation</t>
  </si>
  <si>
    <t>21</t>
  </si>
  <si>
    <t>16/8/2026</t>
  </si>
  <si>
    <t>1129763536</t>
  </si>
  <si>
    <t>0550058643</t>
  </si>
  <si>
    <t>Rheumatological disease: SLE, Rheumatoid arthritis, Sjogren syndrome, Mixed connective tissue disease, Systemic sclerosis;</t>
  </si>
  <si>
    <t>1997</t>
  </si>
  <si>
    <t>1100678240</t>
  </si>
  <si>
    <t>0538724440</t>
  </si>
  <si>
    <t>Liver and GI diseases: Autoimmune hepatitis, Viral hepatitis (active disease), Liver transplant;</t>
  </si>
  <si>
    <t>مي مهدي عبدالله</t>
  </si>
  <si>
    <t>newly discovered HBSAG 234 IU/L on routine pregnancy investigation</t>
  </si>
  <si>
    <t>مركز ضمد الشمالي (Northern Dhamad Center)</t>
  </si>
  <si>
    <t>1\7\1420</t>
  </si>
  <si>
    <t>2500917717</t>
  </si>
  <si>
    <t>damad</t>
  </si>
  <si>
    <t>0504159587</t>
  </si>
  <si>
    <t>Previous stillbirth;</t>
  </si>
  <si>
    <t>DR . Wedad Alhazmi</t>
  </si>
  <si>
    <t>تم حجز موعد جديد</t>
  </si>
  <si>
    <t>مركز محلية (Mahaliyah Center)</t>
  </si>
  <si>
    <t>1065088799</t>
  </si>
  <si>
    <t>0566303066</t>
  </si>
  <si>
    <t>0506977477</t>
  </si>
  <si>
    <t>Advanced maternal age more than 40 years old;BMI ≥35;Diagnosed as GDM;</t>
  </si>
  <si>
    <t>N0</t>
  </si>
  <si>
    <t>DR.Abdullah Ali Mosawa</t>
  </si>
  <si>
    <t>مركز المعبوج (Al-Maabooj Center)</t>
  </si>
  <si>
    <t>1099873398</t>
  </si>
  <si>
    <t>0532552417</t>
  </si>
  <si>
    <t>Previous stillbirth;Previous neonatal death;Previous history of baby with congenital anomalies or aneuploidy;</t>
  </si>
  <si>
    <t>Intrauterine fetal death;</t>
  </si>
  <si>
    <t xml:space="preserve">تم حجز موعدها من المركز </t>
  </si>
  <si>
    <t>مركز الصهاليل (Al-Sahalil Center)</t>
  </si>
  <si>
    <t>34W2D</t>
  </si>
  <si>
    <t>13-06-2001</t>
  </si>
  <si>
    <t>1112003148</t>
  </si>
  <si>
    <t>sahaleal</t>
  </si>
  <si>
    <t>0506561323</t>
  </si>
  <si>
    <t>nil</t>
  </si>
  <si>
    <t>مركز الواصلي (Al-Wasli Center)</t>
  </si>
  <si>
    <t>12</t>
  </si>
  <si>
    <t>20/9/1989</t>
  </si>
  <si>
    <t>1078175161</t>
  </si>
  <si>
    <t>0509259202</t>
  </si>
  <si>
    <t>0507022707</t>
  </si>
  <si>
    <t>dr halima yusuf akenzua</t>
  </si>
  <si>
    <t>considered intermediate risk.</t>
  </si>
  <si>
    <t>مركز مخطط 6 (Mukhattat 6 Center)</t>
  </si>
  <si>
    <t>28/04/1998</t>
  </si>
  <si>
    <t>1103541114</t>
  </si>
  <si>
    <t>0557889125</t>
  </si>
  <si>
    <t>Neurological diseases: Epilepsy, Multiple sclerosis, Myasthenia Gravis, Stroke, etc. Respiratory diseases: Uncontrolled bronchial asthma, TB, etc.;</t>
  </si>
  <si>
    <t>6W6D</t>
  </si>
  <si>
    <t>25-11-2026</t>
  </si>
  <si>
    <t>1118015930</t>
  </si>
  <si>
    <t>قرية مزهرة</t>
  </si>
  <si>
    <t>0533049632</t>
  </si>
  <si>
    <t>Blood Pressure 140/90mmhg or more at booking or during visits؛</t>
  </si>
  <si>
    <t>: 23W 5D</t>
  </si>
  <si>
    <t>31-07-2026</t>
  </si>
  <si>
    <t>1068377900</t>
  </si>
  <si>
    <t>جيزان</t>
  </si>
  <si>
    <t>0558680052</t>
  </si>
  <si>
    <t>Low Hemoglobin less than 9 g/dl or symptomatic patient؛</t>
  </si>
  <si>
    <t>22/7/1998</t>
  </si>
  <si>
    <t>1104792658</t>
  </si>
  <si>
    <t>Aljanbah</t>
  </si>
  <si>
    <t>0532568266</t>
  </si>
  <si>
    <t>0582481077</t>
  </si>
  <si>
    <t>BMI ≥35;Blood Pressure 140/90mmhg or more at booking or during visits؛</t>
  </si>
  <si>
    <t>Bassey</t>
  </si>
  <si>
    <t>13W 6D</t>
  </si>
  <si>
    <t>1095889521</t>
  </si>
  <si>
    <t>مخطط6</t>
  </si>
  <si>
    <t>0504299885</t>
  </si>
  <si>
    <t>26</t>
  </si>
  <si>
    <t>1060745641</t>
  </si>
  <si>
    <t>0507009367</t>
  </si>
  <si>
    <t>Previous uterine surgery (like myomectomy reaching to uterine cavity , removal of septum, Cervical Cerclage)؛</t>
  </si>
  <si>
    <t>Multifetal gestation;IVF Pregnancy;Polyhydramnios / oligohydramnios؛</t>
  </si>
  <si>
    <t>مركز الجانبة (Al-Janabah Center)</t>
  </si>
  <si>
    <t>1992/12/23</t>
  </si>
  <si>
    <t>1080390451</t>
  </si>
  <si>
    <t>الجانبة</t>
  </si>
  <si>
    <t>0558589456</t>
  </si>
  <si>
    <t>bassy effum</t>
  </si>
  <si>
    <t>6W 4D</t>
  </si>
  <si>
    <t>22-03-1985</t>
  </si>
  <si>
    <t>41</t>
  </si>
  <si>
    <t>1049993833</t>
  </si>
  <si>
    <t>alma shaykh</t>
  </si>
  <si>
    <t>0557245808</t>
  </si>
  <si>
    <t>22W6D</t>
  </si>
  <si>
    <t>19-05-1995</t>
  </si>
  <si>
    <t>1090542885</t>
  </si>
  <si>
    <t>509189445</t>
  </si>
  <si>
    <t>Previous preterm birth &lt;34 weeks؛;Previous 2 or more cesarean section؛</t>
  </si>
  <si>
    <t>مركز العشوة (Sanbah Center)</t>
  </si>
  <si>
    <t>24/4/1998</t>
  </si>
  <si>
    <t>1103036388</t>
  </si>
  <si>
    <t>0538207686</t>
  </si>
  <si>
    <t>≥3 previous miscarriages؛;Previous stillbirth؛</t>
  </si>
  <si>
    <t>Diagnosed as GDM؛</t>
  </si>
  <si>
    <t>HX OF GESTATIONAL DM</t>
  </si>
  <si>
    <t>مركز المطار (Al-Matar Center)</t>
  </si>
  <si>
    <t>1092252798</t>
  </si>
  <si>
    <t>حي المطار</t>
  </si>
  <si>
    <t>تغريد موسى</t>
  </si>
  <si>
    <t>0534110016</t>
  </si>
  <si>
    <t>28-06-2026</t>
  </si>
  <si>
    <t>38</t>
  </si>
  <si>
    <t>2473991921</t>
  </si>
  <si>
    <t>ديحمة</t>
  </si>
  <si>
    <t>0507187030</t>
  </si>
  <si>
    <t>Previous 2 or more cesarean section؛;Previous preterm birth &lt;34 weeks؛;History of massive blood transfusion؛</t>
  </si>
  <si>
    <t>24-06-2026</t>
  </si>
  <si>
    <t>1073180869</t>
  </si>
  <si>
    <t>0533068396</t>
  </si>
  <si>
    <t>Previous preterm birth &lt;34 weeks؛</t>
  </si>
  <si>
    <t>بيان جكمي</t>
  </si>
  <si>
    <t>مركز الدريعية (Al-Durayiyah Center)</t>
  </si>
  <si>
    <t>14 week</t>
  </si>
  <si>
    <t>10?10?2026</t>
  </si>
  <si>
    <t>1067796324</t>
  </si>
  <si>
    <t>الدريعيه</t>
  </si>
  <si>
    <t>0509158040</t>
  </si>
  <si>
    <t>sahar mohamed fikry el setouhi</t>
  </si>
  <si>
    <t>مركز الخارش (Al-Kharsh Center)</t>
  </si>
  <si>
    <t>19/7/2026</t>
  </si>
  <si>
    <t>42</t>
  </si>
  <si>
    <t>1128328653</t>
  </si>
  <si>
    <t>اسكان الخارش</t>
  </si>
  <si>
    <t>0504938806</t>
  </si>
  <si>
    <t>Advanced maternal age more than 40 years old؛;Low Hemoglobin less than 9 g/dl or symptomatic patient؛</t>
  </si>
  <si>
    <t>د/مى محمد احمد الحاج</t>
  </si>
  <si>
    <t>لم تحضر الموعد وتم حجز موعد جديد</t>
  </si>
  <si>
    <t>مركز مزهرة (Mazharah Center)</t>
  </si>
  <si>
    <t>31</t>
  </si>
  <si>
    <t>1087731228</t>
  </si>
  <si>
    <t>احد المسارحة</t>
  </si>
  <si>
    <t>0509047308</t>
  </si>
  <si>
    <t>Endocrine diseases: Hyperthyroidism/Graves disease- Hyperparathyroidism- Adrenal insufficiency/Addison disease- etc؛</t>
  </si>
  <si>
    <t>22/8/26</t>
  </si>
  <si>
    <t>1067852978</t>
  </si>
  <si>
    <t>0554817417</t>
  </si>
  <si>
    <t>DM (either type I or II)؛;Endocrine diseases: Hyperthyroidism/Graves disease- Hyperparathyroidism- Adrenal insufficiency/Addison disease- etc؛</t>
  </si>
  <si>
    <t>Amani Hashim Osman</t>
  </si>
  <si>
    <t>13 W</t>
  </si>
  <si>
    <t>1067275899</t>
  </si>
  <si>
    <t>0556533484</t>
  </si>
  <si>
    <t>Previous preterm birth &lt;34 weeks؛;Previous neonatal death؛</t>
  </si>
  <si>
    <t>1143043576</t>
  </si>
  <si>
    <t>552309188</t>
  </si>
  <si>
    <t>Smoker patient؛</t>
  </si>
  <si>
    <t>1076797065</t>
  </si>
  <si>
    <t>0508711518</t>
  </si>
  <si>
    <t>29/10/2026</t>
  </si>
  <si>
    <t>1100722410</t>
  </si>
  <si>
    <t>553742681</t>
  </si>
  <si>
    <t>30/12/1997</t>
  </si>
  <si>
    <t>2491982274</t>
  </si>
  <si>
    <t>0509209833</t>
  </si>
  <si>
    <t>43</t>
  </si>
  <si>
    <t>1019481843</t>
  </si>
  <si>
    <t>509338874</t>
  </si>
  <si>
    <t>Previous neonatal death؛</t>
  </si>
  <si>
    <t>14/5/26</t>
  </si>
  <si>
    <t>107974781</t>
  </si>
  <si>
    <t>0552660916</t>
  </si>
  <si>
    <t>14</t>
  </si>
  <si>
    <t>2497025862</t>
  </si>
  <si>
    <t>0532437714</t>
  </si>
  <si>
    <t>MYMONAH AGEEL</t>
  </si>
  <si>
    <t>تم صرف الادويه</t>
  </si>
  <si>
    <t>1412/11/2</t>
  </si>
  <si>
    <t>1077341780</t>
  </si>
  <si>
    <t>HEY ALSUWAYS</t>
  </si>
  <si>
    <t>0599055533</t>
  </si>
  <si>
    <t>0500430483</t>
  </si>
  <si>
    <t>Previous one cesarean section with short interval &lt; 18 months؛;Previous 2 or more cesarean section؛;Previous history of intrahepatic cholestasis of pregnancy؛</t>
  </si>
  <si>
    <t>DR NOUF NASSER ALJOHANI</t>
  </si>
  <si>
    <t>15-03-1988</t>
  </si>
  <si>
    <t>1054054844</t>
  </si>
  <si>
    <t>0534990488</t>
  </si>
  <si>
    <t>1072268608</t>
  </si>
  <si>
    <t>0567330307</t>
  </si>
  <si>
    <t>Low Hemoglobin less than 9 g/dl or symptomatic patient؛;Placenta previa or vasa previa؛</t>
  </si>
  <si>
    <t xml:space="preserve">لم يتم صرف ادوية السيوله </t>
  </si>
  <si>
    <t>39WKS</t>
  </si>
  <si>
    <t>24-04-2026</t>
  </si>
  <si>
    <t>2055979120</t>
  </si>
  <si>
    <t>حي النسيم جازان</t>
  </si>
  <si>
    <t>0598947792</t>
  </si>
  <si>
    <t>15WEEKS</t>
  </si>
  <si>
    <t>1101751707</t>
  </si>
  <si>
    <t>0554754966</t>
  </si>
  <si>
    <t>Previous stillbirth؛;History of placenta accreta - percreta or increta؛</t>
  </si>
  <si>
    <t>ىخى</t>
  </si>
  <si>
    <t>9W 3D</t>
  </si>
  <si>
    <t>15-11-2026</t>
  </si>
  <si>
    <t>1015011933</t>
  </si>
  <si>
    <t>0555771715</t>
  </si>
  <si>
    <t>Advanced maternal age more than 40 years old؛;Precious pregnancy ( Pregnancy after primary or secondary infertility)؛</t>
  </si>
  <si>
    <t>مركز هروب (Haroub Center)</t>
  </si>
  <si>
    <t>2027/2/29</t>
  </si>
  <si>
    <t>1090577048</t>
  </si>
  <si>
    <t>Hurub</t>
  </si>
  <si>
    <t>0539416638</t>
  </si>
  <si>
    <t>0558857184</t>
  </si>
  <si>
    <t>History of ICU admission during pregnancy؛</t>
  </si>
  <si>
    <t>Cardiac disease: Pulmonary arterial hypertension- Cardiomyopathy- Previous Peripartum cardiomyopathy- Arrhythmias- Ischemic heart disease- Coronary artery disease- Moderate to severe mitral stenosis- Moderate to severe aortic stenosis- Left ventricular impairment (Ejection Fraction ≤ 45%)؛;Rheumatological disease: SLE- Rheumatoid arthritis- Sjogren syndrome- Mixed connective tissue disease- Systemic sclerosis؛</t>
  </si>
  <si>
    <t>Bisperlol 5mg . Perndopril 5 . Fursmaid 40 empaglfison 10 hydroxychloroquine200</t>
  </si>
  <si>
    <t>Mohammed dahhas</t>
  </si>
  <si>
    <t>16-04-2001</t>
  </si>
  <si>
    <t>25</t>
  </si>
  <si>
    <t>1133130185</t>
  </si>
  <si>
    <t>0534353959</t>
  </si>
  <si>
    <t>SHHAIMAA BAHNASY</t>
  </si>
  <si>
    <t>16-06-1999</t>
  </si>
  <si>
    <t>1107741249</t>
  </si>
  <si>
    <t>0537687678</t>
  </si>
  <si>
    <t>26W5D</t>
  </si>
  <si>
    <t>17-07-2026</t>
  </si>
  <si>
    <t>1066057504</t>
  </si>
  <si>
    <t>مخطط 9</t>
  </si>
  <si>
    <t>0545626311</t>
  </si>
  <si>
    <t>Previous neonatal death؛;Previous 2 or more cesarean section؛</t>
  </si>
  <si>
    <t>مركز السادة (Al-Sadah Center)</t>
  </si>
  <si>
    <t>10W 6D</t>
  </si>
  <si>
    <t>1074755255</t>
  </si>
  <si>
    <t>Baish</t>
  </si>
  <si>
    <t>0552773998</t>
  </si>
  <si>
    <t>0559124824</t>
  </si>
  <si>
    <t>≥3 previous miscarriages؛;Previous 2 or more cesarean section؛</t>
  </si>
  <si>
    <t>MOUSA MAWKILI</t>
  </si>
  <si>
    <t>6w</t>
  </si>
  <si>
    <t>1113502601</t>
  </si>
  <si>
    <t>0507969112</t>
  </si>
  <si>
    <t>Previous history of baby with congenital anomalies or aneuploidy؛</t>
  </si>
  <si>
    <t>: 27W 3D</t>
  </si>
  <si>
    <t>1119705216</t>
  </si>
  <si>
    <t>0550603046</t>
  </si>
  <si>
    <t>History of placenta accreta - percreta or increta؛;History of massive blood transfusion؛</t>
  </si>
  <si>
    <t>مركز السويس (Al-Suwais Center)</t>
  </si>
  <si>
    <t>1133354827</t>
  </si>
  <si>
    <t>Jizan alswiss</t>
  </si>
  <si>
    <t>5344472495</t>
  </si>
  <si>
    <t>539793334</t>
  </si>
  <si>
    <t>Olia Caridad Balbuena Torres</t>
  </si>
  <si>
    <t>14W 3D</t>
  </si>
  <si>
    <t>1104535321</t>
  </si>
  <si>
    <t>حي البلد</t>
  </si>
  <si>
    <t>0530436642</t>
  </si>
  <si>
    <t>32 week</t>
  </si>
  <si>
    <t>2495492387</t>
  </si>
  <si>
    <t>0503913807</t>
  </si>
  <si>
    <t>Previous neonatal death؛;History of massive blood transfusion؛</t>
  </si>
  <si>
    <t>Perinatal infection screening result positive؛</t>
  </si>
  <si>
    <t>Infectious diseases: HIV- syphilis- herpes- or any other significant infectious disease with fetal and/or maternal implications؛</t>
  </si>
  <si>
    <t>سحر محمد فكري السطوحي</t>
  </si>
  <si>
    <t>5w4d</t>
  </si>
  <si>
    <t>1050676012</t>
  </si>
  <si>
    <t>jazan</t>
  </si>
  <si>
    <t>0533387606</t>
  </si>
  <si>
    <t>Previous history of intrahepatic cholestasis of pregnancy؛</t>
  </si>
  <si>
    <t>Advanced maternal age more than 40 years old؛;Blood Pressure 140/90mmhg or more at booking or during visits؛;High risk for VTE</t>
  </si>
  <si>
    <t>1107083220</t>
  </si>
  <si>
    <t>0556632076</t>
  </si>
  <si>
    <t>Amani hashim</t>
  </si>
  <si>
    <t>1083154862</t>
  </si>
  <si>
    <t xml:space="preserve">حي المطار </t>
  </si>
  <si>
    <t>0567726272</t>
  </si>
  <si>
    <t>0508063167</t>
  </si>
  <si>
    <t>BMI ≥35؛</t>
  </si>
  <si>
    <t>TAGREED MOUSA</t>
  </si>
  <si>
    <t>مركز الأحد (Al-Ahad Center)</t>
  </si>
  <si>
    <t>Ahd Almasareha</t>
  </si>
  <si>
    <t>0551311813</t>
  </si>
  <si>
    <t>≥3 previous miscarriages؛</t>
  </si>
  <si>
    <t>dr Ismail Tohary</t>
  </si>
  <si>
    <t>2101886071</t>
  </si>
  <si>
    <t>0553228313</t>
  </si>
  <si>
    <t>Previous history of fetal growth restriction or birthweight less than 2.5 kg؛;Previous preterm birth &lt;34 weeks؛</t>
  </si>
  <si>
    <t>atheer akoor</t>
  </si>
  <si>
    <t>1103437313</t>
  </si>
  <si>
    <t xml:space="preserve">hey almatar </t>
  </si>
  <si>
    <t>0509919505</t>
  </si>
  <si>
    <t>nouf nasser aljohani</t>
  </si>
  <si>
    <t>لم يتم صرف ادوية السيوله</t>
  </si>
  <si>
    <t>أخرى</t>
  </si>
  <si>
    <t>1079140610</t>
  </si>
  <si>
    <t>Samtah  sehi</t>
  </si>
  <si>
    <t>0556939826</t>
  </si>
  <si>
    <t>0550059938</t>
  </si>
  <si>
    <t xml:space="preserve">اسامة الماحي </t>
  </si>
  <si>
    <t>لم يتم صرف الادويه</t>
  </si>
  <si>
    <t>مركز الروضة ج (Al-Rawdhah J Center)</t>
  </si>
  <si>
    <t>2443351560</t>
  </si>
  <si>
    <t>حي الروضة الشمالي</t>
  </si>
  <si>
    <t>0552801631</t>
  </si>
  <si>
    <t>مركز الكربوس ( Alkarbuse Center)</t>
  </si>
  <si>
    <t>1049852633</t>
  </si>
  <si>
    <t>0551907445</t>
  </si>
  <si>
    <t>1049017419</t>
  </si>
  <si>
    <t xml:space="preserve">SHAWAJRAH </t>
  </si>
  <si>
    <t>0503482343</t>
  </si>
  <si>
    <t>BMI ≥35؛;High risk for VTE؛</t>
  </si>
  <si>
    <t>Rheumatological disease: SLE- Rheumatoid arthritis- Sjogren syndrome- Mixed connective tissue disease- Systemic sclerosis؛;Endocrine diseases: Hyperthyroidism/Graves disease- Hyperparathyroidism- Adrenal insufficiency/Addison disease- etc؛</t>
  </si>
  <si>
    <t>AMNANI KUBAISI</t>
  </si>
  <si>
    <t xml:space="preserve">تم تجديد الموعد </t>
  </si>
  <si>
    <t>2214885804</t>
  </si>
  <si>
    <t>0509226244</t>
  </si>
  <si>
    <t>Previous one cesarean section with short interval &lt; 18 months؛;History of affected baby with genetic or metabolic disease incompatible with life؛</t>
  </si>
  <si>
    <t>1993</t>
  </si>
  <si>
    <t>1083517712</t>
  </si>
  <si>
    <t>0501588163</t>
  </si>
  <si>
    <t>مي مهدي</t>
  </si>
  <si>
    <t>1994</t>
  </si>
  <si>
    <t>1086339510</t>
  </si>
  <si>
    <t>0551193129</t>
  </si>
  <si>
    <t>Previous history of fetal growth restriction or birthweight less than 2.5 kg؛</t>
  </si>
  <si>
    <t xml:space="preserve">Tagreed mousa </t>
  </si>
  <si>
    <t>1124369578</t>
  </si>
  <si>
    <t>0592224432</t>
  </si>
  <si>
    <t>Previous one cesarean section with short interval &lt; 18 months؛</t>
  </si>
  <si>
    <t>22/6/26</t>
  </si>
  <si>
    <t>1072225616</t>
  </si>
  <si>
    <t>الجراديه</t>
  </si>
  <si>
    <t>0503266570</t>
  </si>
  <si>
    <t>DM (either type I or II)؛</t>
  </si>
  <si>
    <t>Amani hashim osman</t>
  </si>
  <si>
    <t>لم يتم صرف ادويه</t>
  </si>
  <si>
    <t>27/6/2026</t>
  </si>
  <si>
    <t>1121850158</t>
  </si>
  <si>
    <t>ALMARAR</t>
  </si>
  <si>
    <t>0582232246</t>
  </si>
  <si>
    <t xml:space="preserve">DR NOUF NASSER ALJOHANI </t>
  </si>
  <si>
    <t>مركز القهر (Al-Qahar Center)</t>
  </si>
  <si>
    <t>0531540496</t>
  </si>
  <si>
    <t xml:space="preserve">MARWA HASSAN </t>
  </si>
  <si>
    <t>1077583548</t>
  </si>
  <si>
    <t>خبت الخارش</t>
  </si>
  <si>
    <t>0535826618</t>
  </si>
  <si>
    <t xml:space="preserve"> مي محمد  احمد  الحاج</t>
  </si>
  <si>
    <t>1105342776</t>
  </si>
  <si>
    <t>0505712256</t>
  </si>
  <si>
    <t>مستشفى خاص</t>
  </si>
  <si>
    <t>10 WKS</t>
  </si>
  <si>
    <t>18-11-2026</t>
  </si>
  <si>
    <t>1076142635</t>
  </si>
  <si>
    <t>حي الصفا</t>
  </si>
  <si>
    <t>0550489713</t>
  </si>
  <si>
    <t>Rh isoimmunization or fetuses at risk for isoimmunization with positive blood antibodies؛</t>
  </si>
  <si>
    <t xml:space="preserve">بيان حكمي </t>
  </si>
  <si>
    <t>1068046877</t>
  </si>
  <si>
    <t>0532237368</t>
  </si>
  <si>
    <t>Previous one cesarean section with short interval &lt; 18 months؛;Previous history of preeclampsia / eclampsia؛</t>
  </si>
  <si>
    <t>geehan jafer</t>
  </si>
  <si>
    <t>4WK</t>
  </si>
  <si>
    <t>27-12-2026</t>
  </si>
  <si>
    <t>1137318042</t>
  </si>
  <si>
    <t xml:space="preserve">المطار </t>
  </si>
  <si>
    <t>0556257509</t>
  </si>
  <si>
    <t>Precious pregnancy ( Pregnancy after primary or secondary infertility)؛</t>
  </si>
  <si>
    <t>1022258550</t>
  </si>
  <si>
    <t>0562331166</t>
  </si>
  <si>
    <t xml:space="preserve">27 weeks 5 days </t>
  </si>
  <si>
    <t>1991</t>
  </si>
  <si>
    <t>2379722966</t>
  </si>
  <si>
    <t xml:space="preserve">حي الروضة </t>
  </si>
  <si>
    <t>0590442952</t>
  </si>
  <si>
    <t xml:space="preserve">تغريد موسى </t>
  </si>
  <si>
    <t xml:space="preserve">تم حجز موعد جدبد </t>
  </si>
  <si>
    <t>22/9/2026</t>
  </si>
  <si>
    <t>1068047016</t>
  </si>
  <si>
    <t>0532083704</t>
  </si>
  <si>
    <t>Advanced maternal age more than 40 years old؛;BMI ≥35؛</t>
  </si>
  <si>
    <t>26.05.1987</t>
  </si>
  <si>
    <t>1058861640</t>
  </si>
  <si>
    <t>DAMAD - ALHISN VILLAGE</t>
  </si>
  <si>
    <t>0534961417</t>
  </si>
  <si>
    <t xml:space="preserve">NO </t>
  </si>
  <si>
    <t xml:space="preserve">MUSADAG MUSTAFA </t>
  </si>
  <si>
    <t>25/6/2026</t>
  </si>
  <si>
    <t xml:space="preserve">الخضراء </t>
  </si>
  <si>
    <t>Suspected Ectopic pregnancy؛;BMI ≥35؛</t>
  </si>
  <si>
    <t xml:space="preserve">Ghadeer shibly </t>
  </si>
  <si>
    <t>8W</t>
  </si>
  <si>
    <t>1083456036</t>
  </si>
  <si>
    <t>0531414535</t>
  </si>
  <si>
    <t>لا ترغب بحجز موعد جديد</t>
  </si>
  <si>
    <t>13wk+6days</t>
  </si>
  <si>
    <t>23/10/2026</t>
  </si>
  <si>
    <t>1019938834</t>
  </si>
  <si>
    <t>القمري</t>
  </si>
  <si>
    <t>0535446277</t>
  </si>
  <si>
    <t xml:space="preserve">غدير شبلي </t>
  </si>
  <si>
    <t>1086484647</t>
  </si>
  <si>
    <t>0557770982</t>
  </si>
  <si>
    <t xml:space="preserve"> لم يتم صرف الادويه</t>
  </si>
  <si>
    <t>25/2/1417</t>
  </si>
  <si>
    <t>1103435556</t>
  </si>
  <si>
    <t>0501990547</t>
  </si>
  <si>
    <t xml:space="preserve">dr samia </t>
  </si>
  <si>
    <t>GA 4W 5D</t>
  </si>
  <si>
    <t xml:space="preserve">5 weeks 5 days </t>
  </si>
  <si>
    <t>1989</t>
  </si>
  <si>
    <t>1073753657</t>
  </si>
  <si>
    <t>0534402858</t>
  </si>
  <si>
    <t>Previous preterm birth &lt;34 weeks؛;Previous 2 or more cesarean section؛;Previous history of preeclampsia / eclampsia؛;Previous history of fetal growth restriction or birthweight less than 2.5 kg؛</t>
  </si>
  <si>
    <t>17/7/2026</t>
  </si>
  <si>
    <t>1083590982</t>
  </si>
  <si>
    <t>0540974367</t>
  </si>
  <si>
    <t>0531671364</t>
  </si>
  <si>
    <t>Rheumatological disease: SLE- Rheumatoid arthritis- Sjogren syndrome- Mixed connective tissue disease- Systemic sclerosis؛</t>
  </si>
  <si>
    <t>Haya alqahatni</t>
  </si>
  <si>
    <t>1111162556</t>
  </si>
  <si>
    <t>0505772687</t>
  </si>
  <si>
    <t>1047808629</t>
  </si>
  <si>
    <t>Previous preterm birth &lt;34 weeks؛;Previous stillbirth؛;Previous 2 or more cesarean section؛;Previous history of baby with congenital anomalies or aneuploidy؛</t>
  </si>
  <si>
    <t>Multifetal gestation؛;BMI ≥35؛;High risk for VTE؛</t>
  </si>
  <si>
    <t xml:space="preserve">9 W </t>
  </si>
  <si>
    <t>1125692911</t>
  </si>
  <si>
    <t>0580214918</t>
  </si>
  <si>
    <t>Previous stillbirth؛</t>
  </si>
  <si>
    <t>39</t>
  </si>
  <si>
    <t>1063902868</t>
  </si>
  <si>
    <t>0566867344</t>
  </si>
  <si>
    <t xml:space="preserve">0535245769 </t>
  </si>
  <si>
    <t>mythayldopa</t>
  </si>
  <si>
    <t>ikhlas ibrahim daak</t>
  </si>
  <si>
    <t>مركز الصفاء (Al-Safaa Center)</t>
  </si>
  <si>
    <t>9w5d</t>
  </si>
  <si>
    <t>23/11/2026</t>
  </si>
  <si>
    <t>1056724717</t>
  </si>
  <si>
    <t xml:space="preserve">جازان الصفاء </t>
  </si>
  <si>
    <t>0599553767</t>
  </si>
  <si>
    <t>0557441616</t>
  </si>
  <si>
    <t xml:space="preserve">On asprin </t>
  </si>
  <si>
    <t xml:space="preserve">Lujain alamodi </t>
  </si>
  <si>
    <t xml:space="preserve">15 weeks </t>
  </si>
  <si>
    <t>18-12-1986</t>
  </si>
  <si>
    <t>1048063380</t>
  </si>
  <si>
    <t xml:space="preserve">almashaykh </t>
  </si>
  <si>
    <t>0550229025</t>
  </si>
  <si>
    <t xml:space="preserve">no </t>
  </si>
  <si>
    <t xml:space="preserve">kharifah sherah </t>
  </si>
  <si>
    <t>مركز المروه (Al-Marwah Center)</t>
  </si>
  <si>
    <t>9w</t>
  </si>
  <si>
    <t>28/11/2026</t>
  </si>
  <si>
    <t>1067878585</t>
  </si>
  <si>
    <t>المروة</t>
  </si>
  <si>
    <t>0500704860</t>
  </si>
  <si>
    <t>0504560141</t>
  </si>
  <si>
    <t>Previous 2 or more cesarean section؛;Previous one cesarean section with short interval &lt; 18 months؛;History of placenta accreta - percreta or increta؛</t>
  </si>
  <si>
    <t>Advanced maternal age more than 40 years old؛;Placenta previa or vasa previa؛;Blood Pressure 140/90mmhg or more at booking or during visits؛;High risk for VTE؛</t>
  </si>
  <si>
    <t>mohammed majrashi</t>
  </si>
  <si>
    <t>مركز ابو عريش الشمالي (Northern Abu Arish Center)</t>
  </si>
  <si>
    <t>1070041080</t>
  </si>
  <si>
    <t>abuarish</t>
  </si>
  <si>
    <t>0550258295</t>
  </si>
  <si>
    <t>ahmed khaled alwan</t>
  </si>
  <si>
    <t>مركز بيش (Baish Center)</t>
  </si>
  <si>
    <t>16W2D</t>
  </si>
  <si>
    <t>26-09-1984</t>
  </si>
  <si>
    <t>2493426882</t>
  </si>
  <si>
    <t xml:space="preserve">MOHAMMED AHMAD JAHLAN </t>
  </si>
  <si>
    <t>0551582582</t>
  </si>
  <si>
    <t>BMI ≥35؛;Advanced maternal age more than 40 years old؛</t>
  </si>
  <si>
    <t xml:space="preserve">تم الغاء الموعد وحجز موعد جديد المستفيده اجهضت </t>
  </si>
  <si>
    <t>29W 4D</t>
  </si>
  <si>
    <t>1073882753</t>
  </si>
  <si>
    <t>صبيا</t>
  </si>
  <si>
    <t>0537454445</t>
  </si>
  <si>
    <t>Previous preterm birth &lt;34 weeks؛;Previous 2 or more cesarean section؛;Previous history of preeclampsia / eclampsia؛</t>
  </si>
  <si>
    <t>Multifetal gestation؛</t>
  </si>
  <si>
    <t>1058400746</t>
  </si>
  <si>
    <t>AL mashaik</t>
  </si>
  <si>
    <t>0557943916</t>
  </si>
  <si>
    <t>0505502890</t>
  </si>
  <si>
    <t>≥3 previous miscarriages؛;Previous history of preeclampsia / eclampsia؛</t>
  </si>
  <si>
    <t>ccp</t>
  </si>
  <si>
    <t xml:space="preserve">Umklthom masmali </t>
  </si>
  <si>
    <t>1076270410</t>
  </si>
  <si>
    <t>0545434604</t>
  </si>
  <si>
    <t xml:space="preserve"> 10W 3D</t>
  </si>
  <si>
    <t>22-11-2026</t>
  </si>
  <si>
    <t>1094993407</t>
  </si>
  <si>
    <t>0582030379</t>
  </si>
  <si>
    <t>History of massive blood transfusion؛</t>
  </si>
  <si>
    <t>1127860573</t>
  </si>
  <si>
    <t>0501168391</t>
  </si>
  <si>
    <t xml:space="preserve">16 w 6 D </t>
  </si>
  <si>
    <t>1987</t>
  </si>
  <si>
    <t>1084966348</t>
  </si>
  <si>
    <t xml:space="preserve">هروب </t>
  </si>
  <si>
    <t>0556387628</t>
  </si>
  <si>
    <t xml:space="preserve">LABITALOL 100 mg </t>
  </si>
  <si>
    <t>1097084121</t>
  </si>
  <si>
    <t>0504313957</t>
  </si>
  <si>
    <t>15 week</t>
  </si>
  <si>
    <t>22/10/2026</t>
  </si>
  <si>
    <t>2620053716</t>
  </si>
  <si>
    <t>الدريعية</t>
  </si>
  <si>
    <t>0553924201</t>
  </si>
  <si>
    <t>Previous preterm birth &lt;34 weeks؛;Previous one cesarean section with short interval &lt; 18 months؛;Previous history of fetal growth restriction or birthweight less than 2.5 kg؛</t>
  </si>
  <si>
    <t>1025204346</t>
  </si>
  <si>
    <t xml:space="preserve">حي الروضة الشمالي </t>
  </si>
  <si>
    <t>966552623692</t>
  </si>
  <si>
    <t>966500673049</t>
  </si>
  <si>
    <t>Advanced maternal age more than 40 years old؛;BMI ≥35؛;Diagnosed as GDM؛;Blood Pressure 140/90mmhg or more at booking or during visits؛;Low Hemoglobin less than 9 g/dl or symptomatic patient؛</t>
  </si>
  <si>
    <t xml:space="preserve">Rasha Ezat Saker </t>
  </si>
  <si>
    <t>1153311335</t>
  </si>
  <si>
    <t>wadi alhaya</t>
  </si>
  <si>
    <t>0502575617</t>
  </si>
  <si>
    <t>Maternal age less than 16 years old؛</t>
  </si>
  <si>
    <t xml:space="preserve">marwa hassam </t>
  </si>
  <si>
    <t>1082813427</t>
  </si>
  <si>
    <t>0506937919</t>
  </si>
  <si>
    <t xml:space="preserve">د/ هنوف </t>
  </si>
  <si>
    <t>1072361312</t>
  </si>
  <si>
    <t>0500742581</t>
  </si>
  <si>
    <t>Previous preterm birth &lt;34 weeks؛;Previous 2 or more cesarean section؛;Previous history of fetal growth restriction or birthweight less than 2.5 kg؛</t>
  </si>
  <si>
    <t>6W 1D</t>
  </si>
  <si>
    <t>1098279878</t>
  </si>
  <si>
    <t xml:space="preserve">السويس </t>
  </si>
  <si>
    <t>0550194627</t>
  </si>
  <si>
    <t>Previous preterm birth &lt;34 weeks؛;Previous neonatal death؛;Previous history of fetal growth restriction or birthweight less than 2.5 kg؛</t>
  </si>
  <si>
    <t>bayan hakami</t>
  </si>
  <si>
    <t>34W</t>
  </si>
  <si>
    <t>1108810936</t>
  </si>
  <si>
    <t>صنبة</t>
  </si>
  <si>
    <t>0509352645</t>
  </si>
  <si>
    <t>17W 6D</t>
  </si>
  <si>
    <t>1111453955</t>
  </si>
  <si>
    <t xml:space="preserve">JAZAN </t>
  </si>
  <si>
    <t>0582128731</t>
  </si>
  <si>
    <t>BMI ≥35؛;Blood Pressure 140/90mmhg or more at booking or during visits؛</t>
  </si>
  <si>
    <t>0583684612</t>
  </si>
  <si>
    <t>لم يتم الرد اكثر من ثلاث مرات</t>
  </si>
  <si>
    <t>1089023319</t>
  </si>
  <si>
    <t>0501137529</t>
  </si>
  <si>
    <t>mohammed ismael</t>
  </si>
  <si>
    <t>1079159784</t>
  </si>
  <si>
    <t>Jazan</t>
  </si>
  <si>
    <t>0500286717</t>
  </si>
  <si>
    <t>Previous preterm birth &lt;34 weeks؛;Previous history of fetal growth restriction or birthweight less than 2.5 kg؛</t>
  </si>
  <si>
    <t>Abdullah Mosawa</t>
  </si>
  <si>
    <t>مركز الحقلة (Al-Haqla Center)</t>
  </si>
  <si>
    <t>1076725777</t>
  </si>
  <si>
    <t>0560606035</t>
  </si>
  <si>
    <t>0558910761</t>
  </si>
  <si>
    <t>≥3 previous miscarriages؛;Previous history of baby with congenital anomalies or aneuploidy؛</t>
  </si>
  <si>
    <t>Mohoamed</t>
  </si>
  <si>
    <t>13</t>
  </si>
  <si>
    <t>1060023981</t>
  </si>
  <si>
    <t>0583198415</t>
  </si>
  <si>
    <t>24weeks</t>
  </si>
  <si>
    <t>1103378632</t>
  </si>
  <si>
    <t>جيزان مخطط 7</t>
  </si>
  <si>
    <t>0508523150</t>
  </si>
  <si>
    <t>1068070133</t>
  </si>
  <si>
    <t>0550889368</t>
  </si>
  <si>
    <t>BMI ≥35؛;Precious pregnancy ( Pregnancy after primary or secondary infertility)؛;IVF Pregnancy؛;High risk for VTE؛</t>
  </si>
  <si>
    <t>Enocparin inj</t>
  </si>
  <si>
    <t>Hassan</t>
  </si>
  <si>
    <t>1109735785</t>
  </si>
  <si>
    <t>0537387632</t>
  </si>
  <si>
    <t xml:space="preserve">Amani Hashim Osman </t>
  </si>
  <si>
    <t>16 WKS</t>
  </si>
  <si>
    <t>1071841736</t>
  </si>
  <si>
    <t>0535908084</t>
  </si>
  <si>
    <t>Pregnancy with suspected adnexal mass or mass ≥ 10 cm؛</t>
  </si>
  <si>
    <t>1088255359</t>
  </si>
  <si>
    <t>0552471316</t>
  </si>
  <si>
    <t>1054765548</t>
  </si>
  <si>
    <t>0537865006</t>
  </si>
  <si>
    <t>1098229618</t>
  </si>
  <si>
    <t>0504632216</t>
  </si>
  <si>
    <t>1066377167</t>
  </si>
  <si>
    <t>1080028523</t>
  </si>
  <si>
    <t>0503729392</t>
  </si>
  <si>
    <t>17W6D</t>
  </si>
  <si>
    <t>1063001646</t>
  </si>
  <si>
    <t xml:space="preserve">راح الحجاجة </t>
  </si>
  <si>
    <t>0553095445</t>
  </si>
  <si>
    <t>Advanced maternal age more than 40 years old؛;BMI ≥35؛;Blood Pressure 140/90mmhg or more at booking or during visits؛</t>
  </si>
  <si>
    <t>1117976108</t>
  </si>
  <si>
    <t>0535077082</t>
  </si>
  <si>
    <t>Previous preterm birth &lt;34 weeks؛;Previous 2 or more cesarean section؛;Previous one cesarean section with short interval &lt; 18 months؛</t>
  </si>
  <si>
    <t>19wks</t>
  </si>
  <si>
    <t>1070562390</t>
  </si>
  <si>
    <t>0554541385</t>
  </si>
  <si>
    <t>Previous stillbirth؛;≥3 previous miscarriages؛;Previous history of preeclampsia / eclampsia؛</t>
  </si>
  <si>
    <t>1151857883</t>
  </si>
  <si>
    <t>0558152660</t>
  </si>
  <si>
    <t>10W</t>
  </si>
  <si>
    <t>1122700816</t>
  </si>
  <si>
    <t>0501282664</t>
  </si>
  <si>
    <t>1070754567</t>
  </si>
  <si>
    <t>0557730011</t>
  </si>
  <si>
    <t>Previous uterine surgery (like myomectomy reaching to uterine cavity - removal of septum- Cervical Cerclage)؛</t>
  </si>
  <si>
    <t>1069692869</t>
  </si>
  <si>
    <t>0557981348</t>
  </si>
  <si>
    <t>6 WS</t>
  </si>
  <si>
    <t>1062488224</t>
  </si>
  <si>
    <t>JIZAN</t>
  </si>
  <si>
    <t>0581201857</t>
  </si>
  <si>
    <t>Previous stillbirth؛;Previous preterm birth &lt;34 weeks؛</t>
  </si>
  <si>
    <t>مركز المنجارة (Al-Minjara Center)</t>
  </si>
  <si>
    <t>2501622324</t>
  </si>
  <si>
    <t>الحبجية</t>
  </si>
  <si>
    <t>0557533857</t>
  </si>
  <si>
    <t>د اسماعيل طوهري</t>
  </si>
  <si>
    <t>1122677964</t>
  </si>
  <si>
    <t>0550540322</t>
  </si>
  <si>
    <t>اماني هاشم عثمان</t>
  </si>
  <si>
    <t>مركز الساره (Al-Sarah Center)</t>
  </si>
  <si>
    <t>9 wks 1 day</t>
  </si>
  <si>
    <t>1046497705</t>
  </si>
  <si>
    <t>alsarah</t>
  </si>
  <si>
    <t>0504899731</t>
  </si>
  <si>
    <t>ali adam ali</t>
  </si>
  <si>
    <t>7W3D</t>
  </si>
  <si>
    <t>1053242747</t>
  </si>
  <si>
    <t>0532349129</t>
  </si>
  <si>
    <t>0593135256</t>
  </si>
  <si>
    <t>abdelnasior hassan</t>
  </si>
  <si>
    <t>8w+5d</t>
  </si>
  <si>
    <t>1063743288</t>
  </si>
  <si>
    <t>0503381521</t>
  </si>
  <si>
    <t>Multifetal gestation؛;BMI ≥35؛;Blood Pressure 140/90mmhg or more at booking or during visits؛</t>
  </si>
  <si>
    <t>3</t>
  </si>
  <si>
    <t>1043528536</t>
  </si>
  <si>
    <t>0536235525</t>
  </si>
  <si>
    <t>≥3 previous miscarriages؛;Previous preterm birth &lt;34 weeks؛;Previous 2 or more cesarean section؛;Previous uterine surgery (like myomectomy reaching to uterine cavity - removal of septum- Cervical Cerclage)؛</t>
  </si>
  <si>
    <t>Advanced maternal age more than 40 years old؛;High risk for VTE؛</t>
  </si>
  <si>
    <t xml:space="preserve">اماني هاشم عثمان </t>
  </si>
  <si>
    <t>المستشفى_High</t>
  </si>
  <si>
    <t>المستشفى_VeryHigh</t>
  </si>
  <si>
    <t>مستشفى الملك فهد المركزي</t>
  </si>
  <si>
    <t xml:space="preserve"> bany malik sectorقطاع بني مالك</t>
  </si>
  <si>
    <t>قطاع فرسان Farasan Sector</t>
  </si>
  <si>
    <t xml:space="preserve"> farasan sectorقطاع فرسان</t>
  </si>
  <si>
    <t>Southern Sector القطاع الجنوبي</t>
  </si>
  <si>
    <t xml:space="preserve">Southern Sector القطاع الجنوبي				</t>
  </si>
  <si>
    <t xml:space="preserve">مسار الاحالة </t>
  </si>
  <si>
    <t>مركز الحبجية (Al-Habjiyah Center)</t>
  </si>
  <si>
    <t>High_Risk_Master_List</t>
  </si>
  <si>
    <t xml:space="preserve"> Data Source (مصدر البيانات)قائمة اختيار</t>
  </si>
  <si>
    <t>قائمة حالة الموعد (Appointment Status)</t>
  </si>
  <si>
    <t>قائمة حالة التواصل (Communication Status)</t>
  </si>
  <si>
    <t>قائمة مستوى الخطورة (Risk Category)هذه تُستخدم في صفحة الفرز ومسار الإحالة.</t>
  </si>
  <si>
    <t>Appointment Compliance (الالتزام بالموعد)</t>
  </si>
  <si>
    <t>Attendance Flag (علم الحضور)</t>
  </si>
  <si>
    <t xml:space="preserve">ردود منسقي عيادات الحمل عالي الخطورة مستشفيات </t>
  </si>
  <si>
    <t xml:space="preserve">ردود منسقي عيادات الحمل عالي الخطورة KFCH </t>
  </si>
  <si>
    <t>risk weight</t>
  </si>
  <si>
    <t xml:space="preserve">الى </t>
  </si>
  <si>
    <t>من</t>
  </si>
  <si>
    <t>مركز الشمهانية (Al-Shamhaniyah Center)</t>
  </si>
  <si>
    <t>Risk Level</t>
  </si>
  <si>
    <t>Risk Factor</t>
  </si>
  <si>
    <t>Microsoft Forms</t>
  </si>
  <si>
    <t>Low Risk</t>
  </si>
  <si>
    <t>Not Compliant</t>
  </si>
  <si>
    <t>Absent</t>
  </si>
  <si>
    <t>Low Risk: Refer back to PHC / Peripheral</t>
  </si>
  <si>
    <t xml:space="preserve">قبلت </t>
  </si>
  <si>
    <t>high</t>
  </si>
  <si>
    <t>High</t>
  </si>
  <si>
    <t>Manual Entry</t>
  </si>
  <si>
    <t>Compliant</t>
  </si>
  <si>
    <t>Present</t>
  </si>
  <si>
    <t>High Risk: Follow up in HRP clinic</t>
  </si>
  <si>
    <t xml:space="preserve">لم تقبل </t>
  </si>
  <si>
    <t>Suspected ectopic pregnancy</t>
  </si>
  <si>
    <t>ألغت الموعد</t>
  </si>
  <si>
    <t>High Risk</t>
  </si>
  <si>
    <t>Very High Risk: Escalate to KFCH</t>
  </si>
  <si>
    <t xml:space="preserve">أخرى </t>
  </si>
  <si>
    <t>مركز اللقية (Al-Laqiyah Center)</t>
  </si>
  <si>
    <t>Suspected molar pregnancy</t>
  </si>
  <si>
    <t>ألغت الموعد لاكثر من مرة</t>
  </si>
  <si>
    <t>لا ترغب</t>
  </si>
  <si>
    <t>Central Hospital Referral</t>
  </si>
  <si>
    <t>Other (Please specify)</t>
  </si>
  <si>
    <t>مركز حاكمة (Hakimah Center)</t>
  </si>
  <si>
    <t>Advanced maternal age &gt; 40</t>
  </si>
  <si>
    <t>مركز ام الشعنون (Umm Al-Shanoun Center)</t>
  </si>
  <si>
    <t>Maternal age &lt; 16</t>
  </si>
  <si>
    <t> farasan sectorقطاع فرسان</t>
  </si>
  <si>
    <t>مركز صامطة (Samtah Center)</t>
  </si>
  <si>
    <t>BMI ≥ 35</t>
  </si>
  <si>
    <t>مركز النجامية (Al-Najamiyah Center)</t>
  </si>
  <si>
    <t>Precious pregnancy</t>
  </si>
  <si>
    <t>مركز المجنة (Al-Majnah Center)</t>
  </si>
  <si>
    <t>IVF pregnancy</t>
  </si>
  <si>
    <t>very high</t>
  </si>
  <si>
    <t>مركز الجاضع (Al-Jadiah Center)</t>
  </si>
  <si>
    <t>Substance or alcohol abuse</t>
  </si>
  <si>
    <t>مركز الحصامة (Al-Hassamah Center)</t>
  </si>
  <si>
    <t>Smoker patient</t>
  </si>
  <si>
    <t>مركز الراحه (Al-Raha Center)</t>
  </si>
  <si>
    <t>First trimester screening positive</t>
  </si>
  <si>
    <t>Perinatal infection positive</t>
  </si>
  <si>
    <t>Suspected fetal growth restriction</t>
  </si>
  <si>
    <t>مركز ابوحجر (Abu Hajer Center)</t>
  </si>
  <si>
    <t>Polyhydramnios / Oligohydramnios</t>
  </si>
  <si>
    <t>مركز الموسم (Al-Mawsem Center)</t>
  </si>
  <si>
    <t>مركز الحصمة (Al-Hasmah Center)</t>
  </si>
  <si>
    <t>مركز الجرادية (Al-Jaradiyah Center)</t>
  </si>
  <si>
    <t>Placenta previa / vasa previa</t>
  </si>
  <si>
    <t>مركز الاميرة فهده (Princess Fahda Center)</t>
  </si>
  <si>
    <t>Adnexal mass ≥ 10 cm</t>
  </si>
  <si>
    <t>Rh isoimmunization</t>
  </si>
  <si>
    <t>مركز الأحد الغربي (Western Al-Ahad Center)</t>
  </si>
  <si>
    <t>Diagnosed GDM</t>
  </si>
  <si>
    <t>مركز مجعر (Maj'ar Center)</t>
  </si>
  <si>
    <t>Blood pressure ≥ 140/90</t>
  </si>
  <si>
    <t>مركز الحضرور (Al-Hadhrour Center)</t>
  </si>
  <si>
    <t>Hemoglobin &lt; 9 g/dl</t>
  </si>
  <si>
    <t>مركز المكرمية (Al-Makramiyah Center)</t>
  </si>
  <si>
    <t>مركز الجعدية (Al-Jadiyah Center)</t>
  </si>
  <si>
    <t>Previous preterm birth &lt;34 weeks</t>
  </si>
  <si>
    <t>Previous stillbirth</t>
  </si>
  <si>
    <t>مركز شعب الذيب (Sha'b Al-Dheeb Center)</t>
  </si>
  <si>
    <t>Previous CS with interval &lt;18 months</t>
  </si>
  <si>
    <t>مركز الطوال الغربي (Western Al-Tuwal Center)</t>
  </si>
  <si>
    <t>Previous ≥2 cesarean sections</t>
  </si>
  <si>
    <t>Previous uterine surgery</t>
  </si>
  <si>
    <t>مركز صبيا (Sabya Center)</t>
  </si>
  <si>
    <t>Previous preeclampsia/eclampsia</t>
  </si>
  <si>
    <t>مركز الشقيري (Al-Shaqiri Center)</t>
  </si>
  <si>
    <t>Previous cholestasis</t>
  </si>
  <si>
    <t>مركز الحسيني (Al-Husseini Center)</t>
  </si>
  <si>
    <t>Previous VTE / PE</t>
  </si>
  <si>
    <t>مركز الحسينية (Al-Hussainiyah Center)</t>
  </si>
  <si>
    <t>Previous congenital anomaly</t>
  </si>
  <si>
    <t>Previous FGR or BW &lt; 2.5 kg</t>
  </si>
  <si>
    <t>Previous baby &gt; 4500 g</t>
  </si>
  <si>
    <t>مركز صبيا الجديدة (New Sabya Center)</t>
  </si>
  <si>
    <t>History of placenta accreta spectrum</t>
  </si>
  <si>
    <t>مركز العدايا (Al-Adaya Center)</t>
  </si>
  <si>
    <t>History of ICU admission</t>
  </si>
  <si>
    <t>مركز خضيرة (Khadirah Center)</t>
  </si>
  <si>
    <t>History of genetic/metabolic lethal disease</t>
  </si>
  <si>
    <t>مركز الفقرة (Al-Faqrah Center)</t>
  </si>
  <si>
    <t>DM Type I</t>
  </si>
  <si>
    <t>DM Type II</t>
  </si>
  <si>
    <t>مركز ابو القعائد (Abu Al-Qaed Center)</t>
  </si>
  <si>
    <t>Pulmonary arterial hypertension</t>
  </si>
  <si>
    <t>مركز القوز (Al-Qouz Center)</t>
  </si>
  <si>
    <t>Cardiomyopathy</t>
  </si>
  <si>
    <t>مركز ضمد الجنوبي (Southern Dhamad Center)</t>
  </si>
  <si>
    <t>Previous peripartum cardiomyopathy</t>
  </si>
  <si>
    <t>مركز جريبة (Juraibah Center)</t>
  </si>
  <si>
    <t>Arrhythmias</t>
  </si>
  <si>
    <t>مركز الباحر (Al-Baher Center)</t>
  </si>
  <si>
    <t>Ischemic heart disease</t>
  </si>
  <si>
    <t>مركزالعزيين (Al-Azayeen Center)</t>
  </si>
  <si>
    <t>Coronary artery disease</t>
  </si>
  <si>
    <t>مركز الغمار (Al-Ghamar Center)</t>
  </si>
  <si>
    <t>Moderate–severe mitral stenosis</t>
  </si>
  <si>
    <t>مركز الخالدية (Al-Khalidiyah Center)</t>
  </si>
  <si>
    <t>Moderate–severe aortic stenosis</t>
  </si>
  <si>
    <t>مركز الملحاء (Al-Malha Center)</t>
  </si>
  <si>
    <t>EF ≤ 45%</t>
  </si>
  <si>
    <t>مركز الغراء (Al-Ghara Center)</t>
  </si>
  <si>
    <t>SLE</t>
  </si>
  <si>
    <t>مركز منجد (Munajid Center)</t>
  </si>
  <si>
    <t>Rheumatoid arthritis</t>
  </si>
  <si>
    <t>مركز ابو السلع (Abu Al-Sala Center)</t>
  </si>
  <si>
    <t>Sjogren syndrome</t>
  </si>
  <si>
    <t>مركز رمايد الهياج (Ramaid Al-Hayaj Center)</t>
  </si>
  <si>
    <t>Mixed connective tissue disease</t>
  </si>
  <si>
    <t>مركز الزبارة (Al-Zubarah Center)</t>
  </si>
  <si>
    <t>Systemic sclerosis</t>
  </si>
  <si>
    <t>مركز الحمى (Al-Hama Center)</t>
  </si>
  <si>
    <t>Sickle cell anemia</t>
  </si>
  <si>
    <t>مركز المشلحة (Al-Mashlahah Center)</t>
  </si>
  <si>
    <t>Thalassemia major</t>
  </si>
  <si>
    <t>ITP</t>
  </si>
  <si>
    <t>مركز الظبية (Al-Dhabyah Center)</t>
  </si>
  <si>
    <t>TTP</t>
  </si>
  <si>
    <t>Congenital thrombocytopenia</t>
  </si>
  <si>
    <t>مركز عياش (Ayash Center)</t>
  </si>
  <si>
    <t>Hematological malignancies</t>
  </si>
  <si>
    <t>مركز الحميراء (Al-Hamaira Center)</t>
  </si>
  <si>
    <t>Autoimmune hepatitis</t>
  </si>
  <si>
    <t>Active viral hepatitis</t>
  </si>
  <si>
    <t>مركز خضيرة عياش (Khadirah Ayash Center)</t>
  </si>
  <si>
    <t>Liver transplant</t>
  </si>
  <si>
    <t>Crohn disease</t>
  </si>
  <si>
    <t>مركز القرعة (Al-Qar'ah Center)</t>
  </si>
  <si>
    <t>Ulcerative colitis</t>
  </si>
  <si>
    <t>Cancer (before or during pregnancy)</t>
  </si>
  <si>
    <t>Complex mental health disorder</t>
  </si>
  <si>
    <t>مركز بطحان (Bathan Center)</t>
  </si>
  <si>
    <t>Epilepsy</t>
  </si>
  <si>
    <t>مركز شرقي ورقة (Eastern Waraqah Center)</t>
  </si>
  <si>
    <t>Multiple sclerosis</t>
  </si>
  <si>
    <t>مركز ابو عريش الجنوبي (Southern Abu Arish Center)</t>
  </si>
  <si>
    <t>Myasthenia gravis</t>
  </si>
  <si>
    <t>مركز البيض (Al-Bayd Center)</t>
  </si>
  <si>
    <t>Stroke</t>
  </si>
  <si>
    <t>مركز الدقيقة (Al-Daqiqah Center)</t>
  </si>
  <si>
    <t>Uncontrolled bronchial asthma</t>
  </si>
  <si>
    <t>Tuberculosis</t>
  </si>
  <si>
    <t>مركز السد (Al-Sadd Center)</t>
  </si>
  <si>
    <t>Hyperthyroidism / Graves</t>
  </si>
  <si>
    <t>مركز البديع والقرفي (Al-Badea &amp; Al-Qurafi Center)</t>
  </si>
  <si>
    <t>Hyperparathyroidism</t>
  </si>
  <si>
    <t>مركز المجصص (Al-Majassas Center)</t>
  </si>
  <si>
    <t>Adrenal insufficiency / Addison</t>
  </si>
  <si>
    <t>مركز الإسكان (Al-Iskan Center)</t>
  </si>
  <si>
    <t>Chronic kidney disease</t>
  </si>
  <si>
    <t>مركز العارضة (Al-Aradah Center)</t>
  </si>
  <si>
    <t>IgA nephropathy</t>
  </si>
  <si>
    <t>مركز الغربي (Al-Gharbi Center)</t>
  </si>
  <si>
    <t>Nephrotic syndrome</t>
  </si>
  <si>
    <t>مركز الحنبكة (Al-Hanbakah Center)</t>
  </si>
  <si>
    <t>Chronic proteinuria</t>
  </si>
  <si>
    <t>مركز الودافة (Al-Wudafah Center)</t>
  </si>
  <si>
    <t>ESRD on dialysis</t>
  </si>
  <si>
    <t>مركز الخزنة (Al-Khuznah Center)</t>
  </si>
  <si>
    <t>Renal transplant</t>
  </si>
  <si>
    <t>مركز البقعة (Al-Buq'ah Center)</t>
  </si>
  <si>
    <t>HIV</t>
  </si>
  <si>
    <t>مركز معتق العصم (Mu'taq Al-Asam Center)</t>
  </si>
  <si>
    <t>Syphilis</t>
  </si>
  <si>
    <t>مركز أم الدود (Umm Al-Dud Center)</t>
  </si>
  <si>
    <t>Herpes</t>
  </si>
  <si>
    <t>مركز الغريب (Al-Ghareeb Center)</t>
  </si>
  <si>
    <t>Other significant infections</t>
  </si>
  <si>
    <t>Warfarin use</t>
  </si>
  <si>
    <t>حاكمة ابي عريش (Hakimat Abu Arish Center)</t>
  </si>
  <si>
    <t>Isotretinoin use</t>
  </si>
  <si>
    <t>مركز سحار (Sahar Center)</t>
  </si>
  <si>
    <t>Methotrexate use</t>
  </si>
  <si>
    <t>Mycophenolate mofetil use</t>
  </si>
  <si>
    <t>مركز الحقو (Al-Haqou Center)</t>
  </si>
  <si>
    <t>مركز منشبة (Manshabah Center)</t>
  </si>
  <si>
    <t>Controlled DM</t>
  </si>
  <si>
    <t>مركز مقزع (Maqzaa Center)</t>
  </si>
  <si>
    <t>Controlled HTN</t>
  </si>
  <si>
    <t>مركز بيش الجنوبي (Southern Baish Center)</t>
  </si>
  <si>
    <t>Controlled thyroid disorders</t>
  </si>
  <si>
    <t>مركز الجبل الاسود (Al-Jabal Al-Aswad Center)</t>
  </si>
  <si>
    <t>Controlled bronchial asthma</t>
  </si>
  <si>
    <t>مركز قريه بيش (Qaryat Baish Center)</t>
  </si>
  <si>
    <t>Sickle cell trait</t>
  </si>
  <si>
    <t>مركز السلامة (Al-Salamah Center)</t>
  </si>
  <si>
    <t>Mild hereditary anemia</t>
  </si>
  <si>
    <t>مركز القوام (Al-Qawam Center)</t>
  </si>
  <si>
    <t>Controlled depression/anxiety</t>
  </si>
  <si>
    <t>مركز وادي عمود (Wadi Amoud Center)</t>
  </si>
  <si>
    <t>Controlled GDM</t>
  </si>
  <si>
    <t>Controlled PIH</t>
  </si>
  <si>
    <t>مركز الخلاوية (Al-Khalawiyah Center)</t>
  </si>
  <si>
    <t>Controlled PET</t>
  </si>
  <si>
    <t>مركز المحلة (Al-Mahalah Center)</t>
  </si>
  <si>
    <t>Iron deficiency anemia</t>
  </si>
  <si>
    <t>مركز ابوالسداد (Abu Al-Sadad Center)</t>
  </si>
  <si>
    <t>History of GDM</t>
  </si>
  <si>
    <t>مركز عتود (Atoud Center)</t>
  </si>
  <si>
    <t>History of PET</t>
  </si>
  <si>
    <t>مركز قائم الدش (Qaim Al-Dash Center)</t>
  </si>
  <si>
    <t>History of PIH</t>
  </si>
  <si>
    <t>مركز المطعن (Al-Mat'an Center)</t>
  </si>
  <si>
    <t>Grand multiparity (≥5)</t>
  </si>
  <si>
    <t>مركز الفطيحه (Al-Fateehah Center)</t>
  </si>
  <si>
    <t>مركز مسلية (Masliyah Center)</t>
  </si>
  <si>
    <t xml:space="preserve">very high </t>
  </si>
  <si>
    <t>مركز الشقيق (Al-Shuqaiq Center)</t>
  </si>
  <si>
    <t>Fetus with congenital anomaly</t>
  </si>
  <si>
    <t>مركز الدرب (Al-Darb Center)</t>
  </si>
  <si>
    <t>Severe fetal growth restriction</t>
  </si>
  <si>
    <t>مركز العشة (Al-Ashah Center)</t>
  </si>
  <si>
    <t>Placenta accreta / increta / percreta</t>
  </si>
  <si>
    <t>مركز العالية (Al-Aliyah Center)</t>
  </si>
  <si>
    <t>Monochorionic twins (MCDA / MCMA)</t>
  </si>
  <si>
    <t>Isoimmunization with positive antibodies</t>
  </si>
  <si>
    <t>Cancer (any type)</t>
  </si>
  <si>
    <t>Complicated medical case not manageable peripherally</t>
  </si>
  <si>
    <t>مركز الجبل (Al-Jabal Center)</t>
  </si>
  <si>
    <t>مركز المرابي (Al-Marabi Center)</t>
  </si>
  <si>
    <t>مركز حقو فيفاء (Haqou Fifa Center)</t>
  </si>
  <si>
    <t>مركز حجن بني مشيخ (Hajn Bani Mshikh Center)</t>
  </si>
  <si>
    <t>مركز فيفاء (Fifa Center)</t>
  </si>
  <si>
    <t>بقعه العذر (Baqa'a Al-Odhur Center)</t>
  </si>
  <si>
    <t>مركز الجوة (Al-Jawah Center)</t>
  </si>
  <si>
    <t>مركز مروح (Marwah Center)</t>
  </si>
  <si>
    <t>مركز نيد الضالع (Nid Al-Dhala Center)</t>
  </si>
  <si>
    <t>مركز ريع مصيدة (Ray' Masidah Center)</t>
  </si>
  <si>
    <t>مركز الخشعة (Al-Khasha'a Center)</t>
  </si>
  <si>
    <t>مركز ريدان (Ridan Center)</t>
  </si>
  <si>
    <t>مركز عثوان (Athwan Center)</t>
  </si>
  <si>
    <t>مركز خاشر (Khashir Center)</t>
  </si>
  <si>
    <t>مركز آل يحيى (Al-Yahya Center)</t>
  </si>
  <si>
    <t>مركز القاعه (Al-Qa'ah Center)</t>
  </si>
  <si>
    <t>مركز آل محمد (Al-Mohammed Center)</t>
  </si>
  <si>
    <t>مركز بني مالك (Bani Malik Center)</t>
  </si>
  <si>
    <t>مركز السلف (Al-Salaf Center)</t>
  </si>
  <si>
    <t>مركز آل سلمى (Al-Salma Center)</t>
  </si>
  <si>
    <t>مركز جبال الحشر (Jabal Al-Hashr Center)</t>
  </si>
  <si>
    <t>مركز العزة (Al-Ezzah Center)</t>
  </si>
  <si>
    <t>مركز السقيد (Al-Saqid Center)</t>
  </si>
  <si>
    <t>📊 لوحة مؤشرات الأداء (KPIs) - مشروع تحسين مسار الحمل عالي الخطورة - تجمع جازان الصحي 2026</t>
  </si>
  <si>
    <t>📈 KPI 1: عدد الحوامل ذوات الحمل عالي الخطورة المسجلات والمحولات</t>
  </si>
  <si>
    <t>🎯 ملخص المؤشرات الرئيسية</t>
  </si>
  <si>
    <t>📈 تطور النسب شهرياً</t>
  </si>
  <si>
    <t>الشهر</t>
  </si>
  <si>
    <t>المسجلات</t>
  </si>
  <si>
    <t>المحولات</t>
  </si>
  <si>
    <t>نسبة التحويل %</t>
  </si>
  <si>
    <t>VTE عالي</t>
  </si>
  <si>
    <t>بدون علاج</t>
  </si>
  <si>
    <t>يناير</t>
  </si>
  <si>
    <t>📊 إجمالي المسجلات</t>
  </si>
  <si>
    <t>🏥 المحولات</t>
  </si>
  <si>
    <t>📈 نسبة التحويل</t>
  </si>
  <si>
    <t>⏱️ نسبة الالتزام</t>
  </si>
  <si>
    <t>📋 نسبة الحضور</t>
  </si>
  <si>
    <t>فبراير</t>
  </si>
  <si>
    <t>مارس</t>
  </si>
  <si>
    <t>أبريل</t>
  </si>
  <si>
    <t>💡 ملاحظات مهمة:</t>
  </si>
  <si>
    <t>مايو</t>
  </si>
  <si>
    <t>• البيانات تتحدث تلقائياً من ورقة البيانات</t>
  </si>
  <si>
    <t>يونيو</t>
  </si>
  <si>
    <t>• الالتزام = حجز الموعد خلال يومين عمل</t>
  </si>
  <si>
    <t>يوليو</t>
  </si>
  <si>
    <t>• الجمعة والسبت مستثناة من أيام العمل</t>
  </si>
  <si>
    <t>أغسطس</t>
  </si>
  <si>
    <t>• نسبة الحضور تحسب من الحالات المؤكدة</t>
  </si>
  <si>
    <t>سبتمبر</t>
  </si>
  <si>
    <t>• VTE = خطورة الجلطات الوريدية</t>
  </si>
  <si>
    <t>أكتوبر</t>
  </si>
  <si>
    <t>نوفمبر</t>
  </si>
  <si>
    <t>ديسمبر</t>
  </si>
  <si>
    <t>📊 الإجمالي السنوي</t>
  </si>
  <si>
    <t>⏱️ KPI 2: مؤشر الالتزام (حجز الموعد خلال يومين عمل)</t>
  </si>
  <si>
    <t>نسبة الالتزام %</t>
  </si>
  <si>
    <t>📊 توزيع حالات VTE</t>
  </si>
  <si>
    <t>📋 KPI 3: مؤشر الحضور للمواعيد</t>
  </si>
  <si>
    <t>✅ حضرت</t>
  </si>
  <si>
    <t>❌ لم تحضر</t>
  </si>
  <si>
    <t>نسبة الحضور %</t>
  </si>
  <si>
    <t>📊 ملخص الأداء السنوي الشامل</t>
  </si>
  <si>
    <t>الفعلي</t>
  </si>
  <si>
    <t>الفرق</t>
  </si>
  <si>
    <t>نسبة الإنجاز %</t>
  </si>
  <si>
    <t>نسبة التحويل للمستشفيات</t>
  </si>
  <si>
    <t>نسبة الالتزام بالمواعيد</t>
  </si>
  <si>
    <t>نسبة الحضور للمواعيد</t>
  </si>
  <si>
    <t>نسبة وصف Enoxaparin لـ VTE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</si>
</sst>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2000401]0"/>
    <numFmt numFmtId="166" formatCode="yyyy\-mm\-dd"/>
    <numFmt numFmtId="167" formatCode="m/d/yyyy;;"/>
  </numFmts>
  <fonts count="50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rgb="FF212121"/>
      <name val="Arial"/>
      <family val="2"/>
      <scheme val="minor"/>
    </font>
    <font>
      <sz val="12"/>
      <color rgb="FF212121"/>
      <name val="RobotoDraft"/>
      <charset val="1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24"/>
      <color rgb="FFFFFFFF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1"/>
      <name val="Segoe UI"/>
      <family val="2"/>
    </font>
    <font>
      <sz val="14"/>
      <color rgb="FF242424"/>
      <name val="Segoe UI"/>
      <family val="2"/>
    </font>
    <font>
      <b/>
      <sz val="11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sz val="11"/>
      <color rgb="FF242424"/>
      <name val="Segoe UI"/>
      <family val="2"/>
    </font>
    <font>
      <b/>
      <sz val="20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sz val="9"/>
      <color rgb="FF8B0000"/>
      <name val="Arial"/>
      <family val="2"/>
      <scheme val="minor"/>
    </font>
    <font>
      <b/>
      <sz val="22"/>
      <color theme="0"/>
      <name val="Arial"/>
      <family val="2"/>
      <scheme val="minor"/>
    </font>
    <font>
      <i/>
      <sz val="11"/>
      <color rgb="FF666666"/>
      <name val="Arial"/>
      <family val="2"/>
      <scheme val="minor"/>
    </font>
    <font>
      <sz val="11"/>
      <color rgb="FF666666"/>
      <name val="Arial"/>
      <family val="2"/>
      <scheme val="minor"/>
    </font>
    <font>
      <b/>
      <sz val="18"/>
      <name val="Arial"/>
      <family val="2"/>
      <scheme val="minor"/>
    </font>
    <font>
      <sz val="11"/>
      <name val="Arial"/>
      <family val="2"/>
      <charset val="178"/>
      <scheme val="minor"/>
    </font>
    <font>
      <b/>
      <sz val="11"/>
      <color rgb="FFFFFFFF"/>
      <name val="Arial"/>
      <family val="2"/>
    </font>
    <font>
      <i/>
      <sz val="10"/>
      <color rgb="FF2E7D32"/>
      <name val="Consolas"/>
      <family val="3"/>
    </font>
    <font>
      <sz val="10"/>
      <color rgb="FF2E7D32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3"/>
      <color rgb="FFFFFFFF"/>
      <name val="Arial"/>
      <family val="2"/>
      <scheme val="minor"/>
    </font>
    <font>
      <i/>
      <sz val="9"/>
      <color rgb="FF666666"/>
      <name val="Arial"/>
      <family val="2"/>
      <scheme val="minor"/>
    </font>
    <font>
      <b/>
      <sz val="14"/>
      <color rgb="FFFFFFFF"/>
      <name val="Aptos"/>
      <family val="2"/>
    </font>
    <font>
      <sz val="11"/>
      <color theme="2" tint="-9.9978637043366805E-2"/>
      <name val="Arial"/>
      <family val="2"/>
      <scheme val="minor"/>
    </font>
    <font>
      <sz val="8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28"/>
      <color rgb="FF1F4E79"/>
      <name val="Arial"/>
      <family val="2"/>
      <scheme val="minor"/>
    </font>
    <font>
      <b/>
      <sz val="28"/>
      <color rgb="FF2E75B6"/>
      <name val="Arial"/>
      <family val="2"/>
      <scheme val="minor"/>
    </font>
    <font>
      <b/>
      <sz val="28"/>
      <color rgb="FF538135"/>
      <name val="Arial"/>
      <family val="2"/>
      <scheme val="minor"/>
    </font>
    <font>
      <b/>
      <sz val="28"/>
      <color rgb="FFC65911"/>
      <name val="Arial"/>
      <family val="2"/>
      <scheme val="minor"/>
    </font>
    <font>
      <b/>
      <sz val="28"/>
      <color rgb="FF7030A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006400"/>
      <name val="Arial"/>
      <family val="2"/>
      <scheme val="minor"/>
    </font>
    <font>
      <i/>
      <sz val="10"/>
      <color rgb="FF666666"/>
      <name val="Arial"/>
      <family val="2"/>
      <scheme val="minor"/>
    </font>
    <font>
      <b/>
      <sz val="11"/>
      <color rgb="FFCC0000"/>
      <name val="Arial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424242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8BBD9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C5CAE9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A0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0B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D1F2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CC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C8E6C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 wrapText="1"/>
    </xf>
    <xf numFmtId="49" fontId="0" fillId="0" borderId="0" xfId="0" quotePrefix="1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quotePrefix="1" applyNumberFormat="1" applyAlignment="1">
      <alignment wrapText="1"/>
    </xf>
    <xf numFmtId="14" fontId="0" fillId="0" borderId="0" xfId="0" quotePrefix="1" applyNumberFormat="1" applyAlignment="1">
      <alignment horizontal="left" vertical="center" wrapText="1"/>
    </xf>
    <xf numFmtId="0" fontId="2" fillId="0" borderId="0" xfId="0" applyFont="1"/>
    <xf numFmtId="165" fontId="0" fillId="0" borderId="0" xfId="0" applyNumberFormat="1" applyAlignment="1">
      <alignment horizontal="left" wrapText="1"/>
    </xf>
    <xf numFmtId="165" fontId="0" fillId="0" borderId="0" xfId="0" quotePrefix="1" applyNumberFormat="1" applyAlignment="1">
      <alignment horizontal="left" wrapText="1"/>
    </xf>
    <xf numFmtId="0" fontId="0" fillId="0" borderId="0" xfId="0" applyAlignment="1">
      <alignment horizontal="left" wrapText="1"/>
    </xf>
    <xf numFmtId="14" fontId="0" fillId="0" borderId="0" xfId="0" quotePrefix="1" applyNumberFormat="1" applyAlignment="1">
      <alignment horizontal="left" wrapText="1"/>
    </xf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3" borderId="0" xfId="0" applyFont="1" applyFill="1"/>
    <xf numFmtId="0" fontId="6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13" fillId="0" borderId="0" xfId="0" applyFont="1"/>
    <xf numFmtId="0" fontId="15" fillId="0" borderId="0" xfId="0" applyFont="1"/>
    <xf numFmtId="0" fontId="1" fillId="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16" fillId="15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5" fillId="16" borderId="0" xfId="0" applyFont="1" applyFill="1" applyAlignment="1">
      <alignment horizontal="right"/>
    </xf>
    <xf numFmtId="0" fontId="5" fillId="16" borderId="0" xfId="0" applyFont="1" applyFill="1" applyAlignment="1">
      <alignment horizontal="center"/>
    </xf>
    <xf numFmtId="0" fontId="5" fillId="17" borderId="0" xfId="0" applyFont="1" applyFill="1"/>
    <xf numFmtId="0" fontId="7" fillId="19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9" fillId="0" borderId="1" xfId="0" applyFont="1" applyBorder="1" applyAlignment="1">
      <alignment vertical="center" wrapText="1"/>
    </xf>
    <xf numFmtId="0" fontId="1" fillId="21" borderId="0" xfId="0" applyFont="1" applyFill="1"/>
    <xf numFmtId="0" fontId="22" fillId="0" borderId="0" xfId="0" applyFont="1" applyAlignment="1">
      <alignment horizontal="right" vertical="center" wrapText="1"/>
    </xf>
    <xf numFmtId="0" fontId="23" fillId="18" borderId="0" xfId="0" applyFont="1" applyFill="1" applyAlignment="1">
      <alignment wrapText="1"/>
    </xf>
    <xf numFmtId="0" fontId="0" fillId="18" borderId="0" xfId="0" applyFill="1"/>
    <xf numFmtId="0" fontId="20" fillId="18" borderId="0" xfId="0" applyFont="1" applyFill="1" applyAlignment="1">
      <alignment horizontal="center" vertical="center" textRotation="180" wrapText="1"/>
    </xf>
    <xf numFmtId="0" fontId="1" fillId="22" borderId="0" xfId="0" applyFont="1" applyFill="1"/>
    <xf numFmtId="0" fontId="1" fillId="29" borderId="0" xfId="0" applyFont="1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25" fillId="0" borderId="0" xfId="0" applyFont="1"/>
    <xf numFmtId="0" fontId="17" fillId="18" borderId="5" xfId="0" applyFont="1" applyFill="1" applyBorder="1" applyAlignment="1">
      <alignment wrapText="1"/>
    </xf>
    <xf numFmtId="0" fontId="5" fillId="20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39" borderId="5" xfId="0" applyFont="1" applyFill="1" applyBorder="1" applyAlignment="1">
      <alignment wrapText="1"/>
    </xf>
    <xf numFmtId="0" fontId="20" fillId="6" borderId="5" xfId="0" applyFont="1" applyFill="1" applyBorder="1" applyAlignment="1">
      <alignment wrapText="1"/>
    </xf>
    <xf numFmtId="0" fontId="20" fillId="6" borderId="6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41" borderId="0" xfId="0" applyFont="1" applyFill="1" applyAlignment="1">
      <alignment horizontal="center"/>
    </xf>
    <xf numFmtId="0" fontId="0" fillId="42" borderId="0" xfId="0" applyFill="1" applyAlignment="1">
      <alignment horizontal="right"/>
    </xf>
    <xf numFmtId="0" fontId="0" fillId="43" borderId="0" xfId="0" applyFill="1" applyAlignment="1">
      <alignment horizontal="right"/>
    </xf>
    <xf numFmtId="0" fontId="0" fillId="44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6" borderId="0" xfId="0" applyFont="1" applyFill="1" applyAlignment="1">
      <alignment horizontal="center"/>
    </xf>
    <xf numFmtId="0" fontId="34" fillId="46" borderId="0" xfId="0" applyFont="1" applyFill="1" applyAlignment="1">
      <alignment horizontal="center"/>
    </xf>
    <xf numFmtId="0" fontId="5" fillId="47" borderId="0" xfId="0" applyFont="1" applyFill="1" applyAlignment="1">
      <alignment horizontal="center"/>
    </xf>
    <xf numFmtId="0" fontId="34" fillId="47" borderId="0" xfId="0" applyFont="1" applyFill="1" applyAlignment="1">
      <alignment horizontal="center"/>
    </xf>
    <xf numFmtId="0" fontId="5" fillId="48" borderId="0" xfId="0" applyFont="1" applyFill="1" applyAlignment="1">
      <alignment horizontal="center"/>
    </xf>
    <xf numFmtId="0" fontId="34" fillId="48" borderId="0" xfId="0" applyFont="1" applyFill="1" applyAlignment="1">
      <alignment horizontal="center"/>
    </xf>
    <xf numFmtId="0" fontId="5" fillId="49" borderId="0" xfId="0" applyFont="1" applyFill="1" applyAlignment="1">
      <alignment horizontal="center"/>
    </xf>
    <xf numFmtId="0" fontId="34" fillId="49" borderId="0" xfId="0" applyFont="1" applyFill="1" applyAlignment="1">
      <alignment horizontal="center"/>
    </xf>
    <xf numFmtId="0" fontId="5" fillId="50" borderId="0" xfId="0" applyFont="1" applyFill="1" applyAlignment="1">
      <alignment horizontal="center"/>
    </xf>
    <xf numFmtId="0" fontId="34" fillId="50" borderId="0" xfId="0" applyFont="1" applyFill="1" applyAlignment="1">
      <alignment horizontal="center"/>
    </xf>
    <xf numFmtId="0" fontId="5" fillId="30" borderId="0" xfId="0" applyFont="1" applyFill="1" applyAlignment="1">
      <alignment horizontal="center"/>
    </xf>
    <xf numFmtId="0" fontId="34" fillId="30" borderId="0" xfId="0" applyFont="1" applyFill="1" applyAlignment="1">
      <alignment horizontal="center"/>
    </xf>
    <xf numFmtId="0" fontId="5" fillId="51" borderId="0" xfId="0" applyFont="1" applyFill="1"/>
    <xf numFmtId="0" fontId="0" fillId="0" borderId="0" xfId="0" applyAlignment="1">
      <alignment horizontal="right"/>
    </xf>
    <xf numFmtId="0" fontId="5" fillId="30" borderId="0" xfId="0" applyFont="1" applyFill="1"/>
    <xf numFmtId="0" fontId="0" fillId="47" borderId="0" xfId="0" applyFill="1" applyAlignment="1">
      <alignment horizontal="right"/>
    </xf>
    <xf numFmtId="0" fontId="0" fillId="47" borderId="0" xfId="0" applyFill="1" applyAlignment="1">
      <alignment horizontal="center"/>
    </xf>
    <xf numFmtId="9" fontId="0" fillId="47" borderId="0" xfId="0" applyNumberFormat="1" applyFill="1" applyAlignment="1">
      <alignment horizontal="center"/>
    </xf>
    <xf numFmtId="0" fontId="0" fillId="48" borderId="0" xfId="0" applyFill="1" applyAlignment="1">
      <alignment horizontal="right"/>
    </xf>
    <xf numFmtId="0" fontId="0" fillId="48" borderId="0" xfId="0" applyFill="1" applyAlignment="1">
      <alignment horizontal="center"/>
    </xf>
    <xf numFmtId="9" fontId="0" fillId="48" borderId="0" xfId="0" applyNumberFormat="1" applyFill="1" applyAlignment="1">
      <alignment horizontal="center"/>
    </xf>
    <xf numFmtId="0" fontId="0" fillId="53" borderId="0" xfId="0" applyFill="1" applyAlignment="1">
      <alignment horizontal="right"/>
    </xf>
    <xf numFmtId="0" fontId="0" fillId="53" borderId="0" xfId="0" applyFill="1" applyAlignment="1">
      <alignment horizontal="center"/>
    </xf>
    <xf numFmtId="9" fontId="0" fillId="53" borderId="0" xfId="0" applyNumberFormat="1" applyFill="1" applyAlignment="1">
      <alignment horizontal="center"/>
    </xf>
    <xf numFmtId="0" fontId="0" fillId="49" borderId="0" xfId="0" applyFill="1" applyAlignment="1">
      <alignment horizontal="right"/>
    </xf>
    <xf numFmtId="0" fontId="0" fillId="49" borderId="0" xfId="0" applyFill="1" applyAlignment="1">
      <alignment horizontal="center"/>
    </xf>
    <xf numFmtId="9" fontId="0" fillId="49" borderId="0" xfId="0" applyNumberFormat="1" applyFill="1" applyAlignment="1">
      <alignment horizontal="center"/>
    </xf>
    <xf numFmtId="0" fontId="5" fillId="49" borderId="0" xfId="0" applyFont="1" applyFill="1"/>
    <xf numFmtId="0" fontId="0" fillId="49" borderId="0" xfId="0" applyFill="1"/>
    <xf numFmtId="0" fontId="5" fillId="35" borderId="0" xfId="0" applyFont="1" applyFill="1"/>
    <xf numFmtId="0" fontId="0" fillId="56" borderId="0" xfId="0" applyFill="1" applyAlignment="1">
      <alignment horizontal="right"/>
    </xf>
    <xf numFmtId="0" fontId="0" fillId="56" borderId="0" xfId="0" applyFill="1" applyAlignment="1">
      <alignment horizontal="center"/>
    </xf>
    <xf numFmtId="9" fontId="0" fillId="56" borderId="0" xfId="0" applyNumberFormat="1" applyFill="1" applyAlignment="1">
      <alignment horizontal="center"/>
    </xf>
    <xf numFmtId="0" fontId="0" fillId="47" borderId="0" xfId="0" applyFill="1"/>
    <xf numFmtId="0" fontId="0" fillId="48" borderId="0" xfId="0" applyFill="1"/>
    <xf numFmtId="0" fontId="0" fillId="46" borderId="0" xfId="0" applyFill="1"/>
    <xf numFmtId="0" fontId="13" fillId="56" borderId="0" xfId="0" applyFont="1" applyFill="1"/>
    <xf numFmtId="0" fontId="20" fillId="18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59" borderId="10" xfId="0" quotePrefix="1" applyFill="1" applyBorder="1" applyAlignment="1">
      <alignment horizontal="left" wrapText="1"/>
    </xf>
    <xf numFmtId="0" fontId="0" fillId="59" borderId="11" xfId="0" applyFill="1" applyBorder="1"/>
    <xf numFmtId="22" fontId="0" fillId="59" borderId="10" xfId="0" applyNumberFormat="1" applyFill="1" applyBorder="1"/>
    <xf numFmtId="0" fontId="0" fillId="59" borderId="10" xfId="0" applyFill="1" applyBorder="1"/>
    <xf numFmtId="0" fontId="0" fillId="0" borderId="11" xfId="0" applyBorder="1"/>
    <xf numFmtId="22" fontId="0" fillId="0" borderId="10" xfId="0" applyNumberFormat="1" applyBorder="1"/>
    <xf numFmtId="0" fontId="0" fillId="0" borderId="10" xfId="0" applyBorder="1"/>
    <xf numFmtId="49" fontId="0" fillId="0" borderId="10" xfId="0" applyNumberFormat="1" applyBorder="1"/>
    <xf numFmtId="49" fontId="0" fillId="59" borderId="10" xfId="0" applyNumberFormat="1" applyFill="1" applyBorder="1"/>
    <xf numFmtId="14" fontId="0" fillId="59" borderId="10" xfId="0" applyNumberFormat="1" applyFill="1" applyBorder="1"/>
    <xf numFmtId="14" fontId="0" fillId="0" borderId="10" xfId="0" applyNumberFormat="1" applyBorder="1"/>
    <xf numFmtId="0" fontId="0" fillId="59" borderId="10" xfId="0" quotePrefix="1" applyFill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0" fillId="0" borderId="10" xfId="0" applyBorder="1" applyAlignment="1">
      <alignment horizontal="left"/>
    </xf>
    <xf numFmtId="0" fontId="0" fillId="59" borderId="10" xfId="0" applyFill="1" applyBorder="1" applyAlignment="1">
      <alignment horizontal="left"/>
    </xf>
    <xf numFmtId="0" fontId="0" fillId="59" borderId="10" xfId="0" quotePrefix="1" applyFill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59" borderId="10" xfId="0" applyFill="1" applyBorder="1" applyAlignment="1">
      <alignment horizontal="center"/>
    </xf>
    <xf numFmtId="0" fontId="0" fillId="59" borderId="10" xfId="0" quotePrefix="1" applyFill="1" applyBorder="1" applyAlignment="1">
      <alignment horizontal="left" vertical="center" wrapText="1"/>
    </xf>
    <xf numFmtId="0" fontId="0" fillId="0" borderId="10" xfId="0" quotePrefix="1" applyBorder="1" applyAlignment="1">
      <alignment horizontal="left" vertical="center" wrapText="1"/>
    </xf>
    <xf numFmtId="14" fontId="0" fillId="59" borderId="10" xfId="0" applyNumberFormat="1" applyFill="1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59" borderId="10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quotePrefix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59" borderId="10" xfId="0" applyFill="1" applyBorder="1" applyAlignment="1">
      <alignment horizontal="left" wrapText="1"/>
    </xf>
    <xf numFmtId="14" fontId="0" fillId="59" borderId="10" xfId="0" applyNumberFormat="1" applyFill="1" applyBorder="1" applyAlignment="1">
      <alignment horizontal="left"/>
    </xf>
    <xf numFmtId="0" fontId="0" fillId="59" borderId="10" xfId="0" applyFill="1" applyBorder="1" applyAlignment="1">
      <alignment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59" borderId="10" xfId="0" applyNumberFormat="1" applyFill="1" applyBorder="1" applyAlignment="1">
      <alignment wrapText="1"/>
    </xf>
    <xf numFmtId="49" fontId="0" fillId="59" borderId="10" xfId="0" quotePrefix="1" applyNumberFormat="1" applyFill="1" applyBorder="1" applyAlignment="1">
      <alignment wrapText="1"/>
    </xf>
    <xf numFmtId="49" fontId="0" fillId="14" borderId="10" xfId="0" applyNumberFormat="1" applyFill="1" applyBorder="1"/>
    <xf numFmtId="165" fontId="0" fillId="59" borderId="10" xfId="0" quotePrefix="1" applyNumberFormat="1" applyFill="1" applyBorder="1" applyAlignment="1">
      <alignment horizontal="left"/>
    </xf>
    <xf numFmtId="0" fontId="0" fillId="59" borderId="10" xfId="0" quotePrefix="1" applyFill="1" applyBorder="1"/>
    <xf numFmtId="0" fontId="0" fillId="0" borderId="10" xfId="0" quotePrefix="1" applyBorder="1"/>
    <xf numFmtId="0" fontId="0" fillId="0" borderId="10" xfId="0" quotePrefix="1" applyBorder="1" applyAlignment="1">
      <alignment wrapText="1"/>
    </xf>
    <xf numFmtId="0" fontId="0" fillId="59" borderId="10" xfId="0" quotePrefix="1" applyFill="1" applyBorder="1" applyAlignment="1">
      <alignment wrapText="1"/>
    </xf>
    <xf numFmtId="0" fontId="5" fillId="60" borderId="1" xfId="0" applyFont="1" applyFill="1" applyBorder="1"/>
    <xf numFmtId="0" fontId="0" fillId="0" borderId="1" xfId="0" applyBorder="1"/>
    <xf numFmtId="0" fontId="0" fillId="16" borderId="1" xfId="0" applyFill="1" applyBorder="1"/>
    <xf numFmtId="0" fontId="5" fillId="62" borderId="1" xfId="0" applyFont="1" applyFill="1" applyBorder="1"/>
    <xf numFmtId="0" fontId="0" fillId="0" borderId="0" xfId="0"/>
    <xf numFmtId="0" fontId="0" fillId="16" borderId="0" xfId="0" applyFill="1"/>
    <xf numFmtId="166" fontId="0" fillId="0" borderId="0" xfId="0" applyNumberFormat="1"/>
    <xf numFmtId="0" fontId="0" fillId="59" borderId="11" xfId="0" applyFill="1" applyBorder="1" applyAlignment="1"/>
    <xf numFmtId="22" fontId="0" fillId="59" borderId="10" xfId="0" applyNumberFormat="1" applyFill="1" applyBorder="1" applyAlignment="1"/>
    <xf numFmtId="49" fontId="0" fillId="59" borderId="10" xfId="0" applyNumberFormat="1" applyFill="1" applyBorder="1" applyAlignment="1"/>
    <xf numFmtId="14" fontId="0" fillId="59" borderId="10" xfId="0" applyNumberFormat="1" applyFill="1" applyBorder="1" applyAlignment="1"/>
    <xf numFmtId="0" fontId="0" fillId="59" borderId="10" xfId="0" applyFill="1" applyBorder="1" applyAlignment="1">
      <alignment horizontal="left" vertical="center"/>
    </xf>
    <xf numFmtId="0" fontId="0" fillId="59" borderId="10" xfId="0" quotePrefix="1" applyFill="1" applyBorder="1" applyAlignment="1"/>
    <xf numFmtId="0" fontId="1" fillId="3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center"/>
    </xf>
    <xf numFmtId="166" fontId="0" fillId="0" borderId="0" xfId="0" applyNumberFormat="1" applyFill="1"/>
    <xf numFmtId="0" fontId="1" fillId="21" borderId="0" xfId="0" applyFont="1" applyFill="1" applyAlignment="1">
      <alignment horizontal="center"/>
    </xf>
    <xf numFmtId="166" fontId="0" fillId="49" borderId="0" xfId="0" applyNumberFormat="1" applyFill="1"/>
    <xf numFmtId="0" fontId="0" fillId="64" borderId="0" xfId="0" applyFill="1"/>
    <xf numFmtId="0" fontId="0" fillId="64" borderId="0" xfId="0" applyFill="1" applyAlignment="1">
      <alignment horizontal="center"/>
    </xf>
    <xf numFmtId="166" fontId="0" fillId="64" borderId="0" xfId="0" applyNumberFormat="1" applyFill="1"/>
    <xf numFmtId="0" fontId="0" fillId="0" borderId="0" xfId="0" applyAlignment="1">
      <alignment horizontal="center"/>
    </xf>
    <xf numFmtId="0" fontId="40" fillId="0" borderId="0" xfId="0" applyFont="1"/>
    <xf numFmtId="166" fontId="0" fillId="0" borderId="1" xfId="0" applyNumberFormat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166" fontId="0" fillId="16" borderId="1" xfId="0" applyNumberFormat="1" applyFill="1" applyBorder="1"/>
    <xf numFmtId="14" fontId="40" fillId="0" borderId="0" xfId="0" applyNumberFormat="1" applyFont="1"/>
    <xf numFmtId="0" fontId="5" fillId="61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62" borderId="1" xfId="0" applyFont="1" applyFill="1" applyBorder="1" applyAlignment="1">
      <alignment horizontal="center"/>
    </xf>
    <xf numFmtId="0" fontId="5" fillId="16" borderId="15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60" borderId="1" xfId="0" applyFont="1" applyFill="1" applyBorder="1" applyAlignment="1">
      <alignment horizontal="center"/>
    </xf>
    <xf numFmtId="0" fontId="5" fillId="40" borderId="15" xfId="0" applyFont="1" applyFill="1" applyBorder="1" applyAlignment="1">
      <alignment horizontal="center"/>
    </xf>
    <xf numFmtId="0" fontId="5" fillId="40" borderId="1" xfId="0" applyFont="1" applyFill="1" applyBorder="1" applyAlignment="1">
      <alignment horizontal="center"/>
    </xf>
    <xf numFmtId="0" fontId="5" fillId="69" borderId="1" xfId="0" applyFont="1" applyFill="1" applyBorder="1"/>
    <xf numFmtId="0" fontId="5" fillId="69" borderId="1" xfId="0" applyFont="1" applyFill="1" applyBorder="1" applyAlignment="1">
      <alignment horizontal="center"/>
    </xf>
    <xf numFmtId="0" fontId="5" fillId="62" borderId="15" xfId="0" applyFont="1" applyFill="1" applyBorder="1" applyAlignment="1">
      <alignment horizontal="center"/>
    </xf>
    <xf numFmtId="0" fontId="42" fillId="62" borderId="13" xfId="0" applyFont="1" applyFill="1" applyBorder="1" applyAlignment="1">
      <alignment horizontal="center"/>
    </xf>
    <xf numFmtId="0" fontId="43" fillId="16" borderId="13" xfId="0" applyFont="1" applyFill="1" applyBorder="1" applyAlignment="1">
      <alignment horizontal="center"/>
    </xf>
    <xf numFmtId="0" fontId="44" fillId="40" borderId="13" xfId="0" applyFont="1" applyFill="1" applyBorder="1" applyAlignment="1">
      <alignment horizontal="center"/>
    </xf>
    <xf numFmtId="0" fontId="5" fillId="70" borderId="19" xfId="0" applyFont="1" applyFill="1" applyBorder="1" applyAlignment="1">
      <alignment horizontal="center"/>
    </xf>
    <xf numFmtId="0" fontId="41" fillId="70" borderId="17" xfId="0" applyFont="1" applyFill="1" applyBorder="1" applyAlignment="1">
      <alignment horizontal="center"/>
    </xf>
    <xf numFmtId="0" fontId="5" fillId="71" borderId="18" xfId="0" applyFont="1" applyFill="1" applyBorder="1" applyAlignment="1">
      <alignment horizontal="center"/>
    </xf>
    <xf numFmtId="0" fontId="45" fillId="71" borderId="16" xfId="0" applyFont="1" applyFill="1" applyBorder="1" applyAlignment="1">
      <alignment horizontal="center"/>
    </xf>
    <xf numFmtId="0" fontId="5" fillId="61" borderId="1" xfId="0" applyFont="1" applyFill="1" applyBorder="1"/>
    <xf numFmtId="0" fontId="0" fillId="70" borderId="1" xfId="0" applyFill="1" applyBorder="1"/>
    <xf numFmtId="0" fontId="0" fillId="70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40" borderId="1" xfId="0" applyFill="1" applyBorder="1"/>
    <xf numFmtId="0" fontId="0" fillId="40" borderId="1" xfId="0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46" fillId="0" borderId="0" xfId="0" applyFont="1"/>
    <xf numFmtId="0" fontId="35" fillId="21" borderId="0" xfId="0" applyFont="1" applyFill="1"/>
    <xf numFmtId="0" fontId="35" fillId="5" borderId="0" xfId="0" applyFont="1" applyFill="1"/>
    <xf numFmtId="0" fontId="35" fillId="55" borderId="0" xfId="0" applyFont="1" applyFill="1"/>
    <xf numFmtId="0" fontId="35" fillId="73" borderId="0" xfId="0" applyFont="1" applyFill="1"/>
    <xf numFmtId="0" fontId="35" fillId="22" borderId="0" xfId="0" applyFont="1" applyFill="1"/>
    <xf numFmtId="0" fontId="5" fillId="46" borderId="1" xfId="0" applyFont="1" applyFill="1" applyBorder="1"/>
    <xf numFmtId="0" fontId="35" fillId="74" borderId="0" xfId="0" applyFont="1" applyFill="1"/>
    <xf numFmtId="0" fontId="5" fillId="48" borderId="1" xfId="0" applyFont="1" applyFill="1" applyBorder="1"/>
    <xf numFmtId="0" fontId="0" fillId="75" borderId="1" xfId="0" applyFill="1" applyBorder="1"/>
    <xf numFmtId="0" fontId="0" fillId="65" borderId="1" xfId="0" applyFill="1" applyBorder="1"/>
    <xf numFmtId="0" fontId="0" fillId="30" borderId="1" xfId="0" applyFill="1" applyBorder="1"/>
    <xf numFmtId="0" fontId="16" fillId="0" borderId="0" xfId="0" applyFont="1"/>
    <xf numFmtId="0" fontId="1" fillId="76" borderId="0" xfId="0" applyFont="1" applyFill="1"/>
    <xf numFmtId="9" fontId="1" fillId="76" borderId="0" xfId="0" applyNumberFormat="1" applyFont="1" applyFill="1"/>
    <xf numFmtId="0" fontId="47" fillId="15" borderId="0" xfId="0" applyFont="1" applyFill="1"/>
    <xf numFmtId="0" fontId="5" fillId="46" borderId="0" xfId="0" applyFont="1" applyFill="1"/>
    <xf numFmtId="0" fontId="48" fillId="0" borderId="0" xfId="0" applyFont="1"/>
    <xf numFmtId="0" fontId="1" fillId="2" borderId="0" xfId="0" applyFont="1" applyFill="1" applyAlignment="1" applyProtection="1">
      <alignment horizontal="center" vertical="center" wrapText="1"/>
      <protection locked="0"/>
    </xf>
    <xf numFmtId="164" fontId="1" fillId="2" borderId="0" xfId="0" applyNumberFormat="1" applyFont="1" applyFill="1" applyAlignment="1" applyProtection="1">
      <alignment horizontal="center" vertical="center" wrapText="1"/>
      <protection locked="0"/>
    </xf>
    <xf numFmtId="164" fontId="1" fillId="2" borderId="0" xfId="0" applyNumberFormat="1" applyFont="1" applyFill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7" fillId="2" borderId="8" xfId="0" applyFont="1" applyFill="1" applyBorder="1" applyAlignment="1" applyProtection="1">
      <alignment horizontal="center" vertical="center" wrapText="1" readingOrder="2"/>
      <protection locked="0"/>
    </xf>
    <xf numFmtId="0" fontId="37" fillId="63" borderId="0" xfId="0" applyFont="1" applyFill="1" applyAlignment="1" applyProtection="1">
      <alignment horizontal="center" vertical="center" wrapText="1" readingOrder="2"/>
      <protection locked="0"/>
    </xf>
    <xf numFmtId="0" fontId="37" fillId="63" borderId="0" xfId="0" applyFont="1" applyFill="1" applyAlignment="1" applyProtection="1">
      <alignment horizontal="center" vertical="center" readingOrder="2"/>
      <protection locked="0"/>
    </xf>
    <xf numFmtId="0" fontId="0" fillId="63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29" fillId="45" borderId="7" xfId="0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9" fillId="45" borderId="9" xfId="0" applyFont="1" applyFill="1" applyBorder="1" applyAlignment="1" applyProtection="1">
      <alignment horizontal="center" vertical="center"/>
      <protection locked="0"/>
    </xf>
    <xf numFmtId="0" fontId="29" fillId="45" borderId="0" xfId="0" applyFont="1" applyFill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30" fillId="0" borderId="0" xfId="0" applyFont="1" applyProtection="1">
      <protection locked="0"/>
    </xf>
    <xf numFmtId="0" fontId="31" fillId="0" borderId="0" xfId="0" applyFont="1" applyProtection="1">
      <protection locked="0"/>
    </xf>
    <xf numFmtId="49" fontId="0" fillId="59" borderId="10" xfId="0" applyNumberForma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38" fillId="0" borderId="10" xfId="0" applyNumberFormat="1" applyFont="1" applyBorder="1" applyProtection="1">
      <protection locked="0"/>
    </xf>
    <xf numFmtId="49" fontId="38" fillId="59" borderId="10" xfId="0" applyNumberFormat="1" applyFont="1" applyFill="1" applyBorder="1" applyProtection="1">
      <protection locked="0"/>
    </xf>
    <xf numFmtId="49" fontId="0" fillId="59" borderId="10" xfId="0" applyNumberFormat="1" applyFill="1" applyBorder="1" applyAlignment="1" applyProtection="1">
      <protection locked="0"/>
    </xf>
    <xf numFmtId="49" fontId="0" fillId="0" borderId="10" xfId="0" applyNumberFormat="1" applyBorder="1" applyAlignment="1" applyProtection="1">
      <alignment wrapText="1"/>
      <protection locked="0"/>
    </xf>
    <xf numFmtId="49" fontId="0" fillId="59" borderId="10" xfId="0" applyNumberFormat="1" applyFill="1" applyBorder="1" applyAlignment="1" applyProtection="1">
      <alignment wrapText="1"/>
      <protection locked="0"/>
    </xf>
    <xf numFmtId="49" fontId="39" fillId="0" borderId="10" xfId="0" applyNumberFormat="1" applyFont="1" applyBorder="1" applyAlignment="1" applyProtection="1">
      <alignment wrapText="1"/>
      <protection locked="0"/>
    </xf>
    <xf numFmtId="49" fontId="39" fillId="59" borderId="10" xfId="0" applyNumberFormat="1" applyFont="1" applyFill="1" applyBorder="1" applyAlignment="1" applyProtection="1">
      <alignment wrapText="1"/>
      <protection locked="0"/>
    </xf>
    <xf numFmtId="0" fontId="1" fillId="2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protection locked="0"/>
    </xf>
    <xf numFmtId="14" fontId="1" fillId="3" borderId="0" xfId="0" applyNumberFormat="1" applyFont="1" applyFill="1" applyProtection="1">
      <protection locked="0"/>
    </xf>
    <xf numFmtId="164" fontId="0" fillId="0" borderId="0" xfId="0" applyNumberFormat="1" applyProtection="1">
      <protection locked="0"/>
    </xf>
    <xf numFmtId="0" fontId="1" fillId="21" borderId="0" xfId="0" applyFont="1" applyFill="1" applyAlignment="1" applyProtection="1">
      <alignment horizontal="center"/>
      <protection locked="0"/>
    </xf>
    <xf numFmtId="0" fontId="0" fillId="49" borderId="0" xfId="0" applyFill="1" applyProtection="1">
      <protection locked="0"/>
    </xf>
    <xf numFmtId="0" fontId="0" fillId="64" borderId="0" xfId="0" applyFill="1" applyProtection="1">
      <protection locked="0"/>
    </xf>
    <xf numFmtId="166" fontId="0" fillId="49" borderId="0" xfId="0" applyNumberFormat="1" applyFill="1" applyProtection="1">
      <protection locked="0"/>
    </xf>
    <xf numFmtId="166" fontId="0" fillId="64" borderId="0" xfId="0" applyNumberFormat="1" applyFill="1" applyProtection="1">
      <protection locked="0"/>
    </xf>
    <xf numFmtId="0" fontId="0" fillId="49" borderId="0" xfId="0" applyFill="1" applyAlignment="1" applyProtection="1">
      <alignment horizontal="center"/>
      <protection locked="0"/>
    </xf>
    <xf numFmtId="0" fontId="0" fillId="64" borderId="0" xfId="0" applyFill="1" applyAlignment="1" applyProtection="1">
      <alignment horizontal="center"/>
      <protection locked="0"/>
    </xf>
    <xf numFmtId="0" fontId="0" fillId="65" borderId="0" xfId="0" applyFill="1" applyAlignment="1" applyProtection="1">
      <alignment horizontal="center"/>
      <protection locked="0"/>
    </xf>
    <xf numFmtId="0" fontId="0" fillId="65" borderId="0" xfId="0" applyFill="1" applyProtection="1">
      <protection locked="0"/>
    </xf>
    <xf numFmtId="0" fontId="0" fillId="49" borderId="0" xfId="0" applyFill="1" applyBorder="1" applyProtection="1">
      <protection locked="0"/>
    </xf>
    <xf numFmtId="0" fontId="0" fillId="49" borderId="14" xfId="0" applyFill="1" applyBorder="1" applyProtection="1">
      <protection locked="0"/>
    </xf>
    <xf numFmtId="0" fontId="0" fillId="0" borderId="0" xfId="0" applyFill="1" applyProtection="1">
      <protection locked="0"/>
    </xf>
    <xf numFmtId="166" fontId="0" fillId="0" borderId="0" xfId="0" applyNumberFormat="1" applyFill="1" applyProtection="1">
      <protection locked="0"/>
    </xf>
    <xf numFmtId="0" fontId="0" fillId="0" borderId="0" xfId="0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16" borderId="1" xfId="0" applyFill="1" applyBorder="1" applyProtection="1">
      <protection locked="0"/>
    </xf>
    <xf numFmtId="0" fontId="0" fillId="0" borderId="1" xfId="0" applyBorder="1" applyProtection="1">
      <protection locked="0"/>
    </xf>
    <xf numFmtId="166" fontId="0" fillId="16" borderId="1" xfId="0" applyNumberFormat="1" applyFill="1" applyBorder="1" applyProtection="1">
      <protection locked="0"/>
    </xf>
    <xf numFmtId="166" fontId="0" fillId="0" borderId="1" xfId="0" applyNumberFormat="1" applyBorder="1" applyProtection="1">
      <protection locked="0"/>
    </xf>
    <xf numFmtId="0" fontId="1" fillId="4" borderId="0" xfId="0" applyFont="1" applyFill="1" applyProtection="1">
      <protection locked="0"/>
    </xf>
    <xf numFmtId="0" fontId="0" fillId="66" borderId="1" xfId="0" applyFill="1" applyBorder="1" applyProtection="1">
      <protection locked="0"/>
    </xf>
    <xf numFmtId="0" fontId="0" fillId="49" borderId="1" xfId="0" applyFill="1" applyBorder="1" applyProtection="1">
      <protection locked="0"/>
    </xf>
    <xf numFmtId="0" fontId="0" fillId="45" borderId="12" xfId="0" applyFill="1" applyBorder="1" applyProtection="1">
      <protection locked="0"/>
    </xf>
    <xf numFmtId="0" fontId="0" fillId="45" borderId="1" xfId="0" applyFill="1" applyBorder="1" applyProtection="1">
      <protection locked="0"/>
    </xf>
    <xf numFmtId="0" fontId="0" fillId="0" borderId="0" xfId="0" applyFont="1" applyProtection="1">
      <protection locked="0"/>
    </xf>
    <xf numFmtId="0" fontId="5" fillId="46" borderId="2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5" fillId="48" borderId="1" xfId="0" applyFont="1" applyFill="1" applyBorder="1" applyProtection="1">
      <protection locked="0"/>
    </xf>
    <xf numFmtId="0" fontId="7" fillId="14" borderId="12" xfId="0" applyFont="1" applyFill="1" applyBorder="1" applyAlignment="1" applyProtection="1">
      <alignment horizontal="center"/>
      <protection locked="0"/>
    </xf>
    <xf numFmtId="0" fontId="0" fillId="64" borderId="12" xfId="0" applyFont="1" applyFill="1" applyBorder="1" applyAlignment="1" applyProtection="1">
      <alignment horizontal="center"/>
      <protection locked="0"/>
    </xf>
    <xf numFmtId="0" fontId="0" fillId="64" borderId="20" xfId="0" applyFont="1" applyFill="1" applyBorder="1" applyAlignment="1" applyProtection="1">
      <alignment horizontal="center"/>
      <protection locked="0"/>
    </xf>
    <xf numFmtId="166" fontId="0" fillId="64" borderId="20" xfId="0" applyNumberFormat="1" applyFont="1" applyFill="1" applyBorder="1" applyAlignment="1" applyProtection="1">
      <alignment horizontal="center"/>
      <protection locked="0"/>
    </xf>
    <xf numFmtId="0" fontId="0" fillId="64" borderId="21" xfId="0" applyFont="1" applyFill="1" applyBorder="1" applyAlignment="1" applyProtection="1">
      <alignment horizontal="center"/>
      <protection locked="0"/>
    </xf>
    <xf numFmtId="0" fontId="1" fillId="77" borderId="0" xfId="0" applyFont="1" applyFill="1"/>
    <xf numFmtId="164" fontId="49" fillId="17" borderId="0" xfId="0" applyNumberFormat="1" applyFont="1" applyFill="1" applyAlignment="1" applyProtection="1">
      <alignment horizontal="center" vertical="center" wrapText="1"/>
      <protection locked="0"/>
    </xf>
    <xf numFmtId="0" fontId="11" fillId="37" borderId="0" xfId="0" applyFont="1" applyFill="1" applyAlignment="1">
      <alignment horizontal="center"/>
    </xf>
    <xf numFmtId="0" fontId="0" fillId="0" borderId="0" xfId="0" applyAlignment="1"/>
    <xf numFmtId="0" fontId="5" fillId="38" borderId="0" xfId="0" applyFont="1" applyFill="1" applyAlignment="1"/>
    <xf numFmtId="0" fontId="14" fillId="2" borderId="0" xfId="0" applyFont="1" applyFill="1" applyAlignment="1"/>
    <xf numFmtId="0" fontId="11" fillId="22" borderId="0" xfId="0" applyFont="1" applyFill="1" applyAlignment="1"/>
    <xf numFmtId="0" fontId="14" fillId="4" borderId="0" xfId="0" applyFont="1" applyFill="1" applyAlignment="1">
      <alignment horizontal="center"/>
    </xf>
    <xf numFmtId="0" fontId="27" fillId="0" borderId="0" xfId="0" applyFont="1" applyAlignment="1"/>
    <xf numFmtId="0" fontId="32" fillId="13" borderId="0" xfId="0" applyFont="1" applyFill="1" applyAlignment="1"/>
    <xf numFmtId="0" fontId="33" fillId="0" borderId="0" xfId="0" applyFont="1" applyAlignment="1"/>
    <xf numFmtId="0" fontId="28" fillId="0" borderId="0" xfId="0" applyFont="1" applyAlignment="1"/>
    <xf numFmtId="0" fontId="14" fillId="22" borderId="0" xfId="0" applyFont="1" applyFill="1" applyAlignment="1">
      <alignment horizontal="center"/>
    </xf>
    <xf numFmtId="0" fontId="1" fillId="24" borderId="0" xfId="0" applyFont="1" applyFill="1" applyAlignment="1"/>
    <xf numFmtId="0" fontId="1" fillId="36" borderId="0" xfId="0" applyFont="1" applyFill="1" applyAlignment="1"/>
    <xf numFmtId="0" fontId="12" fillId="2" borderId="0" xfId="0" applyFont="1" applyFill="1" applyAlignment="1"/>
    <xf numFmtId="0" fontId="11" fillId="57" borderId="0" xfId="0" applyFont="1" applyFill="1" applyAlignment="1">
      <alignment horizontal="center"/>
    </xf>
    <xf numFmtId="0" fontId="12" fillId="58" borderId="0" xfId="0" applyFont="1" applyFill="1" applyAlignment="1">
      <alignment horizontal="center"/>
    </xf>
    <xf numFmtId="0" fontId="35" fillId="22" borderId="0" xfId="0" applyFont="1" applyFill="1" applyAlignment="1"/>
    <xf numFmtId="0" fontId="35" fillId="52" borderId="0" xfId="0" applyFont="1" applyFill="1" applyAlignment="1"/>
    <xf numFmtId="0" fontId="35" fillId="54" borderId="0" xfId="0" applyFont="1" applyFill="1" applyAlignment="1"/>
    <xf numFmtId="0" fontId="12" fillId="55" borderId="0" xfId="0" applyFont="1" applyFill="1" applyAlignment="1"/>
    <xf numFmtId="0" fontId="36" fillId="0" borderId="0" xfId="0" applyFont="1" applyAlignment="1"/>
    <xf numFmtId="0" fontId="1" fillId="8" borderId="0" xfId="0" applyFont="1" applyFill="1" applyAlignment="1"/>
    <xf numFmtId="0" fontId="8" fillId="4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2" fillId="11" borderId="0" xfId="0" applyFont="1" applyFill="1" applyAlignment="1"/>
    <xf numFmtId="0" fontId="12" fillId="5" borderId="0" xfId="0" applyFont="1" applyFill="1" applyAlignment="1"/>
    <xf numFmtId="0" fontId="12" fillId="16" borderId="0" xfId="0" applyFont="1" applyFill="1" applyAlignment="1"/>
    <xf numFmtId="0" fontId="0" fillId="16" borderId="0" xfId="0" applyFill="1" applyAlignment="1"/>
    <xf numFmtId="0" fontId="14" fillId="23" borderId="0" xfId="0" applyFont="1" applyFill="1" applyAlignment="1">
      <alignment horizontal="center"/>
    </xf>
    <xf numFmtId="0" fontId="14" fillId="26" borderId="0" xfId="0" applyFont="1" applyFill="1" applyAlignment="1">
      <alignment horizontal="center"/>
    </xf>
    <xf numFmtId="0" fontId="14" fillId="25" borderId="0" xfId="0" applyFont="1" applyFill="1" applyAlignment="1">
      <alignment horizontal="center"/>
    </xf>
    <xf numFmtId="0" fontId="14" fillId="27" borderId="0" xfId="0" applyFont="1" applyFill="1" applyAlignment="1">
      <alignment horizontal="center"/>
    </xf>
    <xf numFmtId="0" fontId="14" fillId="28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7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/>
    </xf>
    <xf numFmtId="0" fontId="5" fillId="20" borderId="2" xfId="0" applyFont="1" applyFill="1" applyBorder="1" applyAlignment="1">
      <alignment horizontal="center"/>
    </xf>
    <xf numFmtId="0" fontId="5" fillId="20" borderId="3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wrapText="1"/>
    </xf>
    <xf numFmtId="0" fontId="21" fillId="18" borderId="0" xfId="0" applyFont="1" applyFill="1" applyAlignment="1">
      <alignment horizontal="center" vertical="center" textRotation="180" wrapText="1"/>
    </xf>
    <xf numFmtId="0" fontId="24" fillId="18" borderId="0" xfId="0" applyFont="1" applyFill="1" applyAlignment="1">
      <alignment horizontal="center" vertical="center" textRotation="180" wrapText="1"/>
    </xf>
    <xf numFmtId="0" fontId="26" fillId="6" borderId="4" xfId="0" applyFont="1" applyFill="1" applyBorder="1" applyAlignment="1">
      <alignment horizontal="center"/>
    </xf>
    <xf numFmtId="0" fontId="21" fillId="18" borderId="0" xfId="0" applyFont="1" applyFill="1" applyAlignment="1">
      <alignment horizontal="center" textRotation="180" wrapText="1"/>
    </xf>
    <xf numFmtId="0" fontId="1" fillId="7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1" fillId="72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67" borderId="0" xfId="0" applyFont="1" applyFill="1" applyAlignment="1">
      <alignment horizontal="center"/>
    </xf>
    <xf numFmtId="0" fontId="35" fillId="68" borderId="0" xfId="0" applyFont="1" applyFill="1" applyAlignment="1">
      <alignment horizontal="center"/>
    </xf>
    <xf numFmtId="0" fontId="35" fillId="12" borderId="0" xfId="0" applyFont="1" applyFill="1" applyAlignment="1">
      <alignment horizontal="center"/>
    </xf>
  </cellXfs>
  <cellStyles count="1">
    <cellStyle name="عادي" xfId="0" builtinId="0"/>
  </cellStyles>
  <dxfs count="95">
    <dxf>
      <numFmt numFmtId="30" formatCode="@"/>
      <alignment horizontal="center" vertical="center" textRotation="0" wrapText="1" indent="0" justifyLastLine="0" shrinkToFit="0" readingOrder="0"/>
      <protection locked="0"/>
    </dxf>
    <dxf>
      <numFmt numFmtId="164" formatCode="[$-F800]dddd\,\ mmmm\ dd\,\ yyyy"/>
      <alignment horizontal="center" vertical="center" textRotation="0" wrapText="1" indent="0" justifyLastLine="0" shrinkToFit="0" readingOrder="0"/>
      <protection locked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64" formatCode="[$-F800]dddd\,\ mmmm\ dd\,\ yyyy"/>
      <alignment horizontal="center" vertical="center" textRotation="0" wrapText="1" indent="0" justifyLastLine="0" shrinkToFit="0" readingOrder="0"/>
    </dxf>
    <dxf>
      <numFmt numFmtId="164" formatCode="[$-F800]dddd\,\ mmmm\ dd\,\ yy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C62828"/>
      </font>
      <fill>
        <patternFill patternType="solid">
          <fgColor indexed="64"/>
          <bgColor rgb="FFFFCDD2"/>
        </patternFill>
      </fill>
    </dxf>
    <dxf>
      <font>
        <b/>
        <i val="0"/>
        <color rgb="FF1B5E20"/>
      </font>
      <fill>
        <patternFill patternType="solid">
          <fgColor indexed="64"/>
          <bgColor rgb="FFA5D6A7"/>
        </patternFill>
      </fill>
    </dxf>
    <dxf>
      <fill>
        <patternFill patternType="solid">
          <fgColor indexed="64"/>
          <bgColor rgb="FFE8F5E9"/>
        </patternFill>
      </fill>
    </dxf>
    <dxf>
      <font>
        <color rgb="FF9E9E9E"/>
      </font>
      <fill>
        <patternFill patternType="solid">
          <fgColor indexed="64"/>
          <bgColor rgb="FFE0E0E0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B71C1C"/>
      </font>
      <fill>
        <patternFill patternType="solid">
          <fgColor indexed="64"/>
          <bgColor rgb="FFFFCDD2"/>
        </patternFill>
      </fill>
    </dxf>
    <dxf>
      <font>
        <color rgb="FFF57F17"/>
      </font>
      <fill>
        <patternFill patternType="solid">
          <fgColor indexed="64"/>
          <bgColor rgb="FFFFF9C4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8FB98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📊 المسجلات والمحولات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📈_التقارير!$B$5</c:f>
              <c:strCache>
                <c:ptCount val="1"/>
                <c:pt idx="0">
                  <c:v>المسجلات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📈_التقارير!$A$6:$A$17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📈_التقارير!$B$6:$B$17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99</c:v>
                </c:pt>
                <c:pt idx="3">
                  <c:v>123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C-4B82-AFE2-085F678E5B6C}"/>
            </c:ext>
          </c:extLst>
        </c:ser>
        <c:ser>
          <c:idx val="1"/>
          <c:order val="1"/>
          <c:tx>
            <c:strRef>
              <c:f>📈_التقارير!$C$5</c:f>
              <c:strCache>
                <c:ptCount val="1"/>
                <c:pt idx="0">
                  <c:v>المحولات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📈_التقارير!$A$6:$A$17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📈_التقارير!$C$6:$C$17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95</c:v>
                </c:pt>
                <c:pt idx="3">
                  <c:v>123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C-4B82-AFE2-085F678E5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726791"/>
        <c:axId val="1207662087"/>
      </c:barChart>
      <c:catAx>
        <c:axId val="117272679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62087"/>
        <c:crosses val="autoZero"/>
        <c:auto val="1"/>
        <c:lblAlgn val="ctr"/>
        <c:lblOffset val="100"/>
        <c:noMultiLvlLbl val="0"/>
      </c:catAx>
      <c:valAx>
        <c:axId val="120766208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عدد الحالات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2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⏱️ </a:t>
            </a:r>
            <a:r>
              <a:rPr lang="ar-AE"/>
              <a:t>مؤشر الالتزام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📈_التقارير!$B$21</c:f>
              <c:strCache>
                <c:ptCount val="1"/>
                <c:pt idx="0">
                  <c:v>✅ ملتزم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📈_التقارير!$A$22:$A$33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43</c:v>
                </c:pt>
                <c:pt idx="3">
                  <c:v>53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8-41C4-80A5-E40E0EB3C350}"/>
            </c:ext>
          </c:extLst>
        </c:ser>
        <c:ser>
          <c:idx val="1"/>
          <c:order val="1"/>
          <c:tx>
            <c:strRef>
              <c:f>📈_التقارير!$C$21</c:f>
              <c:strCache>
                <c:ptCount val="1"/>
                <c:pt idx="0">
                  <c:v>❌ غير ملتزم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📈_التقارير!$A$22:$A$33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📈_التقارير!$C$22:$C$33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50</c:v>
                </c:pt>
                <c:pt idx="3">
                  <c:v>68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8-41C4-80A5-E40E0EB3C350}"/>
            </c:ext>
          </c:extLst>
        </c:ser>
        <c:ser>
          <c:idx val="2"/>
          <c:order val="2"/>
          <c:tx>
            <c:strRef>
              <c:f>📈_التقارير!$D$21</c:f>
              <c:strCache>
                <c:ptCount val="1"/>
                <c:pt idx="0">
                  <c:v>⏳ بانتظار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📈_التقارير!$A$22:$A$33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📈_التقارير!$D$22:$D$33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8-41C4-80A5-E40E0EB3C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477191"/>
        <c:axId val="1808487943"/>
      </c:barChart>
      <c:catAx>
        <c:axId val="180847719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487943"/>
        <c:crosses val="autoZero"/>
        <c:auto val="1"/>
        <c:lblAlgn val="ctr"/>
        <c:lblOffset val="100"/>
        <c:noMultiLvlLbl val="0"/>
      </c:catAx>
      <c:valAx>
        <c:axId val="180848794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عدد الحالات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47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📋 مؤشر الحضور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📈_التقارير!$B$37</c:f>
              <c:strCache>
                <c:ptCount val="1"/>
                <c:pt idx="0">
                  <c:v>✅ حضرت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📈_التقارير!$A$38:$A$49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📈_التقارير!$B$38:$B$49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49</c:v>
                </c:pt>
                <c:pt idx="3">
                  <c:v>113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3-4057-A2E6-CFBB35220F93}"/>
            </c:ext>
          </c:extLst>
        </c:ser>
        <c:ser>
          <c:idx val="1"/>
          <c:order val="1"/>
          <c:tx>
            <c:strRef>
              <c:f>📈_التقارير!$C$37</c:f>
              <c:strCache>
                <c:ptCount val="1"/>
                <c:pt idx="0">
                  <c:v>❌ لم تحضر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📈_التقارير!$A$38:$A$49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📈_التقارير!$C$38:$C$49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12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53-4057-A2E6-CFBB35220F93}"/>
            </c:ext>
          </c:extLst>
        </c:ser>
        <c:ser>
          <c:idx val="2"/>
          <c:order val="2"/>
          <c:tx>
            <c:strRef>
              <c:f>📈_التقارير!$D$37</c:f>
              <c:strCache>
                <c:ptCount val="1"/>
                <c:pt idx="0">
                  <c:v>⏳ بانتظار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📈_التقارير!$A$38:$A$49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📈_التقارير!$D$38:$D$49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38</c:v>
                </c:pt>
                <c:pt idx="3">
                  <c:v>4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53-4057-A2E6-CFBB3522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4699143"/>
        <c:axId val="1804701191"/>
      </c:barChart>
      <c:catAx>
        <c:axId val="180469914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701191"/>
        <c:crosses val="autoZero"/>
        <c:auto val="1"/>
        <c:lblAlgn val="ctr"/>
        <c:lblOffset val="100"/>
        <c:noMultiLvlLbl val="0"/>
      </c:catAx>
      <c:valAx>
        <c:axId val="18047011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عدد الحالات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69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📈 تطور نسب الأداء شهرياً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📈_التقارير!$O$5</c:f>
              <c:strCache>
                <c:ptCount val="1"/>
                <c:pt idx="0">
                  <c:v>نسبة التحويل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📈_التقارير!$N$6:$N$17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📈_التقارير!$O$6:$O$17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96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0-40B7-B000-188910CD88BF}"/>
            </c:ext>
          </c:extLst>
        </c:ser>
        <c:ser>
          <c:idx val="1"/>
          <c:order val="1"/>
          <c:tx>
            <c:strRef>
              <c:f>📈_التقارير!$P$5</c:f>
              <c:strCache>
                <c:ptCount val="1"/>
                <c:pt idx="0">
                  <c:v>نسبة الالتزام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📈_التقارير!$N$6:$N$17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📈_التقارير!$P$6:$P$17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46.2</c:v>
                </c:pt>
                <c:pt idx="3">
                  <c:v>43.8</c:v>
                </c:pt>
                <c:pt idx="4">
                  <c:v>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0-40B7-B000-188910CD88BF}"/>
            </c:ext>
          </c:extLst>
        </c:ser>
        <c:ser>
          <c:idx val="2"/>
          <c:order val="2"/>
          <c:tx>
            <c:strRef>
              <c:f>📈_التقارير!$Q$5</c:f>
              <c:strCache>
                <c:ptCount val="1"/>
                <c:pt idx="0">
                  <c:v>نسبة الحضور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📈_التقارير!$N$6:$N$17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📈_التقارير!$Q$6:$Q$17</c:f>
              <c:numCache>
                <c:formatCode>General</c:formatCode>
                <c:ptCount val="12"/>
                <c:pt idx="0">
                  <c:v>0</c:v>
                </c:pt>
                <c:pt idx="1">
                  <c:v>100</c:v>
                </c:pt>
                <c:pt idx="2">
                  <c:v>80.3</c:v>
                </c:pt>
                <c:pt idx="3">
                  <c:v>95</c:v>
                </c:pt>
                <c:pt idx="4">
                  <c:v>92.9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B0-40B7-B000-188910CD8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544903"/>
        <c:axId val="1806547463"/>
      </c:lineChart>
      <c:catAx>
        <c:axId val="1806544903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الشهر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47463"/>
        <c:crosses val="autoZero"/>
        <c:auto val="1"/>
        <c:lblAlgn val="ctr"/>
        <c:lblOffset val="100"/>
        <c:noMultiLvlLbl val="0"/>
      </c:catAx>
      <c:valAx>
        <c:axId val="18065474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AE"/>
                  <a:t>النسبة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4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🔴 توزيع حالات </a:t>
            </a:r>
            <a:r>
              <a:rPr lang="en-US"/>
              <a:t>VTE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📈_التقارير!$O$36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8-4806-8B20-EA7935DF66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28-4806-8B20-EA7935DF66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📈_التقارير!$N$37:$N$38</c:f>
              <c:strCache>
                <c:ptCount val="2"/>
                <c:pt idx="0">
                  <c:v>✅ تم العلاج</c:v>
                </c:pt>
                <c:pt idx="1">
                  <c:v>⚠️ بدون علاج</c:v>
                </c:pt>
              </c:strCache>
            </c:strRef>
          </c:cat>
          <c:val>
            <c:numRef>
              <c:f>📈_التقارير!$O$37:$O$38</c:f>
              <c:numCache>
                <c:formatCode>General</c:formatCode>
                <c:ptCount val="2"/>
                <c:pt idx="0">
                  <c:v>-27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D-4DBB-8498-C9F5CF0EA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C2FD556B-CB07-F1A4-8F57-10078014D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8C5F9D0A-3794-02A4-0557-6016B919B7C4}"/>
            </a:ext>
            <a:ext uri="{147F2762-F138-4A5C-976F-8EAC2B608ADB}">
              <a16:predDERef xmlns:a16="http://schemas.microsoft.com/office/drawing/2014/main" pred="{C2FD556B-CB07-F1A4-8F57-10078014D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47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F05B7BE-6CD2-1BF7-699E-499187B430A2}"/>
            </a:ext>
            <a:ext uri="{147F2762-F138-4A5C-976F-8EAC2B608ADB}">
              <a16:predDERef xmlns:a16="http://schemas.microsoft.com/office/drawing/2014/main" pred="{8C5F9D0A-3794-02A4-0557-6016B919B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AA7E7F51-8E4B-A189-B801-DB1B769A6990}"/>
            </a:ext>
            <a:ext uri="{147F2762-F138-4A5C-976F-8EAC2B608ADB}">
              <a16:predDERef xmlns:a16="http://schemas.microsoft.com/office/drawing/2014/main" pred="{BF05B7BE-6CD2-1BF7-699E-499187B43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39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F52A4E1E-329C-6E3C-BA21-D99C79C983E7}"/>
            </a:ext>
            <a:ext uri="{147F2762-F138-4A5C-976F-8EAC2B608ADB}">
              <a16:predDERef xmlns:a16="http://schemas.microsoft.com/office/drawing/2014/main" pred="{AA7E7F51-8E4B-A189-B801-DB1B769A6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F0731-30B9-4CD2-90DE-E70CABAE58C8}" name="OfficeForms.Table3" displayName="OfficeForms.Table3" ref="A1:AJ265" totalsRowShown="0" headerRowDxfId="37" dataDxfId="36">
  <autoFilter ref="A1:AJ265" xr:uid="{EBEF0731-30B9-4CD2-90DE-E70CABAE58C8}"/>
  <tableColumns count="36">
    <tableColumn id="1" xr3:uid="{633488E8-28B6-4BFA-A505-78E73063E0D5}" name="Id" dataDxfId="35"/>
    <tableColumn id="2" xr3:uid="{DEDE91C5-CBAE-4AE0-8CBE-ED6E1C9F9956}" name="وقت البدء" dataDxfId="34"/>
    <tableColumn id="3" xr3:uid="{D7170AFC-7BF6-4BB8-A88E-A90ACC3D7582}" name="وقت الإكمال" dataDxfId="33"/>
    <tableColumn id="4" xr3:uid="{AECC5898-A247-458D-8A81-1F396FBF7924}" name="البريد الإلكتروني" dataDxfId="32"/>
    <tableColumn id="5" xr3:uid="{7AB99FB3-B0AE-47C0-9078-CF38D0F85DD3}" name="الاسم" dataDxfId="31"/>
    <tableColumn id="6" xr3:uid="{7EA40B3C-F008-4EB8-A6C1-721B223EED34}" name="sectorالقطاع" dataDxfId="30"/>
    <tableColumn id="7" xr3:uid="{0C526C38-D34C-4579-843E-4A0E7144BA3F}" name="القطاع الغربي (Western Sector)" dataDxfId="29"/>
    <tableColumn id="8" xr3:uid="{8CDCF0B2-7A4D-47E2-A839-93CD0B30462D}" name="Southern Sector القطاع الجنوبي" dataDxfId="28"/>
    <tableColumn id="9" xr3:uid="{520DC6F9-BC91-4196-A9CC-D359A20BBCCF}" name="القطاع الاوسط (Middle Sector)" dataDxfId="27"/>
    <tableColumn id="10" xr3:uid="{C666800B-1E9D-4543-9EAB-B249B47397D5}" name="القطاع الشمالي (Northern Sector)" dataDxfId="26"/>
    <tableColumn id="11" xr3:uid="{4D28795B-21AD-4FFC-89E5-EA8A20AFAFE7}" name="القطاع المركزي (Central Sector)" dataDxfId="25"/>
    <tableColumn id="12" xr3:uid="{9D2F350B-7182-4F6D-89EB-73404EAD224C}" name="القطاع الجبلي (Mountain Sector)" dataDxfId="24"/>
    <tableColumn id="13" xr3:uid="{F2EF09A6-8C8F-4F66-9007-164333B35C34}" name="القطاع بني مالك (Bani Malik Sector)" dataDxfId="23"/>
    <tableColumn id="14" xr3:uid="{050BF5D9-8882-4A9E-B0B0-2D16E72BB29A}" name="القطاع فرسان (Farasan Sector)" dataDxfId="22"/>
    <tableColumn id="33" xr3:uid="{5D84B6E8-99DD-4ABD-AE1F-83EB6A5D8E9B}" name="المركز الصحي PHC" dataDxfId="21">
      <calculatedColumnFormula>_xlfn.CONCAT(OfficeForms.Table3[[#This Row],[القطاع الغربي (Western Sector)]:[القطاع فرسان (Farasan Sector)]])</calculatedColumnFormula>
    </tableColumn>
    <tableColumn id="15" xr3:uid="{AD29D7E9-4EDD-4D80-8230-F739219E3BEA}" name="Date Of Visit" dataDxfId="20"/>
    <tableColumn id="16" xr3:uid="{B1C401CE-B5BA-49AD-A5C5-20F932AA1CDF}" name="L.M.P" dataDxfId="19"/>
    <tableColumn id="17" xr3:uid="{511E53F0-D8D0-4B8D-8859-B98876D00D20}" name="  Current gestational age by week " dataDxfId="18"/>
    <tableColumn id="44" xr3:uid="{D7411B7B-1AA2-4E45-BB9F-DBCB1703CA00}" name="Date of birth for the pregnant1" dataDxfId="17"/>
    <tableColumn id="19" xr3:uid="{A065710D-4F6A-4B75-A1D8-33D24513B3A0}" name="Patient's age (in years)" dataDxfId="16"/>
    <tableColumn id="20" xr3:uid="{FA00C319-3A53-439C-B7F1-68133165A0F2}" name="Patient's full name" dataDxfId="15"/>
    <tableColumn id="21" xr3:uid="{9D1EB541-2AB9-47FC-8E44-CF0EF8DEC86C}" name="ID number" dataDxfId="14"/>
    <tableColumn id="22" xr3:uid="{B598CAA3-F408-4E2F-B189-8C1051571D09}" name="patient address" dataDxfId="13"/>
    <tableColumn id="23" xr3:uid="{A120188D-49A2-4FA1-8E8A-9DB9F3F01321}" name="Doctor's Mobile Number" dataDxfId="12"/>
    <tableColumn id="24" xr3:uid="{BA936CDF-5289-415A-A406-6DD2D7991776}" name="Patient's Mobile Number" dataDxfId="11"/>
    <tableColumn id="25" xr3:uid="{AEA6008C-0FE3-40B3-99CE-CD918043DA43}" name="Does the patient have any of the following risk factors? (More than one option can be selected)" dataDxfId="10"/>
    <tableColumn id="26" xr3:uid="{5ED5CCA7-C836-4C1D-898F-376B26F1D4A8}" name="Does the patient have any of the following pregnancy-related or current health risk factors? (More than one option can be selected)" dataDxfId="9"/>
    <tableColumn id="27" xr3:uid="{1CDDB62C-AFDA-478A-A43D-E8F0DC75F884}" name="Which of the following general medical conditions does the patient have? (Select all that apply)" dataDxfId="8"/>
    <tableColumn id="28" xr3:uid="{6F5B7D7E-5B1F-4393-9795-EBD7A0E0EFBB}" name="Medication: If patient got pregnant while she is on medication like Warfarin, isotretinoin , methotrexate , mycophenolate mofetil or any other significant medications contraindicated for pregnancy" dataDxfId="7"/>
    <tableColumn id="29" xr3:uid="{433D8B32-45F7-43BB-9E9C-F0BAB760CBC3}" name="Is the patient considered high-risk for Venous Thromboembolism (VTE)? &quot; https://jazanphc.com/VTECalc ”" dataDxfId="6"/>
    <tableColumn id="30" xr3:uid="{7BDA22A8-1227-4283-B0F5-AD32C7AAE674}" name="Has thromboprophylaxis (Enoxaparin) for VTE been prescribed?" dataDxfId="5"/>
    <tableColumn id="43" xr3:uid="{6441AE2A-C784-4780-816D-D14558290FE6}" name="Did the doctor explain to the patient the mechanism and importance of the referral before leaving the center?" dataDxfId="4"/>
    <tableColumn id="31" xr3:uid="{AC93ACC8-454F-4248-9BA7-8A3570F102DC}" name="Doctor's name" dataDxfId="3"/>
    <tableColumn id="34" xr3:uid="{B7F35ECA-2A88-4CDC-92B9-4FA5D9FEDA7F}" name="Are there any comments?" dataDxfId="2"/>
    <tableColumn id="18" xr3:uid="{AA96F001-A4EB-467B-AF4E-A9B4196C8497}" name="تاريخ الموعد افي اللمستشفى " dataDxfId="1"/>
    <tableColumn id="45" xr3:uid="{1C4448AE-3A79-4554-8317-FC39BC9169BD}" name="افادة الحضور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C3CC-BECA-41D5-8F7D-D8AC7B281B1B}">
  <sheetPr>
    <tabColor rgb="FF4472C4"/>
  </sheetPr>
  <dimension ref="A1:H37"/>
  <sheetViews>
    <sheetView rightToLeft="1" workbookViewId="0">
      <selection activeCell="L7" sqref="L7"/>
    </sheetView>
  </sheetViews>
  <sheetFormatPr defaultRowHeight="13.5"/>
  <cols>
    <col min="1" max="1" width="25" customWidth="1"/>
    <col min="2" max="2" width="30" style="241" customWidth="1"/>
    <col min="3" max="3" width="25" customWidth="1"/>
    <col min="4" max="4" width="30" style="241" customWidth="1"/>
    <col min="6" max="6" width="20" customWidth="1"/>
    <col min="7" max="7" width="30" style="241" customWidth="1"/>
  </cols>
  <sheetData>
    <row r="1" spans="1:8" ht="35.25" customHeight="1">
      <c r="A1" s="317" t="s">
        <v>0</v>
      </c>
      <c r="B1" s="315"/>
      <c r="C1" s="315"/>
      <c r="D1" s="315"/>
      <c r="E1" s="315"/>
      <c r="F1" s="315"/>
      <c r="G1" s="315"/>
      <c r="H1" s="315"/>
    </row>
    <row r="2" spans="1:8">
      <c r="A2" s="233" t="s">
        <v>1</v>
      </c>
      <c r="C2" s="167"/>
      <c r="E2" s="167"/>
      <c r="F2" s="167"/>
      <c r="H2" s="167"/>
    </row>
    <row r="3" spans="1:8" ht="18">
      <c r="A3" s="167"/>
      <c r="C3" s="167"/>
      <c r="E3" s="167"/>
      <c r="F3" s="318" t="s">
        <v>2</v>
      </c>
      <c r="G3" s="315"/>
      <c r="H3" s="315"/>
    </row>
    <row r="4" spans="1:8" ht="17.25">
      <c r="A4" s="219" t="s">
        <v>3</v>
      </c>
      <c r="C4" s="167"/>
      <c r="E4" s="167"/>
      <c r="F4" s="27" t="s">
        <v>4</v>
      </c>
      <c r="G4" s="307">
        <v>1115947606</v>
      </c>
      <c r="H4" s="167"/>
    </row>
    <row r="5" spans="1:8" ht="24.75" customHeight="1">
      <c r="A5" s="27" t="s">
        <v>5</v>
      </c>
      <c r="B5" s="301"/>
      <c r="C5" s="27" t="s">
        <v>6</v>
      </c>
      <c r="D5" s="301"/>
      <c r="E5" s="167"/>
      <c r="F5" s="234" t="s">
        <v>7</v>
      </c>
      <c r="G5" s="308" t="str" cm="1">
        <f t="array" ref="G5">IFERROR(INDEX(البيانات!$U$2:$U$300,MATCH($G$4*1,البيانات!$V$2:$V$300*1,0)),IFERROR(INDEX(البيانات!$U$2:$U$300,MATCH(TEXT($G$4,"0"),البيانات!$V$2:$V$300,0)),"غير موجود"))</f>
        <v>جنان حسين محمد حكمي</v>
      </c>
      <c r="H5" s="167"/>
    </row>
    <row r="6" spans="1:8" ht="24.75" customHeight="1">
      <c r="A6" s="27" t="s">
        <v>8</v>
      </c>
      <c r="B6" s="301"/>
      <c r="C6" s="27" t="s">
        <v>9</v>
      </c>
      <c r="D6" s="301"/>
      <c r="E6" s="167"/>
      <c r="F6" s="234" t="s">
        <v>9</v>
      </c>
      <c r="G6" s="309" cm="1">
        <f t="array" ref="G6">IFERROR(INDEX(البيانات!$T$2:$T$300,MATCH($G$4*1,البيانات!$V$2:$V$300*1,0)),IFERROR(INDEX(البيانات!$T$2:$T$300,MATCH(TEXT($G$4,"0"),البيانات!$V$2:$V$300,0)),"—"))</f>
        <v>24</v>
      </c>
      <c r="H6" s="167"/>
    </row>
    <row r="7" spans="1:8" ht="24.75" customHeight="1">
      <c r="A7" s="27" t="s">
        <v>10</v>
      </c>
      <c r="B7" s="301"/>
      <c r="C7" s="27" t="s">
        <v>11</v>
      </c>
      <c r="D7" s="301"/>
      <c r="E7" s="167"/>
      <c r="F7" s="234" t="s">
        <v>12</v>
      </c>
      <c r="G7" s="309" t="str" cm="1">
        <f t="array" ref="G7">IFERROR(INDEX(البيانات!$F$2:$F$300,MATCH($G$4*1,البيانات!$V$2:$V$300*1,0)),IFERROR(INDEX(البيانات!$F$2:$F$300,MATCH(TEXT($G$4,"0"),البيانات!$V$2:$V$300,0)),"—"))</f>
        <v>القطاع المركزي</v>
      </c>
      <c r="H7" s="167"/>
    </row>
    <row r="8" spans="1:8" ht="24.75" customHeight="1">
      <c r="A8" s="27" t="s">
        <v>12</v>
      </c>
      <c r="B8" s="301"/>
      <c r="C8" s="27" t="s">
        <v>13</v>
      </c>
      <c r="D8" s="301"/>
      <c r="E8" s="167"/>
      <c r="F8" s="234" t="s">
        <v>10</v>
      </c>
      <c r="G8" s="309" cm="1">
        <f t="array" ref="G8">IFERROR(INDEX(البيانات!$Y$2:$Y$300,MATCH($G$4*1,البيانات!$V$2:$V$300*1,0)),IFERROR(INDEX(البيانات!$Y$2:$Y$300,MATCH(TEXT($G$4,"0"),البيانات!$V$2:$V$300,0)),"—"))</f>
        <v>556898292</v>
      </c>
      <c r="H8" s="167"/>
    </row>
    <row r="9" spans="1:8" ht="24.75" customHeight="1">
      <c r="A9" s="27" t="s">
        <v>14</v>
      </c>
      <c r="B9" s="301"/>
      <c r="C9" s="27" t="s">
        <v>15</v>
      </c>
      <c r="D9" s="301"/>
      <c r="E9" s="167"/>
      <c r="F9" s="234" t="s">
        <v>16</v>
      </c>
      <c r="G9" s="309" t="str" cm="1">
        <f t="array" ref="G9">IFERROR(INDEX(البيانات!$AM$2:$AM$300,MATCH($G$4*1,البيانات!$V$2:$V$300*1,0)),IFERROR(INDEX(البيانات!$AM$2:$AM$300,MATCH(TEXT($G$4,"0"),البيانات!$V$2:$V$300,0)),"—"))</f>
        <v>مستشفي جازان العام</v>
      </c>
      <c r="H9" s="167"/>
    </row>
    <row r="10" spans="1:8" ht="24.75" customHeight="1">
      <c r="A10" s="27" t="s">
        <v>17</v>
      </c>
      <c r="B10" s="302"/>
      <c r="C10" s="27" t="s">
        <v>18</v>
      </c>
      <c r="D10" s="302"/>
      <c r="E10" s="167"/>
      <c r="F10" s="234" t="s">
        <v>19</v>
      </c>
      <c r="G10" s="309" t="str" cm="1">
        <f t="array" ref="G10">IFERROR(INDEX(البيانات!$AD$2:$AD$300,MATCH($G$4*1,البيانات!$V$2:$V$300*1,0)),IFERROR(INDEX(البيانات!$AD$2:$AD$300,MATCH(TEXT($G$4,"0"),البيانات!$V$2:$V$300,0)),"—"))</f>
        <v>No</v>
      </c>
      <c r="H10" s="167"/>
    </row>
    <row r="11" spans="1:8" ht="24.75" customHeight="1">
      <c r="A11" s="167"/>
      <c r="C11" s="167"/>
      <c r="E11" s="167"/>
      <c r="F11" s="234" t="s">
        <v>20</v>
      </c>
      <c r="G11" s="309" cm="1">
        <f t="array" ref="G11">IFERROR(INDEX(البيانات!$AE$2:$AE$300,MATCH($G$4*1,البيانات!$V$2:$V$300*1,0)),IFERROR(INDEX(البيانات!$AE$2:$AE$300,MATCH(TEXT($G$4,"0"),البيانات!$V$2:$V$300,0)),"—"))</f>
        <v>0</v>
      </c>
      <c r="H11" s="167"/>
    </row>
    <row r="12" spans="1:8" ht="24.75" customHeight="1">
      <c r="A12" s="220" t="s">
        <v>21</v>
      </c>
      <c r="C12" s="167"/>
      <c r="E12" s="167"/>
      <c r="F12" s="234" t="s">
        <v>17</v>
      </c>
      <c r="G12" s="310" cm="1">
        <f t="array" ref="G12">IFERROR(INDEX(البيانات!$P$2:$P$300,MATCH($G$4*1,البيانات!$V$2:$V$300*1,0)),IFERROR(INDEX(البيانات!$P$2:$P$300,MATCH(TEXT($G$4,"0"),البيانات!$V$2:$V$300,0)),"—"))</f>
        <v>46077</v>
      </c>
      <c r="H12" s="167"/>
    </row>
    <row r="13" spans="1:8" ht="24.75" customHeight="1">
      <c r="A13" s="27" t="s">
        <v>22</v>
      </c>
      <c r="B13" s="301"/>
      <c r="C13" s="27" t="s">
        <v>23</v>
      </c>
      <c r="D13" s="301"/>
      <c r="E13" s="167"/>
      <c r="F13" s="234" t="s">
        <v>24</v>
      </c>
      <c r="G13" s="310" t="str" cm="1">
        <f t="array" ref="G13">IFERROR(INDEX(البيانات!$AI$2:$AI$300,MATCH($G$4*1,البيانات!$V$2:$V$300*1,0)),IFERROR(INDEX(البيانات!$AI$2:$AI$300,MATCH(TEXT($G$4,"0"),البيانات!$V$2:$V$300,0)),"—"))</f>
        <v>5/3/2026</v>
      </c>
      <c r="H13" s="167"/>
    </row>
    <row r="14" spans="1:8" ht="24.75" customHeight="1">
      <c r="A14" s="27" t="s">
        <v>25</v>
      </c>
      <c r="B14" s="301"/>
      <c r="C14" s="27" t="s">
        <v>26</v>
      </c>
      <c r="D14" s="301"/>
      <c r="E14" s="167"/>
      <c r="F14" s="234" t="s">
        <v>27</v>
      </c>
      <c r="G14" s="309" t="str" cm="1">
        <f t="array" ref="G14">IFERROR(INDEX(البيانات!$AK$2:$AK$300,MATCH($G$4*1,البيانات!$V$2:$V$300*1,0)),IFERROR(INDEX(البيانات!$AK$2:$AK$300,MATCH(TEXT($G$4,"0"),البيانات!$V$2:$V$300,0)),"—"))</f>
        <v>❌ غير ملتزم</v>
      </c>
      <c r="H14" s="167"/>
    </row>
    <row r="15" spans="1:8" ht="24.75" customHeight="1">
      <c r="A15" s="27" t="s">
        <v>28</v>
      </c>
      <c r="B15" s="302"/>
      <c r="C15" s="27" t="s">
        <v>24</v>
      </c>
      <c r="D15" s="302"/>
      <c r="E15" s="167"/>
      <c r="F15" s="234" t="s">
        <v>29</v>
      </c>
      <c r="G15" s="311" t="str" cm="1">
        <f t="array" ref="G15">IFERROR(INDEX(البيانات!$AJ$2:$AJ$300,MATCH($G$4*1,البيانات!$V$2:$V$300*1,0)),IFERROR(INDEX(البيانات!$AJ$2:$AJ$300,MATCH(TEXT($G$4,"0"),البيانات!$V$2:$V$300,0)),"—"))</f>
        <v>تم الحظور</v>
      </c>
      <c r="H15" s="167"/>
    </row>
    <row r="16" spans="1:8" ht="24.75" customHeight="1">
      <c r="A16" s="167"/>
      <c r="C16" s="167"/>
      <c r="E16" s="167"/>
      <c r="F16" s="167"/>
      <c r="H16" s="167"/>
    </row>
    <row r="17" spans="1:6" ht="24.75" customHeight="1">
      <c r="A17" s="221" t="s">
        <v>30</v>
      </c>
      <c r="C17" s="167"/>
      <c r="E17" s="167"/>
      <c r="F17" s="235" t="s">
        <v>31</v>
      </c>
    </row>
    <row r="18" spans="1:6" ht="24.75" customHeight="1">
      <c r="A18" s="27" t="s">
        <v>32</v>
      </c>
      <c r="B18" s="301"/>
      <c r="C18" s="167" t="s">
        <v>33</v>
      </c>
      <c r="D18" s="302"/>
      <c r="E18" s="167"/>
      <c r="F18" s="167"/>
    </row>
    <row r="19" spans="1:6" ht="24.75" customHeight="1">
      <c r="A19" s="27" t="s">
        <v>34</v>
      </c>
      <c r="B19" s="302"/>
      <c r="C19" s="167"/>
      <c r="E19" s="167"/>
      <c r="F19" s="167"/>
    </row>
    <row r="20" spans="1:6">
      <c r="A20" s="167"/>
      <c r="C20" s="167"/>
      <c r="E20" s="167"/>
      <c r="F20" s="167"/>
    </row>
    <row r="21" spans="1:6" ht="17.25">
      <c r="A21" s="222" t="s">
        <v>35</v>
      </c>
      <c r="C21" s="167"/>
      <c r="E21" s="167"/>
      <c r="F21" s="167"/>
    </row>
    <row r="22" spans="1:6" ht="14.25">
      <c r="A22" s="218" t="s">
        <v>36</v>
      </c>
      <c r="B22" s="303" t="s">
        <v>37</v>
      </c>
      <c r="C22" s="167"/>
      <c r="E22" s="167"/>
      <c r="F22" s="167"/>
    </row>
    <row r="23" spans="1:6" ht="14.25">
      <c r="A23" s="218" t="s">
        <v>38</v>
      </c>
      <c r="B23" s="303" t="s">
        <v>39</v>
      </c>
      <c r="C23" s="167"/>
      <c r="E23" s="167"/>
      <c r="F23" s="167"/>
    </row>
    <row r="24" spans="1:6" ht="14.25">
      <c r="A24" s="218" t="s">
        <v>40</v>
      </c>
      <c r="B24" s="303" t="s">
        <v>41</v>
      </c>
      <c r="C24" s="167"/>
      <c r="E24" s="167"/>
      <c r="F24" s="167"/>
    </row>
    <row r="25" spans="1:6" ht="14.25">
      <c r="A25" s="218" t="s">
        <v>42</v>
      </c>
      <c r="B25" s="303" t="s">
        <v>43</v>
      </c>
      <c r="C25" s="167"/>
      <c r="E25" s="167"/>
      <c r="F25" s="167"/>
    </row>
    <row r="26" spans="1:6" ht="14.25">
      <c r="A26" s="218" t="s">
        <v>44</v>
      </c>
      <c r="B26" s="303" t="s">
        <v>45</v>
      </c>
      <c r="C26" s="167"/>
      <c r="E26" s="167"/>
      <c r="F26" s="167"/>
    </row>
    <row r="28" spans="1:6" ht="17.25">
      <c r="A28" s="223" t="s">
        <v>46</v>
      </c>
      <c r="C28" s="225" t="s">
        <v>47</v>
      </c>
      <c r="E28" s="167"/>
      <c r="F28" s="167"/>
    </row>
    <row r="29" spans="1:6">
      <c r="A29" s="224" t="s">
        <v>48</v>
      </c>
      <c r="B29" s="304" t="s">
        <v>49</v>
      </c>
      <c r="C29" s="226" t="s">
        <v>50</v>
      </c>
      <c r="D29" s="306" t="s">
        <v>51</v>
      </c>
      <c r="E29" s="167"/>
      <c r="F29" s="167"/>
    </row>
    <row r="30" spans="1:6">
      <c r="A30" s="164" t="s">
        <v>52</v>
      </c>
      <c r="B30" s="305" t="s">
        <v>53</v>
      </c>
      <c r="C30" s="227" t="s">
        <v>54</v>
      </c>
      <c r="D30" s="295" t="s">
        <v>55</v>
      </c>
      <c r="E30" s="167"/>
      <c r="F30" s="167"/>
    </row>
    <row r="31" spans="1:6">
      <c r="A31" s="164" t="s">
        <v>56</v>
      </c>
      <c r="B31" s="305" t="s">
        <v>57</v>
      </c>
      <c r="C31" s="228" t="s">
        <v>58</v>
      </c>
      <c r="D31" s="295" t="s">
        <v>59</v>
      </c>
      <c r="E31" s="167"/>
      <c r="F31" s="167"/>
    </row>
    <row r="32" spans="1:6">
      <c r="A32" s="164" t="s">
        <v>60</v>
      </c>
      <c r="B32" s="305" t="s">
        <v>61</v>
      </c>
      <c r="C32" s="229" t="s">
        <v>62</v>
      </c>
      <c r="D32" s="295" t="s">
        <v>63</v>
      </c>
      <c r="E32" s="167"/>
      <c r="F32" s="167"/>
    </row>
    <row r="33" spans="1:6">
      <c r="A33" s="164" t="s">
        <v>64</v>
      </c>
      <c r="B33" s="295" t="s">
        <v>65</v>
      </c>
      <c r="C33" s="167"/>
      <c r="E33" s="167"/>
      <c r="F33" s="167"/>
    </row>
    <row r="34" spans="1:6">
      <c r="A34" s="164" t="s">
        <v>66</v>
      </c>
      <c r="B34" s="295" t="s">
        <v>67</v>
      </c>
      <c r="C34" s="167"/>
      <c r="E34" s="167"/>
      <c r="F34" s="167"/>
    </row>
    <row r="35" spans="1:6">
      <c r="A35" s="164" t="s">
        <v>68</v>
      </c>
      <c r="B35" s="295" t="s">
        <v>69</v>
      </c>
      <c r="C35" s="167"/>
      <c r="E35" s="167"/>
      <c r="F35" s="167"/>
    </row>
    <row r="36" spans="1:6">
      <c r="A36" s="167"/>
      <c r="C36" s="167"/>
      <c r="E36" s="167"/>
      <c r="F36" s="167"/>
    </row>
    <row r="37" spans="1:6">
      <c r="A37" s="230" t="s">
        <v>70</v>
      </c>
      <c r="C37" s="167"/>
      <c r="E37" s="167"/>
      <c r="F37" s="167"/>
    </row>
  </sheetData>
  <mergeCells count="2">
    <mergeCell ref="A1:H1"/>
    <mergeCell ref="F3:H3"/>
  </mergeCells>
  <dataValidations count="7">
    <dataValidation type="list" allowBlank="1" showInputMessage="1" showErrorMessage="1" sqref="B8" xr:uid="{F66DD370-5673-4E8F-A6C5-62B9EFD1061A}">
      <formula1>"القطاع المركزي,القطاع الأوسط,القطاع الغربي,القطاع الجنوبي,القطاع الشمالي,القطاع الجبلي,قطاع بني مالك,قطاع فرسان"</formula1>
    </dataValidation>
    <dataValidation type="list" allowBlank="1" showInputMessage="1" showErrorMessage="1" sqref="B13 D13" xr:uid="{FF869C52-EDCC-4219-9EDB-8427EAF19439}">
      <formula1>"نعم,لا"</formula1>
    </dataValidation>
    <dataValidation type="list" allowBlank="1" showInputMessage="1" showErrorMessage="1" sqref="B14" xr:uid="{BFB06BC2-C4D1-4179-89B5-DD0EE7FF7A12}">
      <formula1>"🔴 حرج,🟠 عالي,🟡 متوسط,🟢 منخفض"</formula1>
    </dataValidation>
    <dataValidation type="list" allowBlank="1" showInputMessage="1" showErrorMessage="1" sqref="D14" xr:uid="{53889519-D152-472B-8BE7-D9E87BF236EA}">
      <formula1>"إحالة فورية,إحالة تخصصية,متابعة مكثفة,متابعة روتينية"</formula1>
    </dataValidation>
    <dataValidation type="list" allowBlank="1" showInputMessage="1" showErrorMessage="1" sqref="B15" xr:uid="{8C56E217-F754-45DE-B23F-5F0B507E46FC}">
      <formula1>"مستشفى جازان العام,مستشفى صبيا العام,مستشفى أبو عريش العام,مستشفى صامطة العام,مستشفى بيش العام,مستشفى الملك فهد المركزي"</formula1>
    </dataValidation>
    <dataValidation type="list" allowBlank="1" showInputMessage="1" showErrorMessage="1" sqref="B18" xr:uid="{C91A9234-F6AE-40DE-BAD4-2172141C3B03}">
      <formula1>"✅ حضرت,❌ لم تحضر,⏳ بانتظار"</formula1>
    </dataValidation>
    <dataValidation type="list" allowBlank="1" showInputMessage="1" showErrorMessage="1" sqref="D18" xr:uid="{8B1FED40-66F9-40C3-9D29-893A221821B7}">
      <formula1>"🟢 منخفض - يعود للمركز,🟡 عالي - متابعة بالمستشفى,🔴 عالي جداً - تحويل KFCH"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562C-075D-4E7E-A414-EED25C60B335}">
  <sheetPr>
    <tabColor rgb="FF8B4513"/>
  </sheetPr>
  <dimension ref="A1:E110"/>
  <sheetViews>
    <sheetView rightToLeft="1" topLeftCell="A11" workbookViewId="0">
      <selection activeCell="E109" sqref="E109"/>
    </sheetView>
  </sheetViews>
  <sheetFormatPr defaultRowHeight="13.5"/>
  <cols>
    <col min="1" max="1" width="30" customWidth="1"/>
    <col min="2" max="2" width="46.625" customWidth="1"/>
    <col min="3" max="4" width="30" customWidth="1"/>
    <col min="5" max="5" width="16.625" customWidth="1"/>
  </cols>
  <sheetData>
    <row r="1" spans="1:5" ht="35.25" customHeight="1">
      <c r="A1" s="319" t="s">
        <v>71</v>
      </c>
      <c r="B1" s="319"/>
      <c r="C1" s="319"/>
      <c r="D1" s="319"/>
      <c r="E1" s="319"/>
    </row>
    <row r="2" spans="1:5">
      <c r="A2" s="167"/>
      <c r="B2" s="167"/>
      <c r="C2" s="167"/>
      <c r="D2" s="167"/>
      <c r="E2" s="167"/>
    </row>
    <row r="3" spans="1:5" ht="17.25">
      <c r="A3" s="219" t="s">
        <v>72</v>
      </c>
      <c r="B3" s="167"/>
      <c r="C3" s="167"/>
      <c r="D3" s="167"/>
      <c r="E3" s="167"/>
    </row>
    <row r="4" spans="1:5">
      <c r="A4" s="231" t="s">
        <v>73</v>
      </c>
      <c r="B4" s="231" t="s">
        <v>74</v>
      </c>
      <c r="C4" s="231" t="s">
        <v>75</v>
      </c>
      <c r="D4" s="231"/>
      <c r="E4" s="167"/>
    </row>
    <row r="5" spans="1:5">
      <c r="A5" s="167" t="s">
        <v>36</v>
      </c>
      <c r="B5" s="167" t="s">
        <v>76</v>
      </c>
      <c r="C5" s="167" t="s">
        <v>77</v>
      </c>
      <c r="D5" s="167"/>
      <c r="E5" s="167"/>
    </row>
    <row r="6" spans="1:5">
      <c r="A6" s="167" t="s">
        <v>38</v>
      </c>
      <c r="B6" s="167" t="s">
        <v>78</v>
      </c>
      <c r="C6" s="167" t="s">
        <v>79</v>
      </c>
      <c r="D6" s="167"/>
      <c r="E6" s="167"/>
    </row>
    <row r="7" spans="1:5">
      <c r="A7" s="167" t="s">
        <v>40</v>
      </c>
      <c r="B7" s="167" t="s">
        <v>80</v>
      </c>
      <c r="C7" s="167" t="s">
        <v>81</v>
      </c>
      <c r="D7" s="167"/>
      <c r="E7" s="167"/>
    </row>
    <row r="8" spans="1:5">
      <c r="A8" s="167" t="s">
        <v>42</v>
      </c>
      <c r="B8" s="167" t="s">
        <v>82</v>
      </c>
      <c r="C8" s="167" t="s">
        <v>83</v>
      </c>
      <c r="D8" s="167"/>
      <c r="E8" s="167"/>
    </row>
    <row r="9" spans="1:5">
      <c r="A9" s="167" t="s">
        <v>44</v>
      </c>
      <c r="B9" s="167" t="s">
        <v>84</v>
      </c>
      <c r="C9" s="167" t="s">
        <v>85</v>
      </c>
      <c r="D9" s="167"/>
      <c r="E9" s="167"/>
    </row>
    <row r="10" spans="1:5">
      <c r="A10" s="167" t="s">
        <v>86</v>
      </c>
      <c r="B10" s="167" t="s">
        <v>87</v>
      </c>
      <c r="C10" s="167" t="s">
        <v>88</v>
      </c>
      <c r="D10" s="167"/>
      <c r="E10" s="167"/>
    </row>
    <row r="11" spans="1:5">
      <c r="A11" s="167" t="s">
        <v>89</v>
      </c>
      <c r="B11" s="167" t="s">
        <v>90</v>
      </c>
      <c r="C11" s="167" t="s">
        <v>91</v>
      </c>
      <c r="D11" s="167"/>
      <c r="E11" s="167"/>
    </row>
    <row r="12" spans="1:5">
      <c r="A12" s="167" t="s">
        <v>92</v>
      </c>
      <c r="B12" s="167" t="s">
        <v>93</v>
      </c>
      <c r="C12" s="167" t="s">
        <v>94</v>
      </c>
      <c r="D12" s="167"/>
      <c r="E12" s="167"/>
    </row>
    <row r="13" spans="1:5">
      <c r="A13" s="167" t="s">
        <v>95</v>
      </c>
      <c r="B13" s="167" t="s">
        <v>96</v>
      </c>
      <c r="C13" s="167" t="s">
        <v>97</v>
      </c>
      <c r="D13" s="167"/>
      <c r="E13" s="167"/>
    </row>
    <row r="14" spans="1:5">
      <c r="A14" s="167" t="s">
        <v>98</v>
      </c>
      <c r="B14" s="167" t="s">
        <v>99</v>
      </c>
      <c r="C14" s="167" t="s">
        <v>100</v>
      </c>
      <c r="D14" s="167"/>
      <c r="E14" s="167"/>
    </row>
    <row r="15" spans="1:5">
      <c r="A15" s="167"/>
      <c r="B15" s="167"/>
      <c r="C15" s="167"/>
      <c r="D15" s="167"/>
      <c r="E15" s="167"/>
    </row>
    <row r="16" spans="1:5" ht="17.25">
      <c r="A16" s="219" t="s">
        <v>101</v>
      </c>
      <c r="B16" s="167"/>
      <c r="C16" s="167"/>
      <c r="D16" s="167"/>
      <c r="E16" s="167"/>
    </row>
    <row r="17" spans="1:5">
      <c r="A17" s="167" t="s">
        <v>102</v>
      </c>
      <c r="B17" s="167" t="s">
        <v>103</v>
      </c>
      <c r="C17" s="167"/>
      <c r="D17" s="167"/>
      <c r="E17" s="167"/>
    </row>
    <row r="18" spans="1:5">
      <c r="A18" s="167" t="s">
        <v>104</v>
      </c>
      <c r="B18" s="167" t="s">
        <v>105</v>
      </c>
      <c r="C18" s="167"/>
      <c r="D18" s="167"/>
      <c r="E18" s="167"/>
    </row>
    <row r="19" spans="1:5">
      <c r="A19" s="167" t="s">
        <v>106</v>
      </c>
      <c r="B19" s="167" t="s">
        <v>107</v>
      </c>
      <c r="C19" s="167"/>
      <c r="D19" s="167"/>
      <c r="E19" s="167"/>
    </row>
    <row r="20" spans="1:5">
      <c r="A20" s="167" t="s">
        <v>108</v>
      </c>
      <c r="B20" s="167" t="s">
        <v>109</v>
      </c>
      <c r="C20" s="167"/>
      <c r="D20" s="167"/>
      <c r="E20" s="167"/>
    </row>
    <row r="21" spans="1:5">
      <c r="A21" s="167" t="s">
        <v>110</v>
      </c>
      <c r="B21" s="167" t="s">
        <v>111</v>
      </c>
      <c r="C21" s="167"/>
      <c r="D21" s="167"/>
      <c r="E21" s="167"/>
    </row>
    <row r="22" spans="1:5">
      <c r="A22" s="167"/>
      <c r="B22" s="167"/>
      <c r="C22" s="167"/>
      <c r="D22" s="167"/>
      <c r="E22" s="167"/>
    </row>
    <row r="23" spans="1:5" ht="17.25">
      <c r="A23" s="219" t="s">
        <v>112</v>
      </c>
      <c r="B23" s="167"/>
      <c r="C23" s="167"/>
      <c r="D23" s="167"/>
      <c r="E23" s="167"/>
    </row>
    <row r="24" spans="1:5">
      <c r="A24" s="231" t="s">
        <v>113</v>
      </c>
      <c r="B24" s="231" t="s">
        <v>114</v>
      </c>
      <c r="C24" s="231" t="s">
        <v>115</v>
      </c>
      <c r="D24" s="231" t="s">
        <v>75</v>
      </c>
      <c r="E24" s="167"/>
    </row>
    <row r="25" spans="1:5">
      <c r="A25" s="167" t="s">
        <v>116</v>
      </c>
      <c r="B25" s="167" t="s">
        <v>117</v>
      </c>
      <c r="C25" s="167" t="s">
        <v>118</v>
      </c>
      <c r="D25" s="167" t="s">
        <v>119</v>
      </c>
      <c r="E25" s="167"/>
    </row>
    <row r="26" spans="1:5">
      <c r="A26" s="167" t="s">
        <v>120</v>
      </c>
      <c r="B26" s="167" t="s">
        <v>121</v>
      </c>
      <c r="C26" s="167" t="s">
        <v>122</v>
      </c>
      <c r="D26" s="167" t="s">
        <v>123</v>
      </c>
      <c r="E26" s="167"/>
    </row>
    <row r="27" spans="1:5">
      <c r="A27" s="167" t="s">
        <v>124</v>
      </c>
      <c r="B27" s="167" t="s">
        <v>125</v>
      </c>
      <c r="C27" s="167" t="s">
        <v>126</v>
      </c>
      <c r="D27" s="167" t="s">
        <v>127</v>
      </c>
      <c r="E27" s="167"/>
    </row>
    <row r="28" spans="1:5">
      <c r="A28" s="167" t="s">
        <v>128</v>
      </c>
      <c r="B28" s="167" t="s">
        <v>129</v>
      </c>
      <c r="C28" s="167" t="s">
        <v>130</v>
      </c>
      <c r="D28" s="167" t="s">
        <v>131</v>
      </c>
      <c r="E28" s="167"/>
    </row>
    <row r="29" spans="1:5">
      <c r="A29" s="167" t="s">
        <v>132</v>
      </c>
      <c r="B29" s="167" t="s">
        <v>133</v>
      </c>
      <c r="C29" s="167" t="s">
        <v>126</v>
      </c>
      <c r="D29" s="167" t="s">
        <v>134</v>
      </c>
      <c r="E29" s="167"/>
    </row>
    <row r="30" spans="1:5">
      <c r="A30" s="167" t="s">
        <v>135</v>
      </c>
      <c r="B30" s="167" t="s">
        <v>136</v>
      </c>
      <c r="C30" s="167" t="s">
        <v>126</v>
      </c>
      <c r="D30" s="167" t="s">
        <v>137</v>
      </c>
      <c r="E30" s="167"/>
    </row>
    <row r="31" spans="1:5">
      <c r="A31" s="167" t="s">
        <v>138</v>
      </c>
      <c r="B31" s="167" t="s">
        <v>139</v>
      </c>
      <c r="C31" s="167" t="s">
        <v>122</v>
      </c>
      <c r="D31" s="167" t="s">
        <v>140</v>
      </c>
      <c r="E31" s="167"/>
    </row>
    <row r="32" spans="1:5">
      <c r="A32" s="167" t="s">
        <v>141</v>
      </c>
      <c r="B32" s="167" t="s">
        <v>142</v>
      </c>
      <c r="C32" s="167" t="s">
        <v>122</v>
      </c>
      <c r="D32" s="167" t="s">
        <v>52</v>
      </c>
      <c r="E32" s="167"/>
    </row>
    <row r="33" spans="1:5">
      <c r="A33" s="167" t="s">
        <v>143</v>
      </c>
      <c r="B33" s="167" t="s">
        <v>144</v>
      </c>
      <c r="C33" s="167" t="s">
        <v>122</v>
      </c>
      <c r="D33" s="167" t="s">
        <v>56</v>
      </c>
      <c r="E33" s="167"/>
    </row>
    <row r="34" spans="1:5">
      <c r="A34" s="167" t="s">
        <v>145</v>
      </c>
      <c r="B34" s="167" t="s">
        <v>146</v>
      </c>
      <c r="C34" s="167" t="s">
        <v>122</v>
      </c>
      <c r="D34" s="167" t="s">
        <v>60</v>
      </c>
      <c r="E34" s="167"/>
    </row>
    <row r="35" spans="1:5">
      <c r="A35" s="167" t="s">
        <v>147</v>
      </c>
      <c r="B35" s="167" t="s">
        <v>148</v>
      </c>
      <c r="C35" s="167" t="s">
        <v>122</v>
      </c>
      <c r="D35" s="167" t="s">
        <v>64</v>
      </c>
      <c r="E35" s="167"/>
    </row>
    <row r="36" spans="1:5">
      <c r="A36" s="167" t="s">
        <v>149</v>
      </c>
      <c r="B36" s="167" t="s">
        <v>150</v>
      </c>
      <c r="C36" s="167" t="s">
        <v>122</v>
      </c>
      <c r="D36" s="167" t="s">
        <v>66</v>
      </c>
      <c r="E36" s="167"/>
    </row>
    <row r="37" spans="1:5">
      <c r="A37" s="167" t="s">
        <v>151</v>
      </c>
      <c r="B37" s="167" t="s">
        <v>152</v>
      </c>
      <c r="C37" s="167" t="s">
        <v>126</v>
      </c>
      <c r="D37" s="167" t="s">
        <v>153</v>
      </c>
      <c r="E37" s="167"/>
    </row>
    <row r="38" spans="1:5">
      <c r="A38" s="167" t="s">
        <v>154</v>
      </c>
      <c r="B38" s="167" t="s">
        <v>155</v>
      </c>
      <c r="C38" s="167" t="s">
        <v>126</v>
      </c>
      <c r="D38" s="167" t="s">
        <v>156</v>
      </c>
      <c r="E38" s="167"/>
    </row>
    <row r="39" spans="1:5">
      <c r="A39" s="167" t="s">
        <v>157</v>
      </c>
      <c r="B39" s="167" t="s">
        <v>158</v>
      </c>
      <c r="C39" s="167" t="s">
        <v>122</v>
      </c>
      <c r="D39" s="167" t="s">
        <v>159</v>
      </c>
      <c r="E39" s="167"/>
    </row>
    <row r="40" spans="1:5">
      <c r="A40" s="167" t="s">
        <v>160</v>
      </c>
      <c r="B40" s="167" t="s">
        <v>161</v>
      </c>
      <c r="C40" s="167" t="s">
        <v>162</v>
      </c>
      <c r="D40" s="167" t="s">
        <v>163</v>
      </c>
      <c r="E40" s="167"/>
    </row>
    <row r="41" spans="1:5">
      <c r="A41" s="167"/>
      <c r="B41" s="167"/>
      <c r="C41" s="167"/>
      <c r="D41" s="167"/>
      <c r="E41" s="167"/>
    </row>
    <row r="42" spans="1:5" ht="17.25">
      <c r="A42" s="219" t="s">
        <v>164</v>
      </c>
      <c r="B42" s="167"/>
      <c r="C42" s="167"/>
      <c r="D42" s="167"/>
      <c r="E42" s="167"/>
    </row>
    <row r="43" spans="1:5">
      <c r="A43" s="231" t="s">
        <v>165</v>
      </c>
      <c r="B43" s="231" t="s">
        <v>51</v>
      </c>
      <c r="C43" s="231" t="s">
        <v>166</v>
      </c>
      <c r="D43" s="231"/>
      <c r="E43" s="167"/>
    </row>
    <row r="44" spans="1:5">
      <c r="A44" s="167">
        <v>1</v>
      </c>
      <c r="B44" s="167" t="s">
        <v>167</v>
      </c>
      <c r="C44" s="167" t="s">
        <v>168</v>
      </c>
      <c r="D44" s="167"/>
      <c r="E44" s="167"/>
    </row>
    <row r="45" spans="1:5">
      <c r="A45" s="167">
        <v>2</v>
      </c>
      <c r="B45" s="167" t="s">
        <v>169</v>
      </c>
      <c r="C45" s="167" t="s">
        <v>170</v>
      </c>
      <c r="D45" s="167"/>
      <c r="E45" s="167"/>
    </row>
    <row r="46" spans="1:5">
      <c r="A46" s="167">
        <v>3</v>
      </c>
      <c r="B46" s="167" t="s">
        <v>171</v>
      </c>
      <c r="C46" s="167" t="s">
        <v>172</v>
      </c>
      <c r="D46" s="167"/>
      <c r="E46" s="167"/>
    </row>
    <row r="47" spans="1:5">
      <c r="A47" s="167">
        <v>4</v>
      </c>
      <c r="B47" s="167" t="s">
        <v>173</v>
      </c>
      <c r="C47" s="167" t="s">
        <v>174</v>
      </c>
      <c r="D47" s="167"/>
      <c r="E47" s="167"/>
    </row>
    <row r="48" spans="1:5">
      <c r="A48" s="167">
        <v>5</v>
      </c>
      <c r="B48" s="167" t="s">
        <v>175</v>
      </c>
      <c r="C48" s="167" t="s">
        <v>176</v>
      </c>
      <c r="D48" s="167"/>
      <c r="E48" s="167"/>
    </row>
    <row r="49" spans="1:5">
      <c r="A49" s="167" t="s">
        <v>177</v>
      </c>
      <c r="B49" s="167" t="s">
        <v>178</v>
      </c>
      <c r="C49" s="167" t="s">
        <v>179</v>
      </c>
      <c r="D49" s="167"/>
      <c r="E49" s="167"/>
    </row>
    <row r="50" spans="1:5">
      <c r="A50" s="167"/>
      <c r="B50" s="167"/>
      <c r="C50" s="167"/>
      <c r="D50" s="167"/>
      <c r="E50" s="167"/>
    </row>
    <row r="51" spans="1:5" ht="17.25">
      <c r="A51" s="219" t="s">
        <v>180</v>
      </c>
      <c r="B51" s="167"/>
      <c r="C51" s="167"/>
      <c r="D51" s="167"/>
      <c r="E51" s="167"/>
    </row>
    <row r="52" spans="1:5">
      <c r="A52" s="231" t="s">
        <v>48</v>
      </c>
      <c r="B52" s="231" t="s">
        <v>181</v>
      </c>
      <c r="C52" s="231" t="s">
        <v>182</v>
      </c>
      <c r="D52" s="231"/>
      <c r="E52" s="167"/>
    </row>
    <row r="53" spans="1:5">
      <c r="A53" s="167" t="s">
        <v>52</v>
      </c>
      <c r="B53" s="167" t="s">
        <v>53</v>
      </c>
      <c r="C53" s="167" t="s">
        <v>183</v>
      </c>
      <c r="D53" s="167"/>
      <c r="E53" s="167"/>
    </row>
    <row r="54" spans="1:5">
      <c r="A54" s="167" t="s">
        <v>56</v>
      </c>
      <c r="B54" s="167" t="s">
        <v>57</v>
      </c>
      <c r="C54" s="167"/>
      <c r="D54" s="167"/>
      <c r="E54" s="167"/>
    </row>
    <row r="55" spans="1:5">
      <c r="A55" s="167" t="s">
        <v>60</v>
      </c>
      <c r="B55" s="167" t="s">
        <v>61</v>
      </c>
      <c r="C55" s="167"/>
      <c r="D55" s="167"/>
      <c r="E55" s="167"/>
    </row>
    <row r="56" spans="1:5">
      <c r="A56" s="167" t="s">
        <v>64</v>
      </c>
      <c r="B56" s="167" t="s">
        <v>65</v>
      </c>
      <c r="C56" s="167"/>
      <c r="D56" s="167"/>
      <c r="E56" s="167"/>
    </row>
    <row r="57" spans="1:5">
      <c r="A57" s="167" t="s">
        <v>66</v>
      </c>
      <c r="B57" s="167" t="s">
        <v>67</v>
      </c>
      <c r="C57" s="167"/>
      <c r="D57" s="167"/>
      <c r="E57" s="167"/>
    </row>
    <row r="58" spans="1:5">
      <c r="A58" s="167" t="s">
        <v>68</v>
      </c>
      <c r="B58" s="167" t="s">
        <v>69</v>
      </c>
      <c r="C58" s="167" t="s">
        <v>184</v>
      </c>
      <c r="D58" s="167"/>
      <c r="E58" s="167"/>
    </row>
    <row r="59" spans="1:5">
      <c r="A59" s="167"/>
      <c r="B59" s="167"/>
      <c r="C59" s="167"/>
      <c r="D59" s="167"/>
      <c r="E59" s="167"/>
    </row>
    <row r="60" spans="1:5" ht="17.25">
      <c r="A60" s="219" t="s">
        <v>185</v>
      </c>
      <c r="B60" s="167"/>
      <c r="C60" s="167"/>
      <c r="D60" s="167"/>
      <c r="E60" s="167"/>
    </row>
    <row r="61" spans="1:5">
      <c r="A61" s="231" t="s">
        <v>50</v>
      </c>
      <c r="B61" s="231" t="s">
        <v>186</v>
      </c>
      <c r="C61" s="231" t="s">
        <v>51</v>
      </c>
      <c r="D61" s="231" t="s">
        <v>187</v>
      </c>
      <c r="E61" s="167"/>
    </row>
    <row r="62" spans="1:5">
      <c r="A62" s="167" t="s">
        <v>188</v>
      </c>
      <c r="B62" s="167" t="s">
        <v>189</v>
      </c>
      <c r="C62" s="167" t="s">
        <v>55</v>
      </c>
      <c r="D62" s="167" t="s">
        <v>190</v>
      </c>
      <c r="E62" s="167"/>
    </row>
    <row r="63" spans="1:5">
      <c r="A63" s="167" t="s">
        <v>191</v>
      </c>
      <c r="B63" s="167" t="s">
        <v>192</v>
      </c>
      <c r="C63" s="167" t="s">
        <v>193</v>
      </c>
      <c r="D63" s="167" t="s">
        <v>194</v>
      </c>
      <c r="E63" s="167"/>
    </row>
    <row r="64" spans="1:5">
      <c r="A64" s="167" t="s">
        <v>195</v>
      </c>
      <c r="B64" s="167" t="s">
        <v>196</v>
      </c>
      <c r="C64" s="167" t="s">
        <v>197</v>
      </c>
      <c r="D64" s="167" t="s">
        <v>198</v>
      </c>
      <c r="E64" s="167"/>
    </row>
    <row r="65" spans="1:5">
      <c r="A65" s="167"/>
      <c r="B65" s="167"/>
      <c r="C65" s="167"/>
      <c r="D65" s="167"/>
      <c r="E65" s="167"/>
    </row>
    <row r="66" spans="1:5">
      <c r="A66" s="167" t="s">
        <v>199</v>
      </c>
      <c r="B66" s="167"/>
      <c r="C66" s="167"/>
      <c r="D66" s="167"/>
      <c r="E66" s="167"/>
    </row>
    <row r="67" spans="1:5" ht="17.25">
      <c r="A67" s="219" t="s">
        <v>200</v>
      </c>
      <c r="B67" s="167" t="s">
        <v>75</v>
      </c>
      <c r="C67" s="167" t="s">
        <v>201</v>
      </c>
      <c r="D67" s="167" t="s">
        <v>202</v>
      </c>
      <c r="E67" s="167"/>
    </row>
    <row r="68" spans="1:5">
      <c r="A68" s="231" t="s">
        <v>203</v>
      </c>
      <c r="B68" s="231" t="s">
        <v>204</v>
      </c>
      <c r="C68" s="232">
        <v>0.9</v>
      </c>
      <c r="D68" s="231" t="s">
        <v>205</v>
      </c>
      <c r="E68" s="167"/>
    </row>
    <row r="69" spans="1:5">
      <c r="A69" s="167" t="s">
        <v>206</v>
      </c>
      <c r="B69" s="167" t="s">
        <v>207</v>
      </c>
      <c r="C69" s="43">
        <v>0.8</v>
      </c>
      <c r="D69" s="167" t="s">
        <v>208</v>
      </c>
      <c r="E69" s="167"/>
    </row>
    <row r="70" spans="1:5">
      <c r="A70" s="167" t="s">
        <v>209</v>
      </c>
      <c r="B70" s="167" t="s">
        <v>210</v>
      </c>
      <c r="C70" s="43">
        <v>0.85</v>
      </c>
      <c r="D70" s="167" t="s">
        <v>211</v>
      </c>
      <c r="E70" s="167"/>
    </row>
    <row r="71" spans="1:5">
      <c r="A71" s="167" t="s">
        <v>212</v>
      </c>
      <c r="B71" s="167" t="s">
        <v>213</v>
      </c>
      <c r="C71" s="43">
        <v>0.95</v>
      </c>
      <c r="D71" s="167" t="s">
        <v>214</v>
      </c>
      <c r="E71" s="167"/>
    </row>
    <row r="72" spans="1:5">
      <c r="A72" s="167"/>
      <c r="B72" s="167"/>
      <c r="C72" s="167"/>
      <c r="D72" s="167"/>
      <c r="E72" s="167"/>
    </row>
    <row r="73" spans="1:5">
      <c r="A73" s="167" t="s">
        <v>215</v>
      </c>
      <c r="B73" s="167"/>
      <c r="C73" s="167"/>
      <c r="D73" s="167"/>
      <c r="E73" s="167"/>
    </row>
    <row r="74" spans="1:5">
      <c r="A74" s="167" t="s">
        <v>216</v>
      </c>
      <c r="B74" s="167" t="s">
        <v>217</v>
      </c>
      <c r="C74" s="167"/>
      <c r="D74" s="167"/>
      <c r="E74" s="167"/>
    </row>
    <row r="75" spans="1:5" ht="17.25">
      <c r="A75" s="219" t="s">
        <v>218</v>
      </c>
      <c r="B75" s="167" t="s">
        <v>219</v>
      </c>
      <c r="C75" s="167"/>
      <c r="D75" s="167"/>
      <c r="E75" s="167"/>
    </row>
    <row r="76" spans="1:5">
      <c r="A76" s="167" t="s">
        <v>220</v>
      </c>
      <c r="B76" s="167" t="s">
        <v>221</v>
      </c>
      <c r="C76" s="167"/>
      <c r="D76" s="167"/>
      <c r="E76" s="167"/>
    </row>
    <row r="77" spans="1:5">
      <c r="A77" s="167" t="s">
        <v>222</v>
      </c>
      <c r="B77" s="167" t="s">
        <v>223</v>
      </c>
      <c r="C77" s="167"/>
      <c r="D77" s="167"/>
      <c r="E77" s="167"/>
    </row>
    <row r="78" spans="1:5">
      <c r="A78" s="167" t="s">
        <v>224</v>
      </c>
      <c r="B78" s="167" t="s">
        <v>225</v>
      </c>
      <c r="C78" s="167"/>
      <c r="D78" s="167"/>
      <c r="E78" s="167"/>
    </row>
    <row r="79" spans="1:5">
      <c r="A79" s="167"/>
      <c r="B79" s="167"/>
      <c r="C79" s="167"/>
      <c r="D79" s="167"/>
      <c r="E79" s="167"/>
    </row>
    <row r="80" spans="1:5">
      <c r="A80" s="167" t="s">
        <v>226</v>
      </c>
      <c r="B80" s="167"/>
      <c r="C80" s="167"/>
      <c r="D80" s="167"/>
      <c r="E80" s="167"/>
    </row>
    <row r="81" spans="1:5">
      <c r="A81" s="167">
        <v>1</v>
      </c>
      <c r="B81" s="167" t="s">
        <v>227</v>
      </c>
      <c r="C81" s="167"/>
      <c r="D81" s="167"/>
      <c r="E81" s="167"/>
    </row>
    <row r="82" spans="1:5" ht="17.25">
      <c r="A82" s="219">
        <v>2</v>
      </c>
      <c r="B82" s="167" t="s">
        <v>228</v>
      </c>
      <c r="C82" s="167"/>
      <c r="D82" s="167"/>
      <c r="E82" s="167"/>
    </row>
    <row r="83" spans="1:5">
      <c r="A83" s="167">
        <v>3</v>
      </c>
      <c r="B83" s="167" t="s">
        <v>229</v>
      </c>
      <c r="C83" s="167"/>
      <c r="D83" s="167"/>
      <c r="E83" s="167"/>
    </row>
    <row r="84" spans="1:5">
      <c r="A84" s="167">
        <v>4</v>
      </c>
      <c r="B84" s="167" t="s">
        <v>230</v>
      </c>
      <c r="C84" s="167"/>
      <c r="D84" s="167"/>
      <c r="E84" s="167"/>
    </row>
    <row r="85" spans="1:5">
      <c r="A85" s="167" t="s">
        <v>231</v>
      </c>
      <c r="B85" s="167" t="s">
        <v>232</v>
      </c>
      <c r="C85" s="167"/>
      <c r="D85" s="167"/>
      <c r="E85" s="167"/>
    </row>
    <row r="86" spans="1:5">
      <c r="A86" s="167"/>
      <c r="B86" s="167"/>
      <c r="C86" s="167"/>
      <c r="D86" s="167"/>
      <c r="E86" s="167"/>
    </row>
    <row r="87" spans="1:5">
      <c r="A87" s="167" t="s">
        <v>233</v>
      </c>
      <c r="B87" s="167"/>
      <c r="C87" s="167"/>
      <c r="D87" s="167"/>
      <c r="E87" s="167"/>
    </row>
    <row r="88" spans="1:5">
      <c r="A88" s="167">
        <v>1</v>
      </c>
      <c r="B88" s="167" t="s">
        <v>234</v>
      </c>
      <c r="C88" s="167"/>
      <c r="D88" s="167"/>
      <c r="E88" s="167"/>
    </row>
    <row r="89" spans="1:5">
      <c r="A89" s="167">
        <v>2</v>
      </c>
      <c r="B89" s="167" t="s">
        <v>235</v>
      </c>
      <c r="C89" s="167"/>
      <c r="D89" s="167"/>
      <c r="E89" s="167"/>
    </row>
    <row r="90" spans="1:5" ht="17.25">
      <c r="A90" s="219">
        <v>3</v>
      </c>
      <c r="B90" s="167" t="s">
        <v>236</v>
      </c>
      <c r="C90" s="167"/>
      <c r="D90" s="167"/>
      <c r="E90" s="167"/>
    </row>
    <row r="91" spans="1:5">
      <c r="A91" s="167">
        <v>4</v>
      </c>
      <c r="B91" s="167" t="s">
        <v>237</v>
      </c>
      <c r="C91" s="167"/>
      <c r="D91" s="167"/>
      <c r="E91" s="167"/>
    </row>
    <row r="92" spans="1:5">
      <c r="A92" s="167" t="s">
        <v>231</v>
      </c>
      <c r="B92" s="167" t="s">
        <v>238</v>
      </c>
      <c r="C92" s="167"/>
      <c r="D92" s="167"/>
      <c r="E92" s="167"/>
    </row>
    <row r="93" spans="1:5">
      <c r="A93" s="167"/>
      <c r="B93" s="167"/>
      <c r="C93" s="167"/>
      <c r="D93" s="167"/>
      <c r="E93" s="167"/>
    </row>
    <row r="94" spans="1:5">
      <c r="A94" s="167" t="s">
        <v>239</v>
      </c>
      <c r="B94" s="167"/>
      <c r="C94" s="167"/>
      <c r="D94" s="167"/>
      <c r="E94" s="167"/>
    </row>
    <row r="95" spans="1:5">
      <c r="A95" s="167" t="s">
        <v>240</v>
      </c>
      <c r="B95" s="167" t="s">
        <v>241</v>
      </c>
      <c r="C95" s="167"/>
      <c r="D95" s="167"/>
      <c r="E95" s="167"/>
    </row>
    <row r="96" spans="1:5">
      <c r="A96" s="167" t="s">
        <v>240</v>
      </c>
      <c r="B96" s="167" t="s">
        <v>242</v>
      </c>
      <c r="C96" s="167"/>
      <c r="D96" s="167"/>
      <c r="E96" s="167"/>
    </row>
    <row r="97" spans="1:5">
      <c r="A97" s="167" t="s">
        <v>240</v>
      </c>
      <c r="B97" s="167" t="s">
        <v>243</v>
      </c>
      <c r="C97" s="167"/>
      <c r="D97" s="167"/>
      <c r="E97" s="167"/>
    </row>
    <row r="98" spans="1:5" ht="17.25">
      <c r="A98" s="219" t="s">
        <v>177</v>
      </c>
      <c r="B98" s="167" t="s">
        <v>244</v>
      </c>
      <c r="C98" s="167"/>
      <c r="D98" s="167"/>
      <c r="E98" s="167"/>
    </row>
    <row r="99" spans="1:5">
      <c r="A99" s="167" t="s">
        <v>177</v>
      </c>
      <c r="B99" s="167" t="s">
        <v>245</v>
      </c>
      <c r="C99" s="167"/>
      <c r="D99" s="167"/>
      <c r="E99" s="167"/>
    </row>
    <row r="100" spans="1:5">
      <c r="A100" s="167" t="s">
        <v>231</v>
      </c>
      <c r="B100" s="167" t="s">
        <v>246</v>
      </c>
      <c r="C100" s="167"/>
      <c r="D100" s="167"/>
      <c r="E100" s="167"/>
    </row>
    <row r="101" spans="1:5">
      <c r="A101" s="167" t="s">
        <v>231</v>
      </c>
      <c r="B101" s="167" t="s">
        <v>247</v>
      </c>
      <c r="C101" s="167"/>
      <c r="D101" s="167"/>
      <c r="E101" s="167"/>
    </row>
    <row r="102" spans="1:5">
      <c r="A102" s="167"/>
      <c r="B102" s="167"/>
      <c r="C102" s="167"/>
      <c r="D102" s="167"/>
      <c r="E102" s="167"/>
    </row>
    <row r="103" spans="1:5">
      <c r="A103" s="167" t="s">
        <v>248</v>
      </c>
      <c r="B103" s="167"/>
      <c r="C103" s="167"/>
      <c r="D103" s="167"/>
      <c r="E103" s="167"/>
    </row>
    <row r="104" spans="1:5">
      <c r="A104" s="167" t="s">
        <v>249</v>
      </c>
      <c r="B104" s="167" t="s">
        <v>250</v>
      </c>
      <c r="C104" s="167"/>
      <c r="D104" s="167"/>
      <c r="E104" s="167"/>
    </row>
    <row r="105" spans="1:5">
      <c r="A105" s="167" t="s">
        <v>251</v>
      </c>
      <c r="B105" s="167" t="s">
        <v>252</v>
      </c>
      <c r="C105" s="167"/>
      <c r="D105" s="167"/>
      <c r="E105" s="167"/>
    </row>
    <row r="106" spans="1:5">
      <c r="A106" s="167" t="s">
        <v>253</v>
      </c>
      <c r="B106" s="167" t="s">
        <v>254</v>
      </c>
      <c r="C106" s="167"/>
      <c r="D106" s="167"/>
      <c r="E106" s="167"/>
    </row>
    <row r="107" spans="1:5">
      <c r="A107" s="167"/>
      <c r="B107" s="167"/>
      <c r="C107" s="167"/>
      <c r="D107" s="167"/>
      <c r="E107" s="167"/>
    </row>
    <row r="108" spans="1:5">
      <c r="A108" s="167"/>
      <c r="B108" s="167"/>
      <c r="C108" s="167"/>
      <c r="D108" s="167"/>
      <c r="E108" s="167"/>
    </row>
    <row r="109" spans="1:5">
      <c r="A109" s="167"/>
      <c r="B109" s="167"/>
      <c r="C109" s="167"/>
      <c r="D109" s="167"/>
      <c r="E109" s="167"/>
    </row>
    <row r="110" spans="1:5">
      <c r="A110" s="167"/>
      <c r="B110" s="167"/>
      <c r="C110" s="167"/>
      <c r="D110" s="167"/>
      <c r="E110" s="167"/>
    </row>
  </sheetData>
  <sheetProtection sheet="1" objects="1" scenarios="1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EF0-7596-42CA-8950-89FA02B05A64}">
  <sheetPr>
    <tabColor rgb="FF1976D2"/>
  </sheetPr>
  <dimension ref="A1:F35"/>
  <sheetViews>
    <sheetView rightToLeft="1" workbookViewId="0">
      <selection sqref="A1:F1"/>
    </sheetView>
  </sheetViews>
  <sheetFormatPr defaultRowHeight="13.5"/>
  <cols>
    <col min="1" max="1" width="25" customWidth="1"/>
    <col min="2" max="2" width="13.375" customWidth="1"/>
    <col min="3" max="3" width="25" customWidth="1"/>
    <col min="4" max="4" width="30" customWidth="1"/>
    <col min="5" max="5" width="16.625" customWidth="1"/>
    <col min="6" max="6" width="13.375" customWidth="1"/>
  </cols>
  <sheetData>
    <row r="1" spans="1:6" ht="39.75" customHeight="1">
      <c r="A1" s="324" t="s">
        <v>255</v>
      </c>
      <c r="B1" s="315"/>
      <c r="C1" s="315"/>
      <c r="D1" s="315"/>
      <c r="E1" s="315"/>
      <c r="F1" s="315"/>
    </row>
    <row r="3" spans="1:6">
      <c r="A3" s="325" t="s">
        <v>256</v>
      </c>
      <c r="B3" s="315"/>
      <c r="C3" s="167"/>
      <c r="D3" s="325" t="s">
        <v>257</v>
      </c>
      <c r="E3" s="315"/>
      <c r="F3" s="315"/>
    </row>
    <row r="4" spans="1:6">
      <c r="A4" s="167" t="s">
        <v>258</v>
      </c>
      <c r="B4" s="167">
        <f>COUNTA(البيانات!V2:V1000)</f>
        <v>264</v>
      </c>
      <c r="C4" s="167"/>
      <c r="D4" s="63" t="s">
        <v>181</v>
      </c>
      <c r="E4" s="63" t="s">
        <v>259</v>
      </c>
      <c r="F4" s="63" t="s">
        <v>260</v>
      </c>
    </row>
    <row r="5" spans="1:6">
      <c r="A5" s="167" t="s">
        <v>261</v>
      </c>
      <c r="B5" s="167">
        <f>COUNTIFS(النظام_الذكي!G:G,"&gt;=4")</f>
        <v>113</v>
      </c>
      <c r="C5" s="167"/>
      <c r="D5" s="64" t="s">
        <v>262</v>
      </c>
      <c r="E5" s="167" cm="1">
        <f t="array" ref="E5">SUMPRODUCT((ISNUMBER(SEARCH("فهد",البيانات!$AS$2:$AS$300)))*1)</f>
        <v>1</v>
      </c>
      <c r="F5" s="43" t="str">
        <f>IF(E5=0,"0%",TEXT(E5/SUM(E5:E10),"0%"))</f>
        <v>0%</v>
      </c>
    </row>
    <row r="6" spans="1:6">
      <c r="A6" s="167" t="s">
        <v>263</v>
      </c>
      <c r="B6" s="167">
        <f>B4-B5</f>
        <v>151</v>
      </c>
      <c r="C6" s="167"/>
      <c r="D6" s="65" t="s">
        <v>57</v>
      </c>
      <c r="E6" s="167">
        <f>COUNTIF(البيانات!$AS:$AS,"*صبيا*")</f>
        <v>38</v>
      </c>
      <c r="F6" s="43" t="str">
        <f>IF(E6=0,"0%",TEXT(E6/SUM($E$5:$E$10),"0%"))</f>
        <v>15%</v>
      </c>
    </row>
    <row r="7" spans="1:6">
      <c r="A7" s="167"/>
      <c r="B7" s="167"/>
      <c r="C7" s="167"/>
      <c r="D7" s="66" t="s">
        <v>61</v>
      </c>
      <c r="E7" s="167">
        <f>COUNTIF(البيانات!$AS:$AS,"*عريش*")</f>
        <v>31</v>
      </c>
      <c r="F7" s="43" t="str">
        <f>IF(E7=0,"0%",TEXT(E7/SUM($E$5:$E$10),"0%"))</f>
        <v>12%</v>
      </c>
    </row>
    <row r="8" spans="1:6">
      <c r="A8" s="167" t="s">
        <v>264</v>
      </c>
      <c r="B8" s="167">
        <f>COUNTIFS(النظام_الذكي!H:H,"*حرج*")</f>
        <v>36</v>
      </c>
      <c r="C8" s="167"/>
      <c r="D8" s="67" t="s">
        <v>53</v>
      </c>
      <c r="E8" s="167">
        <f>COUNTIF(البيانات!$AS:$AS,"*جازان*")</f>
        <v>148</v>
      </c>
      <c r="F8" s="43" t="str">
        <f>IF(E8=0,"0%",TEXT(E8/SUM($E$5:$E$10),"0%"))</f>
        <v>56%</v>
      </c>
    </row>
    <row r="9" spans="1:6">
      <c r="A9" s="167" t="s">
        <v>265</v>
      </c>
      <c r="B9" s="167">
        <f>COUNTIFS(النظام_الذكي!H:H,"*عالي*")-B8</f>
        <v>21</v>
      </c>
      <c r="C9" s="167"/>
      <c r="D9" s="68" t="s">
        <v>65</v>
      </c>
      <c r="E9" s="167">
        <f>COUNTIF(البيانات!$AS:$AS,"*صامط*")</f>
        <v>29</v>
      </c>
      <c r="F9" s="43" t="str">
        <f>IF(E9=0,"0%",TEXT(E9/SUM($E$5:$E$10),"0%"))</f>
        <v>11%</v>
      </c>
    </row>
    <row r="10" spans="1:6">
      <c r="A10" s="167" t="s">
        <v>266</v>
      </c>
      <c r="B10" s="167">
        <f>COUNTIFS(النظام_الذكي!H:H,"*متوسط*")</f>
        <v>63</v>
      </c>
      <c r="C10" s="167"/>
      <c r="D10" s="69" t="s">
        <v>67</v>
      </c>
      <c r="E10" s="167">
        <f>COUNTIF(البيانات!$AS:$AS,"*بيش*")</f>
        <v>15</v>
      </c>
      <c r="F10" s="43" t="str">
        <f>IF(E10=0,"0%",TEXT(E10/SUM($E$5:$E$10),"0%"))</f>
        <v>6%</v>
      </c>
    </row>
    <row r="13" spans="1:6">
      <c r="A13" s="325" t="s">
        <v>267</v>
      </c>
      <c r="B13" s="315"/>
      <c r="C13" s="315"/>
      <c r="D13" s="167"/>
      <c r="E13" s="326" t="s">
        <v>268</v>
      </c>
      <c r="F13" s="315"/>
    </row>
    <row r="14" spans="1:6">
      <c r="A14" s="63" t="s">
        <v>48</v>
      </c>
      <c r="B14" s="63" t="s">
        <v>269</v>
      </c>
      <c r="C14" s="63" t="s">
        <v>49</v>
      </c>
      <c r="D14" s="167"/>
      <c r="E14" s="167" t="s">
        <v>36</v>
      </c>
      <c r="F14" s="167" t="s">
        <v>270</v>
      </c>
    </row>
    <row r="15" spans="1:6">
      <c r="A15" s="167" t="s">
        <v>271</v>
      </c>
      <c r="B15" s="167">
        <f>COUNTIFS(البيانات!F:F,"*مركزي*")+COUNTIFS(البيانات!F:F,"*Central*")</f>
        <v>226</v>
      </c>
      <c r="C15" s="167" t="s">
        <v>53</v>
      </c>
      <c r="D15" s="167"/>
      <c r="E15" s="167" t="s">
        <v>38</v>
      </c>
      <c r="F15" s="167" t="s">
        <v>272</v>
      </c>
    </row>
    <row r="16" spans="1:6">
      <c r="A16" s="167" t="s">
        <v>273</v>
      </c>
      <c r="B16" s="167">
        <f>COUNTIFS(البيانات!F:F,"*أوسط*")+COUNTIFS(البيانات!F:F,"*Middle*")</f>
        <v>22</v>
      </c>
      <c r="C16" s="167" t="s">
        <v>61</v>
      </c>
      <c r="D16" s="167"/>
      <c r="E16" s="167" t="s">
        <v>40</v>
      </c>
      <c r="F16" s="167" t="s">
        <v>274</v>
      </c>
    </row>
    <row r="17" spans="1:6">
      <c r="A17" s="167" t="s">
        <v>275</v>
      </c>
      <c r="B17" s="167">
        <f>COUNTIFS(البيانات!F:F,"*غربي*")+COUNTIFS(البيانات!F:F,"*Western*")</f>
        <v>43</v>
      </c>
      <c r="C17" s="167" t="s">
        <v>57</v>
      </c>
      <c r="D17" s="167"/>
      <c r="E17" s="167" t="s">
        <v>42</v>
      </c>
      <c r="F17" s="167" t="s">
        <v>276</v>
      </c>
    </row>
    <row r="18" spans="1:6">
      <c r="A18" s="167" t="s">
        <v>277</v>
      </c>
      <c r="B18" s="167">
        <f>COUNTIFS(البيانات!F:F,"*جنوبي*")+COUNTIFS(البيانات!F:F,"*Southern*")</f>
        <v>58</v>
      </c>
      <c r="C18" s="167" t="s">
        <v>65</v>
      </c>
      <c r="D18" s="167"/>
      <c r="E18" s="167" t="s">
        <v>44</v>
      </c>
      <c r="F18" s="167" t="s">
        <v>278</v>
      </c>
    </row>
    <row r="19" spans="1:6">
      <c r="A19" s="167" t="s">
        <v>279</v>
      </c>
      <c r="B19" s="167">
        <f>COUNTIFS(البيانات!F:F,"*شمالي*")+COUNTIFS(البيانات!F:F,"*Northern*")</f>
        <v>30</v>
      </c>
      <c r="C19" s="167" t="s">
        <v>67</v>
      </c>
      <c r="D19" s="167"/>
      <c r="E19" s="167"/>
      <c r="F19" s="167"/>
    </row>
    <row r="20" spans="1:6">
      <c r="A20" s="167" t="s">
        <v>280</v>
      </c>
      <c r="B20" s="167">
        <f>COUNTIFS(البيانات!F:F,"*جبلي*")+COUNTIFS(البيانات!F:F,"*aljabaly*")</f>
        <v>20</v>
      </c>
      <c r="C20" s="167" t="s">
        <v>57</v>
      </c>
      <c r="D20" s="167"/>
      <c r="E20" s="167"/>
      <c r="F20" s="167"/>
    </row>
    <row r="21" spans="1:6">
      <c r="A21" s="167" t="s">
        <v>281</v>
      </c>
      <c r="B21" s="167">
        <f>COUNTIFS(البيانات!F:F,"*بني مالك*")+COUNTIFS(البيانات!F:F,"*Bani Malik*")</f>
        <v>5</v>
      </c>
      <c r="C21" s="167" t="s">
        <v>61</v>
      </c>
      <c r="D21" s="167"/>
      <c r="E21" s="167"/>
      <c r="F21" s="167"/>
    </row>
    <row r="22" spans="1:6">
      <c r="A22" s="167" t="s">
        <v>282</v>
      </c>
      <c r="B22" s="167">
        <f>COUNTIFS(البيانات!F:F,"*فرسان*")+COUNTIFS(البيانات!F:F,"*Farasan*")</f>
        <v>0</v>
      </c>
      <c r="C22" s="167" t="s">
        <v>53</v>
      </c>
      <c r="D22" s="167"/>
      <c r="E22" s="167"/>
      <c r="F22" s="167"/>
    </row>
    <row r="24" spans="1:6">
      <c r="A24" s="27" t="s">
        <v>283</v>
      </c>
      <c r="B24" s="167"/>
      <c r="C24" s="167"/>
      <c r="D24" s="167"/>
      <c r="E24" s="167"/>
      <c r="F24" s="167"/>
    </row>
    <row r="25" spans="1:6">
      <c r="A25" s="321" t="s">
        <v>284</v>
      </c>
      <c r="B25" s="322"/>
      <c r="C25" s="322"/>
      <c r="D25" s="322"/>
      <c r="E25" s="322"/>
      <c r="F25" s="322"/>
    </row>
    <row r="26" spans="1:6">
      <c r="A26" s="323" t="s">
        <v>285</v>
      </c>
      <c r="B26" s="315"/>
      <c r="C26" s="315"/>
      <c r="D26" s="315"/>
      <c r="E26" s="315"/>
      <c r="F26" s="315"/>
    </row>
    <row r="27" spans="1:6">
      <c r="A27" s="323" t="s">
        <v>286</v>
      </c>
      <c r="B27" s="315"/>
      <c r="C27" s="315"/>
      <c r="D27" s="315"/>
      <c r="E27" s="315"/>
      <c r="F27" s="315"/>
    </row>
    <row r="29" spans="1:6" ht="14.25">
      <c r="A29" s="327" t="s">
        <v>287</v>
      </c>
      <c r="B29" s="315"/>
      <c r="C29" s="315"/>
      <c r="D29" s="167"/>
      <c r="E29" s="167"/>
      <c r="F29" s="167"/>
    </row>
    <row r="30" spans="1:6">
      <c r="A30" s="78" t="s">
        <v>200</v>
      </c>
      <c r="B30" s="78" t="s">
        <v>288</v>
      </c>
      <c r="C30" s="78" t="s">
        <v>260</v>
      </c>
      <c r="D30" s="167"/>
      <c r="E30" s="167"/>
      <c r="F30" s="167"/>
    </row>
    <row r="31" spans="1:6">
      <c r="A31" s="79" t="s">
        <v>289</v>
      </c>
      <c r="B31" s="185">
        <f>COUNTIF(البيانات!AK2:AK265,"✅ ملتزم")</f>
        <v>117</v>
      </c>
      <c r="C31" s="185" t="str">
        <f>TEXT(B31/(B31+B32),"0%")</f>
        <v>47%</v>
      </c>
      <c r="D31" s="167"/>
      <c r="E31" s="167"/>
      <c r="F31" s="167"/>
    </row>
    <row r="32" spans="1:6">
      <c r="A32" s="80" t="s">
        <v>290</v>
      </c>
      <c r="B32" s="185">
        <f>COUNTIF(البيانات!AK2:AK265,"❌ غير ملتزم")</f>
        <v>132</v>
      </c>
      <c r="C32" s="185" t="str">
        <f>TEXT(B32/(B31+B32),"0%")</f>
        <v>53%</v>
      </c>
      <c r="D32" s="167"/>
      <c r="E32" s="167"/>
      <c r="F32" s="167"/>
    </row>
    <row r="33" spans="1:3">
      <c r="A33" s="81" t="s">
        <v>291</v>
      </c>
      <c r="B33" s="185">
        <f>COUNTIF(البيانات!AK2:AK265,"⏳ بانتظار")</f>
        <v>15</v>
      </c>
      <c r="C33" s="185" t="str">
        <f>TEXT(B33/(B31+B32+B33),"0%")</f>
        <v>6%</v>
      </c>
    </row>
    <row r="35" spans="1:3">
      <c r="A35" s="320" t="s">
        <v>292</v>
      </c>
      <c r="B35" s="315"/>
      <c r="C35" s="315"/>
    </row>
  </sheetData>
  <sheetProtection sheet="1" objects="1" scenarios="1"/>
  <mergeCells count="10">
    <mergeCell ref="A35:C35"/>
    <mergeCell ref="A25:F25"/>
    <mergeCell ref="A26:F26"/>
    <mergeCell ref="A27:F27"/>
    <mergeCell ref="A1:F1"/>
    <mergeCell ref="A3:B3"/>
    <mergeCell ref="D3:F3"/>
    <mergeCell ref="A13:C13"/>
    <mergeCell ref="E13:F13"/>
    <mergeCell ref="A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5987-E502-4B2B-BDCA-DD6180522EAB}">
  <sheetPr>
    <tabColor rgb="FF1565C0"/>
  </sheetPr>
  <dimension ref="A1:L33"/>
  <sheetViews>
    <sheetView rightToLeft="1" workbookViewId="0">
      <pane ySplit="4" topLeftCell="A5" activePane="bottomLeft" state="frozen"/>
      <selection pane="bottomLeft" activeCell="B17" sqref="B17"/>
    </sheetView>
  </sheetViews>
  <sheetFormatPr defaultRowHeight="13.5"/>
  <cols>
    <col min="1" max="1" width="30" customWidth="1"/>
    <col min="2" max="2" width="16.625" customWidth="1"/>
    <col min="3" max="3" width="13.375" customWidth="1"/>
    <col min="4" max="4" width="20" customWidth="1"/>
    <col min="5" max="5" width="3.375" customWidth="1"/>
    <col min="6" max="6" width="30" customWidth="1"/>
    <col min="7" max="8" width="13.375" customWidth="1"/>
    <col min="9" max="9" width="25" customWidth="1"/>
  </cols>
  <sheetData>
    <row r="1" spans="1:12" ht="35.25" customHeight="1">
      <c r="A1" s="324" t="s">
        <v>293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</row>
    <row r="2" spans="1:12">
      <c r="A2" s="167" t="s">
        <v>294</v>
      </c>
      <c r="B2" s="169">
        <v>46154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</row>
    <row r="4" spans="1:12">
      <c r="A4" s="84" t="s">
        <v>295</v>
      </c>
      <c r="B4" s="84"/>
      <c r="C4" s="86" t="s">
        <v>296</v>
      </c>
      <c r="D4" s="86"/>
      <c r="E4" s="88" t="s">
        <v>297</v>
      </c>
      <c r="F4" s="88"/>
      <c r="G4" s="90" t="s">
        <v>298</v>
      </c>
      <c r="H4" s="90"/>
      <c r="I4" s="92" t="s">
        <v>299</v>
      </c>
      <c r="J4" s="92"/>
      <c r="K4" s="94" t="s">
        <v>300</v>
      </c>
      <c r="L4" s="94"/>
    </row>
    <row r="5" spans="1:12" ht="35.25" customHeight="1">
      <c r="A5" s="85">
        <f>COUNTA(البيانات!V2:V1000)</f>
        <v>264</v>
      </c>
      <c r="B5" s="85"/>
      <c r="C5" s="87">
        <f>COUNTIF(البيانات!AD2:AD1000,"Yes")</f>
        <v>45</v>
      </c>
      <c r="D5" s="87"/>
      <c r="E5" s="89">
        <f>COUNTIFS(البيانات!AD2:AD1000,"Yes",البيانات!AE2:AE1000,"No")</f>
        <v>27</v>
      </c>
      <c r="F5" s="89"/>
      <c r="G5" s="91">
        <f>COUNTIFS(البيانات!AD2:AD1000,"Yes",البيانات!AE2:AE1000,"Yes")</f>
        <v>18</v>
      </c>
      <c r="H5" s="91"/>
      <c r="I5" s="93">
        <f>COUNTIF(البيانات!T2:T1000,"&gt;40")</f>
        <v>21</v>
      </c>
      <c r="J5" s="93"/>
      <c r="K5" s="95">
        <f>COUNTIF(النظام_الذكي!H8:H500,"🔴 حرج")</f>
        <v>36</v>
      </c>
      <c r="L5" s="95"/>
    </row>
    <row r="7" spans="1:12" ht="17.25">
      <c r="A7" s="330" t="s">
        <v>301</v>
      </c>
      <c r="B7" s="330"/>
      <c r="C7" s="330"/>
      <c r="D7" s="330"/>
      <c r="E7" s="167"/>
      <c r="F7" s="331" t="s">
        <v>302</v>
      </c>
      <c r="G7" s="315"/>
      <c r="H7" s="315"/>
      <c r="I7" s="315"/>
      <c r="J7" s="167"/>
      <c r="K7" s="167"/>
      <c r="L7" s="167"/>
    </row>
    <row r="8" spans="1:12">
      <c r="A8" s="96" t="s">
        <v>181</v>
      </c>
      <c r="B8" s="96" t="s">
        <v>259</v>
      </c>
      <c r="C8" s="96" t="s">
        <v>260</v>
      </c>
      <c r="D8" s="96" t="s">
        <v>68</v>
      </c>
      <c r="E8" s="167"/>
      <c r="F8" s="98" t="s">
        <v>303</v>
      </c>
      <c r="G8" s="98" t="s">
        <v>288</v>
      </c>
      <c r="H8" s="98" t="s">
        <v>260</v>
      </c>
      <c r="I8" s="98" t="s">
        <v>51</v>
      </c>
      <c r="J8" s="167"/>
      <c r="K8" s="167"/>
      <c r="L8" s="167"/>
    </row>
    <row r="9" spans="1:12">
      <c r="A9" s="97" t="s">
        <v>53</v>
      </c>
      <c r="B9" s="185">
        <f>COUNTIF(البيانات!$AS:$AS,"*جازان*")</f>
        <v>148</v>
      </c>
      <c r="C9" s="44" t="str">
        <f>IF(B9=0,"0%",TEXT(B9/SUM($B$9:$B$14),"0%"))</f>
        <v>56%</v>
      </c>
      <c r="D9" s="185">
        <v>3</v>
      </c>
      <c r="E9" s="167"/>
      <c r="F9" s="99" t="s">
        <v>304</v>
      </c>
      <c r="G9" s="100">
        <f>COUNTIFS(النظام_الذكي!H:H,"*حرج*")</f>
        <v>36</v>
      </c>
      <c r="H9" s="101">
        <v>7.0000000000000007E-2</v>
      </c>
      <c r="I9" s="99" t="s">
        <v>305</v>
      </c>
      <c r="J9" s="167"/>
      <c r="K9" s="167"/>
      <c r="L9" s="167"/>
    </row>
    <row r="10" spans="1:12">
      <c r="A10" s="97" t="s">
        <v>57</v>
      </c>
      <c r="B10" s="185">
        <f>COUNTIF(البيانات!$AS:$AS,"*صبيا*")</f>
        <v>38</v>
      </c>
      <c r="C10" s="44" t="str">
        <f>IF(B10=0,"0%",TEXT(B10/SUM($B$9:$B$14),"0%"))</f>
        <v>15%</v>
      </c>
      <c r="D10" s="185">
        <v>2</v>
      </c>
      <c r="E10" s="167"/>
      <c r="F10" s="102" t="s">
        <v>306</v>
      </c>
      <c r="G10" s="103">
        <f>COUNTIFS(النظام_الذكي!H:H,"*عالي*")-G9</f>
        <v>21</v>
      </c>
      <c r="H10" s="104">
        <v>0.11</v>
      </c>
      <c r="I10" s="102" t="s">
        <v>307</v>
      </c>
      <c r="J10" s="167"/>
      <c r="K10" s="167"/>
      <c r="L10" s="167"/>
    </row>
    <row r="11" spans="1:12">
      <c r="A11" s="97" t="s">
        <v>61</v>
      </c>
      <c r="B11" s="185">
        <f>COUNTIF(البيانات!$AS:$AS,"*عريش*")</f>
        <v>31</v>
      </c>
      <c r="C11" s="44" t="str">
        <f>IF(B11=0,"0%",TEXT(B11/SUM($B$9:$B$14),"0%"))</f>
        <v>12%</v>
      </c>
      <c r="D11" s="185">
        <v>2</v>
      </c>
      <c r="E11" s="167"/>
      <c r="F11" s="105" t="s">
        <v>308</v>
      </c>
      <c r="G11" s="106">
        <f>COUNTIFS(النظام_الذكي!H:H,"*متوسط*")</f>
        <v>63</v>
      </c>
      <c r="H11" s="107">
        <v>0.22</v>
      </c>
      <c r="I11" s="105" t="s">
        <v>309</v>
      </c>
      <c r="J11" s="167"/>
      <c r="K11" s="167"/>
      <c r="L11" s="167"/>
    </row>
    <row r="12" spans="1:12">
      <c r="A12" s="97" t="s">
        <v>65</v>
      </c>
      <c r="B12" s="185">
        <f>COUNTIF(البيانات!$AS:$AS,"*صامط*")</f>
        <v>29</v>
      </c>
      <c r="C12" s="44" t="str">
        <f>IF(B12=0,"0%",TEXT(B12/SUM($B$9:$B$14),"0%"))</f>
        <v>11%</v>
      </c>
      <c r="D12" s="185">
        <v>3</v>
      </c>
      <c r="E12" s="167"/>
      <c r="F12" s="108" t="s">
        <v>54</v>
      </c>
      <c r="G12" s="109">
        <f>COUNTIFS(النظام_الذكي!H:H,"*منخفض*")</f>
        <v>108</v>
      </c>
      <c r="H12" s="110">
        <v>0.6</v>
      </c>
      <c r="I12" s="108" t="s">
        <v>310</v>
      </c>
      <c r="J12" s="167"/>
      <c r="K12" s="167"/>
      <c r="L12" s="167"/>
    </row>
    <row r="13" spans="1:12">
      <c r="A13" s="97" t="s">
        <v>67</v>
      </c>
      <c r="B13" s="185">
        <f>COUNTIF(البيانات!$AS:$AS,"*بيش*")</f>
        <v>15</v>
      </c>
      <c r="C13" s="44" t="str">
        <f>IF(B13=0,"0%",TEXT(B13/SUM($B$9:$B$14),"0%"))</f>
        <v>6%</v>
      </c>
      <c r="D13" s="185">
        <v>1</v>
      </c>
      <c r="E13" s="167"/>
      <c r="F13" s="167"/>
      <c r="G13" s="167"/>
      <c r="H13" s="167"/>
      <c r="I13" s="167"/>
      <c r="J13" s="167"/>
      <c r="K13" s="167"/>
      <c r="L13" s="167"/>
    </row>
    <row r="14" spans="1:12">
      <c r="A14" s="97" t="s">
        <v>69</v>
      </c>
      <c r="B14" s="185" cm="1">
        <f t="array" ref="B14">SUMPRODUCT((ISNUMBER(SEARCH("فهد",البيانات!$AS$2:$AS$300)))*1)</f>
        <v>1</v>
      </c>
      <c r="C14" s="185" t="str">
        <f>IF(B14=0,"0%",TEXT(B14/SUM(B9:B14),"0%"))</f>
        <v>0%</v>
      </c>
      <c r="D14" s="185">
        <v>0</v>
      </c>
      <c r="E14" s="167"/>
      <c r="F14" s="167"/>
      <c r="G14" s="167"/>
      <c r="H14" s="167"/>
      <c r="I14" s="167"/>
      <c r="J14" s="167"/>
      <c r="K14" s="167"/>
      <c r="L14" s="167"/>
    </row>
    <row r="16" spans="1:12" ht="17.25">
      <c r="A16" s="332" t="s">
        <v>311</v>
      </c>
      <c r="B16" s="315"/>
      <c r="C16" s="315"/>
      <c r="D16" s="315"/>
      <c r="E16" s="167"/>
      <c r="F16" s="333" t="s">
        <v>312</v>
      </c>
      <c r="G16" s="315"/>
      <c r="H16" s="315"/>
      <c r="I16" s="315"/>
      <c r="J16" s="167"/>
      <c r="K16" s="167"/>
      <c r="L16" s="167"/>
    </row>
    <row r="17" spans="1:12">
      <c r="A17" s="111" t="s">
        <v>4</v>
      </c>
      <c r="B17" s="123"/>
      <c r="C17" s="112"/>
      <c r="D17" s="112"/>
      <c r="E17" s="167"/>
      <c r="F17" s="113" t="s">
        <v>200</v>
      </c>
      <c r="G17" s="113" t="s">
        <v>288</v>
      </c>
      <c r="H17" s="113" t="s">
        <v>260</v>
      </c>
      <c r="I17" s="113" t="s">
        <v>313</v>
      </c>
      <c r="J17" s="167"/>
      <c r="K17" s="167"/>
      <c r="L17" s="167"/>
    </row>
    <row r="18" spans="1:12">
      <c r="A18" s="111" t="s">
        <v>7</v>
      </c>
      <c r="B18" s="112">
        <f>IFERROR(_xlfn.XLOOKUP(B17,البيانات!V:V,البيانات!U:U,"غير موجود"),"غير موجود")</f>
        <v>0</v>
      </c>
      <c r="C18" s="112"/>
      <c r="D18" s="112"/>
      <c r="E18" s="167"/>
      <c r="F18" s="108" t="s">
        <v>314</v>
      </c>
      <c r="G18" s="109">
        <f>COUNTIF(البيانات!AK2:AK265,"✅ ملتزم")</f>
        <v>117</v>
      </c>
      <c r="H18" s="110" t="str">
        <f>TEXT(G18/(G18+G19),"0%")</f>
        <v>47%</v>
      </c>
      <c r="I18" s="109" t="s">
        <v>315</v>
      </c>
      <c r="J18" s="167"/>
      <c r="K18" s="167"/>
      <c r="L18" s="167"/>
    </row>
    <row r="19" spans="1:12">
      <c r="A19" s="111" t="s">
        <v>9</v>
      </c>
      <c r="B19" s="112">
        <f>IFERROR(_xlfn.XLOOKUP(B17,البيانات!V:V,البيانات!T:T,"-"),"-")</f>
        <v>0</v>
      </c>
      <c r="C19" s="112"/>
      <c r="D19" s="112"/>
      <c r="E19" s="167"/>
      <c r="F19" s="99" t="s">
        <v>316</v>
      </c>
      <c r="G19" s="100">
        <f>COUNTIF(البيانات!AK2:AK265,"❌ غير ملتزم")</f>
        <v>132</v>
      </c>
      <c r="H19" s="101" t="str">
        <f>TEXT(G19/(G18+G19),"0%")</f>
        <v>53%</v>
      </c>
      <c r="I19" s="100" t="s">
        <v>317</v>
      </c>
      <c r="J19" s="167"/>
      <c r="K19" s="167"/>
      <c r="L19" s="167"/>
    </row>
    <row r="20" spans="1:12">
      <c r="A20" s="111" t="s">
        <v>12</v>
      </c>
      <c r="B20" s="112">
        <f>IFERROR(_xlfn.XLOOKUP(B17,البيانات!V:V,البيانات!F:F,"-"),"-")</f>
        <v>0</v>
      </c>
      <c r="C20" s="112"/>
      <c r="D20" s="112"/>
      <c r="E20" s="167"/>
      <c r="F20" s="114" t="s">
        <v>291</v>
      </c>
      <c r="G20" s="115">
        <f>COUNTIF(البيانات!AK2:AK265,"⏳ بانتظار")</f>
        <v>15</v>
      </c>
      <c r="H20" s="116" t="str">
        <f>TEXT(G20/(G18+G19+G20),"0%")</f>
        <v>6%</v>
      </c>
      <c r="I20" s="115" t="s">
        <v>318</v>
      </c>
      <c r="J20" s="167"/>
      <c r="K20" s="167"/>
      <c r="L20" s="167"/>
    </row>
    <row r="21" spans="1:12">
      <c r="A21" s="111" t="s">
        <v>10</v>
      </c>
      <c r="B21" s="112">
        <f>IFERROR(_xlfn.XLOOKUP(B17,البيانات!V:V,البيانات!Y:Y,"-"),"-")</f>
        <v>0</v>
      </c>
      <c r="C21" s="112"/>
      <c r="D21" s="112"/>
      <c r="E21" s="167"/>
      <c r="F21" s="167"/>
      <c r="G21" s="167"/>
      <c r="H21" s="167"/>
      <c r="I21" s="167"/>
      <c r="J21" s="167"/>
      <c r="K21" s="167"/>
      <c r="L21" s="167"/>
    </row>
    <row r="22" spans="1:12">
      <c r="A22" s="111" t="s">
        <v>19</v>
      </c>
      <c r="B22" s="112">
        <f>IFERROR(_xlfn.XLOOKUP(B17,البيانات!V:V,البيانات!AD:AD,"-"),"-")</f>
        <v>0</v>
      </c>
      <c r="C22" s="112"/>
      <c r="D22" s="112"/>
      <c r="E22" s="167"/>
      <c r="F22" s="334" t="s">
        <v>319</v>
      </c>
      <c r="G22" s="315"/>
      <c r="H22" s="315"/>
      <c r="I22" s="315"/>
      <c r="J22" s="167"/>
      <c r="K22" s="167"/>
      <c r="L22" s="167"/>
    </row>
    <row r="23" spans="1:12">
      <c r="A23" s="111" t="s">
        <v>320</v>
      </c>
      <c r="B23" s="112">
        <f>IFERROR(_xlfn.XLOOKUP(B17,البيانات!V:V,البيانات!AE:AE,"-"),"-")</f>
        <v>0</v>
      </c>
      <c r="C23" s="112"/>
      <c r="D23" s="112"/>
      <c r="E23" s="167"/>
      <c r="F23" s="167"/>
      <c r="G23" s="167"/>
      <c r="H23" s="167"/>
      <c r="I23" s="167"/>
      <c r="J23" s="167"/>
      <c r="K23" s="167"/>
      <c r="L23" s="167"/>
    </row>
    <row r="25" spans="1:12" ht="18">
      <c r="A25" s="328" t="s">
        <v>321</v>
      </c>
      <c r="B25" s="328"/>
      <c r="C25" s="328"/>
      <c r="D25" s="328"/>
      <c r="E25" s="328"/>
      <c r="F25" s="329"/>
      <c r="G25" s="328"/>
      <c r="H25" s="328"/>
      <c r="I25" s="328"/>
      <c r="J25" s="328"/>
      <c r="K25" s="328"/>
      <c r="L25" s="328"/>
    </row>
    <row r="26" spans="1:12">
      <c r="A26" s="98" t="s">
        <v>322</v>
      </c>
      <c r="B26" s="98">
        <f>COUNTIFS(البيانات!AD:AD,"Yes",البيانات!AE:AE,"No")</f>
        <v>27</v>
      </c>
      <c r="C26" s="98" t="s">
        <v>323</v>
      </c>
      <c r="D26" s="98"/>
      <c r="E26" s="167"/>
      <c r="F26" s="119" t="s">
        <v>36</v>
      </c>
      <c r="G26" s="119" t="s">
        <v>324</v>
      </c>
      <c r="H26" s="119"/>
      <c r="I26" s="119"/>
      <c r="J26" s="167"/>
      <c r="K26" s="167"/>
      <c r="L26" s="167"/>
    </row>
    <row r="27" spans="1:12">
      <c r="A27" s="117" t="s">
        <v>325</v>
      </c>
      <c r="B27" s="117">
        <f>COUNTIFS(النظام_الذكي!H:H,"*حرج*")</f>
        <v>36</v>
      </c>
      <c r="C27" s="117" t="s">
        <v>198</v>
      </c>
      <c r="D27" s="117"/>
      <c r="E27" s="167"/>
      <c r="F27" s="119" t="s">
        <v>38</v>
      </c>
      <c r="G27" s="119" t="s">
        <v>326</v>
      </c>
      <c r="H27" s="119"/>
      <c r="I27" s="119"/>
      <c r="J27" s="167"/>
      <c r="K27" s="167"/>
      <c r="L27" s="167"/>
    </row>
    <row r="28" spans="1:12">
      <c r="A28" s="118" t="s">
        <v>327</v>
      </c>
      <c r="B28" s="118">
        <f>COUNTIFS(البيانات!T:T,"&gt;40",البيانات!AD:AD,"Yes")</f>
        <v>10</v>
      </c>
      <c r="C28" s="118" t="s">
        <v>328</v>
      </c>
      <c r="D28" s="118"/>
      <c r="E28" s="167"/>
      <c r="F28" s="119" t="s">
        <v>40</v>
      </c>
      <c r="G28" s="119" t="s">
        <v>329</v>
      </c>
      <c r="H28" s="119"/>
      <c r="I28" s="119"/>
      <c r="J28" s="167"/>
      <c r="K28" s="167"/>
      <c r="L28" s="167"/>
    </row>
    <row r="29" spans="1:12">
      <c r="A29" s="167"/>
      <c r="B29" s="167"/>
      <c r="C29" s="167"/>
      <c r="D29" s="167"/>
      <c r="E29" s="167"/>
      <c r="F29" s="119" t="s">
        <v>42</v>
      </c>
      <c r="G29" s="119" t="s">
        <v>330</v>
      </c>
      <c r="H29" s="119"/>
      <c r="I29" s="119"/>
      <c r="J29" s="167"/>
      <c r="K29" s="167"/>
      <c r="L29" s="167"/>
    </row>
    <row r="30" spans="1:12">
      <c r="A30" s="167"/>
      <c r="B30" s="167"/>
      <c r="C30" s="167"/>
      <c r="D30" s="167"/>
      <c r="E30" s="167"/>
      <c r="F30" s="119" t="s">
        <v>44</v>
      </c>
      <c r="G30" s="119" t="s">
        <v>331</v>
      </c>
      <c r="H30" s="119"/>
      <c r="I30" s="119"/>
      <c r="J30" s="167"/>
      <c r="K30" s="167"/>
      <c r="L30" s="167"/>
    </row>
    <row r="32" spans="1:12" ht="14.25">
      <c r="A32" s="29" t="s">
        <v>332</v>
      </c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</row>
    <row r="33" spans="1:12">
      <c r="A33" s="120" t="s">
        <v>333</v>
      </c>
      <c r="B33" s="120" t="s">
        <v>334</v>
      </c>
      <c r="C33" s="120" t="s">
        <v>335</v>
      </c>
      <c r="D33" s="120" t="s">
        <v>336</v>
      </c>
      <c r="E33" s="120"/>
      <c r="F33" s="120" t="s">
        <v>337</v>
      </c>
      <c r="G33" s="120" t="s">
        <v>338</v>
      </c>
      <c r="H33" s="120" t="s">
        <v>339</v>
      </c>
      <c r="I33" s="120" t="s">
        <v>340</v>
      </c>
      <c r="J33" s="120" t="s">
        <v>341</v>
      </c>
      <c r="K33" s="120" t="s">
        <v>342</v>
      </c>
      <c r="L33" s="120" t="s">
        <v>343</v>
      </c>
    </row>
  </sheetData>
  <sheetProtection sheet="1" objects="1" scenarios="1"/>
  <mergeCells count="7">
    <mergeCell ref="A25:L25"/>
    <mergeCell ref="A1:L1"/>
    <mergeCell ref="A7:D7"/>
    <mergeCell ref="F7:I7"/>
    <mergeCell ref="A16:D16"/>
    <mergeCell ref="F16:I16"/>
    <mergeCell ref="F22:I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34E9-58D5-4529-92F9-35783B218F49}">
  <sheetPr>
    <tabColor rgb="FF00B050"/>
  </sheetPr>
  <dimension ref="A1:O273"/>
  <sheetViews>
    <sheetView rightToLeft="1" topLeftCell="H4" workbookViewId="0">
      <selection activeCell="B268" sqref="B268"/>
    </sheetView>
  </sheetViews>
  <sheetFormatPr defaultRowHeight="13.5"/>
  <cols>
    <col min="1" max="1" width="5.875" customWidth="1"/>
    <col min="2" max="2" width="16.625" customWidth="1"/>
    <col min="3" max="3" width="30" customWidth="1"/>
    <col min="4" max="4" width="7.5" customWidth="1"/>
    <col min="5" max="5" width="25" customWidth="1"/>
    <col min="6" max="6" width="11.625" customWidth="1"/>
    <col min="7" max="7" width="15" customWidth="1"/>
    <col min="8" max="8" width="14.125" customWidth="1"/>
    <col min="9" max="9" width="18.375" customWidth="1"/>
    <col min="10" max="10" width="16.625" customWidth="1"/>
    <col min="11" max="11" width="10" customWidth="1"/>
    <col min="12" max="12" width="25" customWidth="1"/>
    <col min="13" max="13" width="13.375" customWidth="1"/>
    <col min="14" max="15" width="10" customWidth="1"/>
  </cols>
  <sheetData>
    <row r="1" spans="1:15" ht="39.75" customHeight="1">
      <c r="A1" s="336" t="s">
        <v>344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70" t="s">
        <v>345</v>
      </c>
      <c r="N1" s="167"/>
      <c r="O1" s="167"/>
    </row>
    <row r="3" spans="1:15" ht="14.25">
      <c r="A3" s="167"/>
      <c r="B3" s="32" t="s">
        <v>346</v>
      </c>
      <c r="C3" s="167"/>
      <c r="D3" s="34" t="s">
        <v>296</v>
      </c>
      <c r="E3" s="167"/>
      <c r="F3" s="36" t="s">
        <v>347</v>
      </c>
      <c r="G3" s="167"/>
      <c r="H3" s="38" t="s">
        <v>348</v>
      </c>
      <c r="I3" s="167"/>
      <c r="J3" s="40" t="s">
        <v>349</v>
      </c>
      <c r="K3" s="167"/>
      <c r="L3" s="167"/>
      <c r="M3" s="338" t="s">
        <v>350</v>
      </c>
      <c r="N3" s="315"/>
      <c r="O3" s="315"/>
    </row>
    <row r="4" spans="1:15" ht="30">
      <c r="A4" s="167"/>
      <c r="B4" s="33">
        <f>COUNTA(البيانات!V2:V1000)</f>
        <v>264</v>
      </c>
      <c r="C4" s="167"/>
      <c r="D4" s="35">
        <f>COUNTIF(البيانات!AD2:AD1000,"Yes")</f>
        <v>45</v>
      </c>
      <c r="E4" s="167"/>
      <c r="F4" s="37">
        <f>COUNTIFS(البيانات!AD2:AD1000,"Yes",البيانات!AE2:AE1000,"No")</f>
        <v>27</v>
      </c>
      <c r="G4" s="167"/>
      <c r="H4" s="39">
        <f>COUNTIF(البيانات!T2:T1000,"&gt;40")</f>
        <v>21</v>
      </c>
      <c r="I4" s="167"/>
      <c r="J4" s="41">
        <f>COUNTIFS(البيانات!AD2:AD1000,"Yes",البيانات!AE2:AE1000,"Yes")</f>
        <v>18</v>
      </c>
      <c r="K4" s="167"/>
      <c r="L4" s="167"/>
      <c r="M4" s="42" t="s">
        <v>303</v>
      </c>
      <c r="N4" s="42" t="s">
        <v>288</v>
      </c>
      <c r="O4" s="42" t="s">
        <v>260</v>
      </c>
    </row>
    <row r="5" spans="1:15">
      <c r="A5" s="167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85" t="s">
        <v>304</v>
      </c>
      <c r="N5" s="185">
        <f>COUNTIF(H8:H273,"🔴 حرج")</f>
        <v>36</v>
      </c>
      <c r="O5" s="44" t="str">
        <f>IF(B4=0,"-",TEXT(N5/B4,"0%"))</f>
        <v>14%</v>
      </c>
    </row>
    <row r="6" spans="1:15" ht="18">
      <c r="A6" s="337" t="s">
        <v>351</v>
      </c>
      <c r="B6" s="315"/>
      <c r="C6" s="315"/>
      <c r="D6" s="315"/>
      <c r="E6" s="315"/>
      <c r="F6" s="315"/>
      <c r="G6" s="315"/>
      <c r="H6" s="315"/>
      <c r="I6" s="315"/>
      <c r="J6" s="315"/>
      <c r="K6" s="315"/>
      <c r="L6" s="167"/>
      <c r="M6" s="185" t="s">
        <v>306</v>
      </c>
      <c r="N6" s="185">
        <f>COUNTIF(H8:H273,"🟠 عالي")</f>
        <v>57</v>
      </c>
      <c r="O6" s="44" t="str">
        <f>IF(B4=0,"-",TEXT(N6/B4,"0%"))</f>
        <v>22%</v>
      </c>
    </row>
    <row r="7" spans="1:15" ht="24.75" customHeight="1">
      <c r="A7" s="42" t="s">
        <v>352</v>
      </c>
      <c r="B7" s="42" t="s">
        <v>353</v>
      </c>
      <c r="C7" s="42" t="s">
        <v>354</v>
      </c>
      <c r="D7" s="42" t="s">
        <v>355</v>
      </c>
      <c r="E7" s="42" t="s">
        <v>48</v>
      </c>
      <c r="F7" s="42" t="s">
        <v>356</v>
      </c>
      <c r="G7" s="42" t="s">
        <v>137</v>
      </c>
      <c r="H7" s="42" t="s">
        <v>357</v>
      </c>
      <c r="I7" s="42" t="s">
        <v>358</v>
      </c>
      <c r="J7" s="42" t="s">
        <v>313</v>
      </c>
      <c r="K7" s="42" t="s">
        <v>359</v>
      </c>
      <c r="L7" s="62" t="s">
        <v>360</v>
      </c>
      <c r="M7" s="185" t="s">
        <v>308</v>
      </c>
      <c r="N7" s="185">
        <f>COUNTIF(H8:H273,"🟡 متوسط")</f>
        <v>63</v>
      </c>
      <c r="O7" s="44" t="str">
        <f>IF(B4=0,"-",TEXT(N7/B4,"0%"))</f>
        <v>24%</v>
      </c>
    </row>
    <row r="8" spans="1:15">
      <c r="A8" s="185">
        <v>1</v>
      </c>
      <c r="B8" s="167">
        <v>1079626162</v>
      </c>
      <c r="C8" s="167" t="s">
        <v>361</v>
      </c>
      <c r="D8" s="185">
        <v>33</v>
      </c>
      <c r="E8" s="167" t="s">
        <v>362</v>
      </c>
      <c r="F8" s="185" t="s">
        <v>363</v>
      </c>
      <c r="G8" s="185">
        <v>2</v>
      </c>
      <c r="H8" s="185" t="s">
        <v>54</v>
      </c>
      <c r="I8" s="185" t="s">
        <v>310</v>
      </c>
      <c r="J8" s="185"/>
      <c r="K8" s="185">
        <v>4</v>
      </c>
      <c r="L8" s="167" t="s">
        <v>263</v>
      </c>
      <c r="M8" s="185" t="s">
        <v>54</v>
      </c>
      <c r="N8" s="185">
        <f>COUNTIF(H8:H273,"🟢 منخفض")</f>
        <v>108</v>
      </c>
      <c r="O8" s="44" t="str">
        <f>IF(B4=0,"-",TEXT(N8/B4,"0%"))</f>
        <v>41%</v>
      </c>
    </row>
    <row r="9" spans="1:15">
      <c r="A9" s="185">
        <v>2</v>
      </c>
      <c r="B9" s="167">
        <v>1096345218</v>
      </c>
      <c r="C9" s="167" t="s">
        <v>364</v>
      </c>
      <c r="D9" s="185">
        <v>38</v>
      </c>
      <c r="E9" s="167" t="s">
        <v>365</v>
      </c>
      <c r="F9" s="185" t="s">
        <v>363</v>
      </c>
      <c r="G9" s="185">
        <v>1</v>
      </c>
      <c r="H9" s="185" t="s">
        <v>54</v>
      </c>
      <c r="I9" s="185" t="s">
        <v>310</v>
      </c>
      <c r="J9" s="185"/>
      <c r="K9" s="185">
        <v>4</v>
      </c>
      <c r="L9" s="167" t="s">
        <v>263</v>
      </c>
      <c r="M9" s="167"/>
      <c r="N9" s="167"/>
      <c r="O9" s="167"/>
    </row>
    <row r="10" spans="1:15" ht="14.25">
      <c r="A10" s="185">
        <v>3</v>
      </c>
      <c r="B10" s="167">
        <v>1067876415</v>
      </c>
      <c r="C10" s="167" t="s">
        <v>366</v>
      </c>
      <c r="D10" s="185">
        <v>42</v>
      </c>
      <c r="E10" s="167" t="s">
        <v>367</v>
      </c>
      <c r="F10" s="185" t="s">
        <v>363</v>
      </c>
      <c r="G10" s="185">
        <v>6</v>
      </c>
      <c r="H10" s="185" t="s">
        <v>306</v>
      </c>
      <c r="I10" s="185" t="s">
        <v>307</v>
      </c>
      <c r="J10" s="185"/>
      <c r="K10" s="185">
        <v>2</v>
      </c>
      <c r="L10" s="167" t="s">
        <v>57</v>
      </c>
      <c r="M10" s="339" t="s">
        <v>368</v>
      </c>
      <c r="N10" s="315"/>
      <c r="O10" s="315"/>
    </row>
    <row r="11" spans="1:15" ht="18">
      <c r="A11" s="185">
        <v>4</v>
      </c>
      <c r="B11" s="167">
        <v>1108769298</v>
      </c>
      <c r="C11" s="167" t="s">
        <v>369</v>
      </c>
      <c r="D11" s="185">
        <v>26</v>
      </c>
      <c r="E11" s="167" t="s">
        <v>362</v>
      </c>
      <c r="F11" s="185" t="s">
        <v>370</v>
      </c>
      <c r="G11" s="185">
        <v>9</v>
      </c>
      <c r="H11" s="185" t="s">
        <v>304</v>
      </c>
      <c r="I11" s="185" t="s">
        <v>371</v>
      </c>
      <c r="J11" s="185" t="s">
        <v>298</v>
      </c>
      <c r="K11" s="185">
        <v>1</v>
      </c>
      <c r="L11" s="167" t="s">
        <v>372</v>
      </c>
      <c r="M11" s="185" t="s">
        <v>373</v>
      </c>
      <c r="N11" s="31">
        <f>N5</f>
        <v>36</v>
      </c>
      <c r="O11" s="167"/>
    </row>
    <row r="12" spans="1:15" ht="18">
      <c r="A12" s="185">
        <v>5</v>
      </c>
      <c r="B12" s="167">
        <v>1042803070</v>
      </c>
      <c r="C12" s="167" t="s">
        <v>374</v>
      </c>
      <c r="D12" s="185">
        <v>39</v>
      </c>
      <c r="E12" s="167" t="s">
        <v>375</v>
      </c>
      <c r="F12" s="185" t="s">
        <v>363</v>
      </c>
      <c r="G12" s="185">
        <v>3</v>
      </c>
      <c r="H12" s="185" t="s">
        <v>308</v>
      </c>
      <c r="I12" s="185" t="s">
        <v>309</v>
      </c>
      <c r="J12" s="185"/>
      <c r="K12" s="185">
        <v>3</v>
      </c>
      <c r="L12" s="167" t="s">
        <v>57</v>
      </c>
      <c r="M12" s="185" t="s">
        <v>307</v>
      </c>
      <c r="N12" s="31">
        <f>N6</f>
        <v>57</v>
      </c>
      <c r="O12" s="167"/>
    </row>
    <row r="13" spans="1:15" ht="18">
      <c r="A13" s="185">
        <v>6</v>
      </c>
      <c r="B13" s="167">
        <v>1076123767</v>
      </c>
      <c r="C13" s="167" t="s">
        <v>376</v>
      </c>
      <c r="D13" s="185">
        <v>40</v>
      </c>
      <c r="E13" s="167" t="s">
        <v>367</v>
      </c>
      <c r="F13" s="185" t="s">
        <v>363</v>
      </c>
      <c r="G13" s="185">
        <v>1</v>
      </c>
      <c r="H13" s="185" t="s">
        <v>54</v>
      </c>
      <c r="I13" s="185" t="s">
        <v>310</v>
      </c>
      <c r="J13" s="185"/>
      <c r="K13" s="185">
        <v>4</v>
      </c>
      <c r="L13" s="167" t="s">
        <v>263</v>
      </c>
      <c r="M13" s="185" t="s">
        <v>377</v>
      </c>
      <c r="N13" s="31">
        <f>F4</f>
        <v>27</v>
      </c>
      <c r="O13" s="167"/>
    </row>
    <row r="14" spans="1:15" ht="18">
      <c r="A14" s="185">
        <v>7</v>
      </c>
      <c r="B14" s="167">
        <v>1098883562</v>
      </c>
      <c r="C14" s="167" t="s">
        <v>378</v>
      </c>
      <c r="D14" s="185">
        <v>39</v>
      </c>
      <c r="E14" s="167" t="s">
        <v>362</v>
      </c>
      <c r="F14" s="185" t="s">
        <v>363</v>
      </c>
      <c r="G14" s="185">
        <v>3</v>
      </c>
      <c r="H14" s="185" t="s">
        <v>308</v>
      </c>
      <c r="I14" s="185" t="s">
        <v>309</v>
      </c>
      <c r="J14" s="185"/>
      <c r="K14" s="185">
        <v>3</v>
      </c>
      <c r="L14" s="167" t="s">
        <v>61</v>
      </c>
      <c r="M14" s="185" t="s">
        <v>309</v>
      </c>
      <c r="N14" s="31">
        <f>N7</f>
        <v>63</v>
      </c>
      <c r="O14" s="167"/>
    </row>
    <row r="15" spans="1:15">
      <c r="A15" s="185">
        <v>8</v>
      </c>
      <c r="B15" s="167">
        <v>1110869045</v>
      </c>
      <c r="C15" s="167" t="s">
        <v>379</v>
      </c>
      <c r="D15" s="185">
        <v>33</v>
      </c>
      <c r="E15" s="167" t="s">
        <v>365</v>
      </c>
      <c r="F15" s="185" t="s">
        <v>363</v>
      </c>
      <c r="G15" s="185">
        <v>0</v>
      </c>
      <c r="H15" s="185" t="s">
        <v>54</v>
      </c>
      <c r="I15" s="185" t="s">
        <v>310</v>
      </c>
      <c r="J15" s="185"/>
      <c r="K15" s="185">
        <v>4</v>
      </c>
      <c r="L15" s="167" t="s">
        <v>263</v>
      </c>
      <c r="M15" s="167"/>
      <c r="N15" s="167"/>
      <c r="O15" s="167"/>
    </row>
    <row r="16" spans="1:15" ht="14.25">
      <c r="A16" s="185">
        <v>9</v>
      </c>
      <c r="B16" s="167">
        <v>1131498006</v>
      </c>
      <c r="C16" s="167" t="s">
        <v>380</v>
      </c>
      <c r="D16" s="185">
        <v>34</v>
      </c>
      <c r="E16" s="167" t="s">
        <v>362</v>
      </c>
      <c r="F16" s="185" t="s">
        <v>363</v>
      </c>
      <c r="G16" s="185">
        <v>2</v>
      </c>
      <c r="H16" s="185" t="s">
        <v>54</v>
      </c>
      <c r="I16" s="185" t="s">
        <v>310</v>
      </c>
      <c r="J16" s="185"/>
      <c r="K16" s="185">
        <v>4</v>
      </c>
      <c r="L16" s="167" t="s">
        <v>263</v>
      </c>
      <c r="M16" s="340" t="s">
        <v>311</v>
      </c>
      <c r="N16" s="341"/>
      <c r="O16" s="341"/>
    </row>
    <row r="17" spans="1:15" ht="14.25">
      <c r="A17" s="185">
        <v>10</v>
      </c>
      <c r="B17" s="167">
        <v>1060748751</v>
      </c>
      <c r="C17" s="167" t="s">
        <v>381</v>
      </c>
      <c r="D17" s="185">
        <v>47</v>
      </c>
      <c r="E17" s="167" t="s">
        <v>375</v>
      </c>
      <c r="F17" s="185" t="s">
        <v>363</v>
      </c>
      <c r="G17" s="185">
        <v>7</v>
      </c>
      <c r="H17" s="185" t="s">
        <v>306</v>
      </c>
      <c r="I17" s="185" t="s">
        <v>307</v>
      </c>
      <c r="J17" s="185"/>
      <c r="K17" s="185">
        <v>2</v>
      </c>
      <c r="L17" s="167" t="s">
        <v>57</v>
      </c>
      <c r="M17" s="168" t="s">
        <v>4</v>
      </c>
      <c r="N17" s="50"/>
      <c r="O17" s="168"/>
    </row>
    <row r="18" spans="1:15">
      <c r="A18" s="185">
        <v>11</v>
      </c>
      <c r="B18" s="167">
        <v>1083600526</v>
      </c>
      <c r="C18" s="167" t="s">
        <v>382</v>
      </c>
      <c r="D18" s="185">
        <v>39</v>
      </c>
      <c r="E18" s="167" t="s">
        <v>375</v>
      </c>
      <c r="F18" s="185" t="s">
        <v>363</v>
      </c>
      <c r="G18" s="185">
        <v>3</v>
      </c>
      <c r="H18" s="185" t="s">
        <v>308</v>
      </c>
      <c r="I18" s="185" t="s">
        <v>309</v>
      </c>
      <c r="J18" s="185"/>
      <c r="K18" s="185">
        <v>3</v>
      </c>
      <c r="L18" s="167" t="s">
        <v>57</v>
      </c>
      <c r="M18" s="51" t="s">
        <v>7</v>
      </c>
      <c r="N18" s="52" t="str">
        <f>IF(N17="","أدخل السجل المدني",IFERROR(_xlfn.XLOOKUP(TEXT(N17,"0"),البيانات!V:V,البيانات!U:U),IFERROR(_xlfn.XLOOKUP(N17,البيانات!V:V,البيانات!U:U),"غير موجود")))</f>
        <v>أدخل السجل المدني</v>
      </c>
      <c r="O18" s="168"/>
    </row>
    <row r="19" spans="1:15">
      <c r="A19" s="185">
        <v>12</v>
      </c>
      <c r="B19" s="167">
        <v>1102804414</v>
      </c>
      <c r="C19" s="167" t="s">
        <v>383</v>
      </c>
      <c r="D19" s="185">
        <v>29</v>
      </c>
      <c r="E19" s="167" t="s">
        <v>365</v>
      </c>
      <c r="F19" s="185" t="s">
        <v>363</v>
      </c>
      <c r="G19" s="185">
        <v>2</v>
      </c>
      <c r="H19" s="185" t="s">
        <v>54</v>
      </c>
      <c r="I19" s="185" t="s">
        <v>310</v>
      </c>
      <c r="J19" s="185"/>
      <c r="K19" s="185">
        <v>4</v>
      </c>
      <c r="L19" s="167" t="s">
        <v>263</v>
      </c>
      <c r="M19" s="51" t="s">
        <v>9</v>
      </c>
      <c r="N19" s="52" t="str">
        <f>IF(N17="","-",IFERROR(_xlfn.XLOOKUP(TEXT(N17,"0"),البيانات!V:V,البيانات!T:T),IFERROR(_xlfn.XLOOKUP(N17,البيانات!V:V,البيانات!T:T),"-")))</f>
        <v>-</v>
      </c>
      <c r="O19" s="168"/>
    </row>
    <row r="20" spans="1:15">
      <c r="A20" s="185">
        <v>13</v>
      </c>
      <c r="B20" s="167">
        <v>1110832035</v>
      </c>
      <c r="C20" s="167" t="s">
        <v>384</v>
      </c>
      <c r="D20" s="185">
        <v>26</v>
      </c>
      <c r="E20" s="167" t="s">
        <v>367</v>
      </c>
      <c r="F20" s="185" t="s">
        <v>363</v>
      </c>
      <c r="G20" s="185">
        <v>2</v>
      </c>
      <c r="H20" s="185" t="s">
        <v>54</v>
      </c>
      <c r="I20" s="185" t="s">
        <v>310</v>
      </c>
      <c r="J20" s="185"/>
      <c r="K20" s="185">
        <v>4</v>
      </c>
      <c r="L20" s="167" t="s">
        <v>263</v>
      </c>
      <c r="M20" s="51" t="s">
        <v>12</v>
      </c>
      <c r="N20" s="52" t="str">
        <f>IF(N17="","-",IFERROR(_xlfn.XLOOKUP(TEXT(N17,"0"),البيانات!V:V,البيانات!F:F),IFERROR(_xlfn.XLOOKUP(N17,البيانات!V:V,البيانات!F:F),"-")))</f>
        <v>-</v>
      </c>
      <c r="O20" s="168"/>
    </row>
    <row r="21" spans="1:15">
      <c r="A21" s="185">
        <v>14</v>
      </c>
      <c r="B21" s="167">
        <v>1012673784</v>
      </c>
      <c r="C21" s="167" t="s">
        <v>385</v>
      </c>
      <c r="D21" s="185">
        <v>43</v>
      </c>
      <c r="E21" s="167" t="s">
        <v>365</v>
      </c>
      <c r="F21" s="185" t="s">
        <v>370</v>
      </c>
      <c r="G21" s="185">
        <v>11</v>
      </c>
      <c r="H21" s="185" t="s">
        <v>304</v>
      </c>
      <c r="I21" s="185" t="s">
        <v>371</v>
      </c>
      <c r="J21" s="185" t="s">
        <v>298</v>
      </c>
      <c r="K21" s="185">
        <v>1</v>
      </c>
      <c r="L21" s="167" t="s">
        <v>386</v>
      </c>
      <c r="M21" s="51" t="s">
        <v>19</v>
      </c>
      <c r="N21" s="52" t="str">
        <f>IF(N17="","-",IFERROR(IF(_xlfn.XLOOKUP(TEXT(N17,"0"),البيانات!V:V,البيانات!AD:AD)="Yes","🔴 نعم","🟢 لا"),IFERROR(IF(_xlfn.XLOOKUP(N17,البيانات!V:V,البيانات!AD:AD)="Yes","🔴 نعم","🟢 لا"),"-")))</f>
        <v>-</v>
      </c>
      <c r="O21" s="168"/>
    </row>
    <row r="22" spans="1:15">
      <c r="A22" s="185">
        <v>15</v>
      </c>
      <c r="B22" s="167">
        <v>1085003786</v>
      </c>
      <c r="C22" s="167" t="s">
        <v>387</v>
      </c>
      <c r="D22" s="185">
        <v>32</v>
      </c>
      <c r="E22" s="167" t="s">
        <v>365</v>
      </c>
      <c r="F22" s="185" t="s">
        <v>370</v>
      </c>
      <c r="G22" s="185">
        <v>7</v>
      </c>
      <c r="H22" s="185" t="s">
        <v>306</v>
      </c>
      <c r="I22" s="185" t="s">
        <v>307</v>
      </c>
      <c r="J22" s="185" t="s">
        <v>297</v>
      </c>
      <c r="K22" s="185">
        <v>2</v>
      </c>
      <c r="L22" s="167" t="s">
        <v>53</v>
      </c>
      <c r="M22" s="51" t="s">
        <v>388</v>
      </c>
      <c r="N22" s="52" t="str" cm="1">
        <f t="array" ref="N22">IF(N17="","-",IFERROR(_xlfn.XLOOKUP(N17*1,B8:B166,G8:G166),IFERROR(_xlfn.XLOOKUP(TEXT(N17,"0"),TEXT(B8:B166,"0"),G8:G166),"-")))</f>
        <v>-</v>
      </c>
      <c r="O22" s="168"/>
    </row>
    <row r="23" spans="1:15">
      <c r="A23" s="185">
        <v>16</v>
      </c>
      <c r="B23" s="167">
        <v>1115449041</v>
      </c>
      <c r="C23" s="167" t="s">
        <v>389</v>
      </c>
      <c r="D23" s="185">
        <v>24</v>
      </c>
      <c r="E23" s="167" t="s">
        <v>362</v>
      </c>
      <c r="F23" s="185" t="s">
        <v>363</v>
      </c>
      <c r="G23" s="185">
        <v>0</v>
      </c>
      <c r="H23" s="185" t="s">
        <v>54</v>
      </c>
      <c r="I23" s="185" t="s">
        <v>310</v>
      </c>
      <c r="J23" s="185"/>
      <c r="K23" s="185">
        <v>4</v>
      </c>
      <c r="L23" s="167" t="s">
        <v>263</v>
      </c>
      <c r="M23" s="51" t="s">
        <v>390</v>
      </c>
      <c r="N23" s="52" t="str" cm="1">
        <f t="array" ref="N23">IF(N17="","-",IFERROR(_xlfn.XLOOKUP(N17*1,B8:B166,H8:H166),IFERROR(_xlfn.XLOOKUP(TEXT(N17,"0"),TEXT(B8:B166,"0"),H8:H166),"-")))</f>
        <v>-</v>
      </c>
      <c r="O23" s="168"/>
    </row>
    <row r="24" spans="1:15">
      <c r="A24" s="185">
        <v>17</v>
      </c>
      <c r="B24" s="167">
        <v>1064754193</v>
      </c>
      <c r="C24" s="167" t="s">
        <v>391</v>
      </c>
      <c r="D24" s="185">
        <v>36</v>
      </c>
      <c r="E24" s="167" t="s">
        <v>365</v>
      </c>
      <c r="F24" s="185" t="s">
        <v>363</v>
      </c>
      <c r="G24" s="185">
        <v>3</v>
      </c>
      <c r="H24" s="185" t="s">
        <v>308</v>
      </c>
      <c r="I24" s="185" t="s">
        <v>309</v>
      </c>
      <c r="J24" s="185"/>
      <c r="K24" s="185">
        <v>3</v>
      </c>
      <c r="L24" s="167" t="s">
        <v>53</v>
      </c>
      <c r="M24" s="51" t="s">
        <v>392</v>
      </c>
      <c r="N24" s="52" t="str" cm="1">
        <f t="array" ref="N24">IF(N17="","-",IFERROR(_xlfn.XLOOKUP(N17*1,B8:B166,I8:I166),IFERROR(_xlfn.XLOOKUP(TEXT(N17,"0"),TEXT(B8:B166,"0"),I8:I166),"-")))</f>
        <v>-</v>
      </c>
      <c r="O24" s="168"/>
    </row>
    <row r="25" spans="1:15">
      <c r="A25" s="185">
        <v>18</v>
      </c>
      <c r="B25" s="167">
        <v>1098360264</v>
      </c>
      <c r="C25" s="167" t="s">
        <v>393</v>
      </c>
      <c r="D25" s="185">
        <v>29</v>
      </c>
      <c r="E25" s="167" t="s">
        <v>365</v>
      </c>
      <c r="F25" s="185" t="s">
        <v>363</v>
      </c>
      <c r="G25" s="185">
        <v>3</v>
      </c>
      <c r="H25" s="185" t="s">
        <v>308</v>
      </c>
      <c r="I25" s="185" t="s">
        <v>309</v>
      </c>
      <c r="J25" s="185"/>
      <c r="K25" s="185">
        <v>3</v>
      </c>
      <c r="L25" s="167" t="s">
        <v>53</v>
      </c>
      <c r="M25" s="167"/>
      <c r="N25" s="167"/>
      <c r="O25" s="167"/>
    </row>
    <row r="26" spans="1:15">
      <c r="A26" s="185">
        <v>19</v>
      </c>
      <c r="B26" s="167">
        <v>1081663989</v>
      </c>
      <c r="C26" s="167" t="s">
        <v>394</v>
      </c>
      <c r="D26" s="185">
        <v>33</v>
      </c>
      <c r="E26" s="167" t="s">
        <v>395</v>
      </c>
      <c r="F26" s="185" t="s">
        <v>363</v>
      </c>
      <c r="G26" s="185">
        <v>0</v>
      </c>
      <c r="H26" s="185" t="s">
        <v>54</v>
      </c>
      <c r="I26" s="185" t="s">
        <v>310</v>
      </c>
      <c r="J26" s="185"/>
      <c r="K26" s="185">
        <v>4</v>
      </c>
      <c r="L26" s="167" t="s">
        <v>263</v>
      </c>
      <c r="M26" s="335" t="s">
        <v>396</v>
      </c>
      <c r="N26" s="315"/>
      <c r="O26" s="315"/>
    </row>
    <row r="27" spans="1:15">
      <c r="A27" s="185">
        <v>20</v>
      </c>
      <c r="B27" s="167">
        <v>1084038429</v>
      </c>
      <c r="C27" s="167" t="s">
        <v>397</v>
      </c>
      <c r="D27" s="185">
        <v>42</v>
      </c>
      <c r="E27" s="167" t="s">
        <v>365</v>
      </c>
      <c r="F27" s="185" t="s">
        <v>363</v>
      </c>
      <c r="G27" s="185">
        <v>11</v>
      </c>
      <c r="H27" s="185" t="s">
        <v>304</v>
      </c>
      <c r="I27" s="185" t="s">
        <v>371</v>
      </c>
      <c r="J27" s="185"/>
      <c r="K27" s="185">
        <v>1</v>
      </c>
      <c r="L27" s="167" t="s">
        <v>386</v>
      </c>
      <c r="M27" s="45" t="s">
        <v>398</v>
      </c>
      <c r="N27" s="167"/>
      <c r="O27" s="167"/>
    </row>
    <row r="28" spans="1:15">
      <c r="A28" s="185">
        <v>21</v>
      </c>
      <c r="B28" s="167">
        <v>1096237886</v>
      </c>
      <c r="C28" s="167" t="s">
        <v>399</v>
      </c>
      <c r="D28" s="185">
        <v>36</v>
      </c>
      <c r="E28" s="167" t="s">
        <v>362</v>
      </c>
      <c r="F28" s="185" t="s">
        <v>370</v>
      </c>
      <c r="G28" s="185">
        <v>8</v>
      </c>
      <c r="H28" s="185" t="s">
        <v>304</v>
      </c>
      <c r="I28" s="185" t="s">
        <v>371</v>
      </c>
      <c r="J28" s="185" t="s">
        <v>298</v>
      </c>
      <c r="K28" s="185">
        <v>1</v>
      </c>
      <c r="L28" s="167" t="s">
        <v>372</v>
      </c>
      <c r="M28" s="45" t="s">
        <v>400</v>
      </c>
      <c r="N28" s="167"/>
      <c r="O28" s="167"/>
    </row>
    <row r="29" spans="1:15">
      <c r="A29" s="185">
        <v>22</v>
      </c>
      <c r="B29" s="167">
        <v>1077958971</v>
      </c>
      <c r="C29" s="167" t="s">
        <v>401</v>
      </c>
      <c r="D29" s="185">
        <v>34</v>
      </c>
      <c r="E29" s="167" t="s">
        <v>402</v>
      </c>
      <c r="F29" s="185" t="s">
        <v>370</v>
      </c>
      <c r="G29" s="185">
        <v>7</v>
      </c>
      <c r="H29" s="185" t="s">
        <v>306</v>
      </c>
      <c r="I29" s="185" t="s">
        <v>307</v>
      </c>
      <c r="J29" s="185" t="s">
        <v>297</v>
      </c>
      <c r="K29" s="185">
        <v>2</v>
      </c>
      <c r="L29" s="167" t="s">
        <v>67</v>
      </c>
      <c r="M29" s="45" t="s">
        <v>403</v>
      </c>
      <c r="N29" s="167"/>
      <c r="O29" s="167"/>
    </row>
    <row r="30" spans="1:15">
      <c r="A30" s="185">
        <v>23</v>
      </c>
      <c r="B30" s="167">
        <v>1133657294</v>
      </c>
      <c r="C30" s="167" t="s">
        <v>404</v>
      </c>
      <c r="D30" s="185">
        <v>27</v>
      </c>
      <c r="E30" s="167" t="s">
        <v>395</v>
      </c>
      <c r="F30" s="185" t="s">
        <v>363</v>
      </c>
      <c r="G30" s="185">
        <v>2</v>
      </c>
      <c r="H30" s="185" t="s">
        <v>54</v>
      </c>
      <c r="I30" s="185" t="s">
        <v>310</v>
      </c>
      <c r="J30" s="185"/>
      <c r="K30" s="185">
        <v>4</v>
      </c>
      <c r="L30" s="167" t="s">
        <v>263</v>
      </c>
      <c r="M30" s="45" t="s">
        <v>405</v>
      </c>
      <c r="N30" s="167"/>
      <c r="O30" s="167"/>
    </row>
    <row r="31" spans="1:15">
      <c r="A31" s="185">
        <v>24</v>
      </c>
      <c r="B31" s="167">
        <v>1073801175</v>
      </c>
      <c r="C31" s="167" t="s">
        <v>406</v>
      </c>
      <c r="D31" s="185">
        <v>38</v>
      </c>
      <c r="E31" s="167" t="s">
        <v>402</v>
      </c>
      <c r="F31" s="185" t="s">
        <v>363</v>
      </c>
      <c r="G31" s="185">
        <v>3</v>
      </c>
      <c r="H31" s="185" t="s">
        <v>308</v>
      </c>
      <c r="I31" s="185" t="s">
        <v>309</v>
      </c>
      <c r="J31" s="185"/>
      <c r="K31" s="185">
        <v>3</v>
      </c>
      <c r="L31" s="167" t="s">
        <v>67</v>
      </c>
      <c r="M31" s="45" t="s">
        <v>407</v>
      </c>
      <c r="N31" s="167"/>
      <c r="O31" s="167"/>
    </row>
    <row r="32" spans="1:15">
      <c r="A32" s="185">
        <v>25</v>
      </c>
      <c r="B32" s="167">
        <v>1129763536</v>
      </c>
      <c r="C32" s="167" t="s">
        <v>408</v>
      </c>
      <c r="D32" s="185">
        <v>20</v>
      </c>
      <c r="E32" s="167" t="s">
        <v>375</v>
      </c>
      <c r="F32" s="185" t="s">
        <v>363</v>
      </c>
      <c r="G32" s="185">
        <v>0</v>
      </c>
      <c r="H32" s="185" t="s">
        <v>54</v>
      </c>
      <c r="I32" s="185" t="s">
        <v>310</v>
      </c>
      <c r="J32" s="185"/>
      <c r="K32" s="185">
        <v>4</v>
      </c>
      <c r="L32" s="167" t="s">
        <v>263</v>
      </c>
      <c r="M32" s="167"/>
      <c r="N32" s="167"/>
      <c r="O32" s="167"/>
    </row>
    <row r="33" spans="1:12">
      <c r="A33" s="185">
        <v>26</v>
      </c>
      <c r="B33" s="167">
        <v>1100678240</v>
      </c>
      <c r="C33" s="167" t="s">
        <v>409</v>
      </c>
      <c r="D33" s="185">
        <v>28</v>
      </c>
      <c r="E33" s="167" t="s">
        <v>367</v>
      </c>
      <c r="F33" s="185" t="s">
        <v>363</v>
      </c>
      <c r="G33" s="185">
        <v>0</v>
      </c>
      <c r="H33" s="185" t="s">
        <v>54</v>
      </c>
      <c r="I33" s="185" t="s">
        <v>310</v>
      </c>
      <c r="J33" s="185"/>
      <c r="K33" s="185">
        <v>4</v>
      </c>
      <c r="L33" s="167" t="s">
        <v>263</v>
      </c>
    </row>
    <row r="34" spans="1:12">
      <c r="A34" s="185">
        <v>27</v>
      </c>
      <c r="B34" s="167">
        <v>2500917717</v>
      </c>
      <c r="C34" s="167" t="s">
        <v>410</v>
      </c>
      <c r="D34" s="185">
        <v>26</v>
      </c>
      <c r="E34" s="167" t="s">
        <v>367</v>
      </c>
      <c r="F34" s="185" t="s">
        <v>363</v>
      </c>
      <c r="G34" s="185">
        <v>0</v>
      </c>
      <c r="H34" s="185" t="s">
        <v>54</v>
      </c>
      <c r="I34" s="185" t="s">
        <v>310</v>
      </c>
      <c r="J34" s="185"/>
      <c r="K34" s="185">
        <v>4</v>
      </c>
      <c r="L34" s="167" t="s">
        <v>263</v>
      </c>
    </row>
    <row r="35" spans="1:12">
      <c r="A35" s="185">
        <v>28</v>
      </c>
      <c r="B35" s="167">
        <v>1065088799</v>
      </c>
      <c r="C35" s="167" t="s">
        <v>411</v>
      </c>
      <c r="D35" s="185">
        <v>42</v>
      </c>
      <c r="E35" s="167" t="s">
        <v>365</v>
      </c>
      <c r="F35" s="185" t="s">
        <v>370</v>
      </c>
      <c r="G35" s="185">
        <v>13</v>
      </c>
      <c r="H35" s="185" t="s">
        <v>304</v>
      </c>
      <c r="I35" s="185" t="s">
        <v>371</v>
      </c>
      <c r="J35" s="185" t="s">
        <v>298</v>
      </c>
      <c r="K35" s="185">
        <v>1</v>
      </c>
      <c r="L35" s="167" t="s">
        <v>386</v>
      </c>
    </row>
    <row r="36" spans="1:12">
      <c r="A36" s="185">
        <v>29</v>
      </c>
      <c r="B36" s="167">
        <v>1099873398</v>
      </c>
      <c r="C36" s="167" t="s">
        <v>412</v>
      </c>
      <c r="D36" s="185">
        <v>38</v>
      </c>
      <c r="E36" s="167" t="s">
        <v>365</v>
      </c>
      <c r="F36" s="185" t="s">
        <v>370</v>
      </c>
      <c r="G36" s="185">
        <v>6</v>
      </c>
      <c r="H36" s="185" t="s">
        <v>306</v>
      </c>
      <c r="I36" s="185" t="s">
        <v>307</v>
      </c>
      <c r="J36" s="185" t="s">
        <v>298</v>
      </c>
      <c r="K36" s="185">
        <v>2</v>
      </c>
      <c r="L36" s="167" t="s">
        <v>53</v>
      </c>
    </row>
    <row r="37" spans="1:12">
      <c r="A37" s="185">
        <v>30</v>
      </c>
      <c r="B37" s="167">
        <v>1112003148</v>
      </c>
      <c r="C37" s="167" t="s">
        <v>413</v>
      </c>
      <c r="D37" s="185">
        <v>24</v>
      </c>
      <c r="E37" s="167" t="s">
        <v>367</v>
      </c>
      <c r="F37" s="185" t="s">
        <v>363</v>
      </c>
      <c r="G37" s="185">
        <v>2</v>
      </c>
      <c r="H37" s="185" t="s">
        <v>54</v>
      </c>
      <c r="I37" s="185" t="s">
        <v>310</v>
      </c>
      <c r="J37" s="185"/>
      <c r="K37" s="185">
        <v>4</v>
      </c>
      <c r="L37" s="167" t="s">
        <v>263</v>
      </c>
    </row>
    <row r="38" spans="1:12">
      <c r="A38" s="185">
        <v>31</v>
      </c>
      <c r="B38" s="167">
        <v>1078175161</v>
      </c>
      <c r="C38" s="167" t="s">
        <v>414</v>
      </c>
      <c r="D38" s="185">
        <v>36</v>
      </c>
      <c r="E38" s="167" t="s">
        <v>362</v>
      </c>
      <c r="F38" s="185" t="s">
        <v>363</v>
      </c>
      <c r="G38" s="185">
        <v>3</v>
      </c>
      <c r="H38" s="185" t="s">
        <v>308</v>
      </c>
      <c r="I38" s="185" t="s">
        <v>309</v>
      </c>
      <c r="J38" s="185"/>
      <c r="K38" s="185">
        <v>3</v>
      </c>
      <c r="L38" s="167" t="s">
        <v>61</v>
      </c>
    </row>
    <row r="39" spans="1:12">
      <c r="A39" s="185">
        <v>32</v>
      </c>
      <c r="B39" s="167">
        <v>1103541114</v>
      </c>
      <c r="C39" s="167" t="s">
        <v>415</v>
      </c>
      <c r="D39" s="185">
        <v>27</v>
      </c>
      <c r="E39" s="167" t="s">
        <v>365</v>
      </c>
      <c r="F39" s="185" t="s">
        <v>363</v>
      </c>
      <c r="G39" s="185">
        <v>0</v>
      </c>
      <c r="H39" s="185" t="s">
        <v>54</v>
      </c>
      <c r="I39" s="185" t="s">
        <v>310</v>
      </c>
      <c r="J39" s="185"/>
      <c r="K39" s="185">
        <v>4</v>
      </c>
      <c r="L39" s="167" t="s">
        <v>263</v>
      </c>
    </row>
    <row r="40" spans="1:12">
      <c r="A40" s="185">
        <v>33</v>
      </c>
      <c r="B40" s="167">
        <v>1118015930</v>
      </c>
      <c r="C40" s="167" t="s">
        <v>416</v>
      </c>
      <c r="D40" s="185">
        <v>36</v>
      </c>
      <c r="E40" s="167" t="s">
        <v>365</v>
      </c>
      <c r="F40" s="185" t="s">
        <v>363</v>
      </c>
      <c r="G40" s="185">
        <v>1</v>
      </c>
      <c r="H40" s="185" t="s">
        <v>54</v>
      </c>
      <c r="I40" s="185" t="s">
        <v>310</v>
      </c>
      <c r="J40" s="185"/>
      <c r="K40" s="185">
        <v>4</v>
      </c>
      <c r="L40" s="167" t="s">
        <v>263</v>
      </c>
    </row>
    <row r="41" spans="1:12">
      <c r="A41" s="185">
        <v>34</v>
      </c>
      <c r="B41" s="167">
        <v>1068377900</v>
      </c>
      <c r="C41" s="167" t="s">
        <v>417</v>
      </c>
      <c r="D41" s="185">
        <v>35</v>
      </c>
      <c r="E41" s="167" t="s">
        <v>365</v>
      </c>
      <c r="F41" s="185" t="s">
        <v>363</v>
      </c>
      <c r="G41" s="185">
        <v>2</v>
      </c>
      <c r="H41" s="185" t="s">
        <v>54</v>
      </c>
      <c r="I41" s="185" t="s">
        <v>310</v>
      </c>
      <c r="J41" s="185"/>
      <c r="K41" s="185">
        <v>4</v>
      </c>
      <c r="L41" s="167" t="s">
        <v>263</v>
      </c>
    </row>
    <row r="42" spans="1:12">
      <c r="A42" s="185">
        <v>35</v>
      </c>
      <c r="B42" s="167">
        <v>1104792658</v>
      </c>
      <c r="C42" s="167" t="s">
        <v>418</v>
      </c>
      <c r="D42" s="185">
        <v>27</v>
      </c>
      <c r="E42" s="167" t="s">
        <v>419</v>
      </c>
      <c r="F42" s="185" t="s">
        <v>363</v>
      </c>
      <c r="G42" s="185">
        <v>2</v>
      </c>
      <c r="H42" s="185" t="s">
        <v>54</v>
      </c>
      <c r="I42" s="185" t="s">
        <v>310</v>
      </c>
      <c r="J42" s="185"/>
      <c r="K42" s="185">
        <v>4</v>
      </c>
      <c r="L42" s="167" t="s">
        <v>263</v>
      </c>
    </row>
    <row r="43" spans="1:12">
      <c r="A43" s="185">
        <v>36</v>
      </c>
      <c r="B43" s="167">
        <v>1095889521</v>
      </c>
      <c r="C43" s="167" t="s">
        <v>420</v>
      </c>
      <c r="D43" s="185">
        <v>28</v>
      </c>
      <c r="E43" s="167" t="s">
        <v>365</v>
      </c>
      <c r="F43" s="185" t="s">
        <v>363</v>
      </c>
      <c r="G43" s="185">
        <v>2</v>
      </c>
      <c r="H43" s="185" t="s">
        <v>54</v>
      </c>
      <c r="I43" s="185" t="s">
        <v>310</v>
      </c>
      <c r="J43" s="185"/>
      <c r="K43" s="185">
        <v>4</v>
      </c>
      <c r="L43" s="167" t="s">
        <v>263</v>
      </c>
    </row>
    <row r="44" spans="1:12">
      <c r="A44" s="185">
        <v>37</v>
      </c>
      <c r="B44" s="167">
        <v>1060745641</v>
      </c>
      <c r="C44" s="167" t="s">
        <v>421</v>
      </c>
      <c r="D44" s="185">
        <v>36</v>
      </c>
      <c r="E44" s="167" t="s">
        <v>365</v>
      </c>
      <c r="F44" s="185" t="s">
        <v>363</v>
      </c>
      <c r="G44" s="185">
        <v>1</v>
      </c>
      <c r="H44" s="185" t="s">
        <v>54</v>
      </c>
      <c r="I44" s="185" t="s">
        <v>310</v>
      </c>
      <c r="J44" s="185" t="s">
        <v>298</v>
      </c>
      <c r="K44" s="185">
        <v>4</v>
      </c>
      <c r="L44" s="167" t="s">
        <v>263</v>
      </c>
    </row>
    <row r="45" spans="1:12">
      <c r="A45" s="185">
        <v>38</v>
      </c>
      <c r="B45" s="167">
        <v>1080390451</v>
      </c>
      <c r="C45" s="167" t="s">
        <v>422</v>
      </c>
      <c r="D45" s="185">
        <v>33</v>
      </c>
      <c r="E45" s="167" t="s">
        <v>423</v>
      </c>
      <c r="F45" s="185" t="s">
        <v>363</v>
      </c>
      <c r="G45" s="185">
        <v>6</v>
      </c>
      <c r="H45" s="185" t="s">
        <v>306</v>
      </c>
      <c r="I45" s="185" t="s">
        <v>307</v>
      </c>
      <c r="J45" s="185"/>
      <c r="K45" s="185">
        <v>2</v>
      </c>
      <c r="L45" s="167" t="s">
        <v>61</v>
      </c>
    </row>
    <row r="46" spans="1:12">
      <c r="A46" s="185">
        <v>39</v>
      </c>
      <c r="B46" s="167">
        <v>1049993833</v>
      </c>
      <c r="C46" s="167" t="s">
        <v>424</v>
      </c>
      <c r="D46" s="185">
        <v>41</v>
      </c>
      <c r="E46" s="167" t="s">
        <v>425</v>
      </c>
      <c r="F46" s="185" t="s">
        <v>363</v>
      </c>
      <c r="G46" s="185">
        <v>4</v>
      </c>
      <c r="H46" s="185" t="s">
        <v>308</v>
      </c>
      <c r="I46" s="185" t="s">
        <v>309</v>
      </c>
      <c r="J46" s="185"/>
      <c r="K46" s="185">
        <v>3</v>
      </c>
      <c r="L46" s="167" t="s">
        <v>61</v>
      </c>
    </row>
    <row r="47" spans="1:12">
      <c r="A47" s="185">
        <v>40</v>
      </c>
      <c r="B47" s="167">
        <v>1090542885</v>
      </c>
      <c r="C47" s="167" t="s">
        <v>426</v>
      </c>
      <c r="D47" s="185">
        <v>30</v>
      </c>
      <c r="E47" s="167" t="s">
        <v>427</v>
      </c>
      <c r="F47" s="185" t="s">
        <v>363</v>
      </c>
      <c r="G47" s="185">
        <v>8</v>
      </c>
      <c r="H47" s="185" t="s">
        <v>304</v>
      </c>
      <c r="I47" s="185" t="s">
        <v>371</v>
      </c>
      <c r="J47" s="185"/>
      <c r="K47" s="185">
        <v>1</v>
      </c>
      <c r="L47" s="167" t="s">
        <v>428</v>
      </c>
    </row>
    <row r="48" spans="1:12">
      <c r="A48" s="185">
        <v>41</v>
      </c>
      <c r="B48" s="167">
        <v>1103036388</v>
      </c>
      <c r="C48" s="167" t="s">
        <v>429</v>
      </c>
      <c r="D48" s="185">
        <v>27</v>
      </c>
      <c r="E48" s="167" t="s">
        <v>365</v>
      </c>
      <c r="F48" s="185" t="s">
        <v>363</v>
      </c>
      <c r="G48" s="185">
        <v>6</v>
      </c>
      <c r="H48" s="185" t="s">
        <v>306</v>
      </c>
      <c r="I48" s="185" t="s">
        <v>307</v>
      </c>
      <c r="J48" s="185"/>
      <c r="K48" s="185">
        <v>2</v>
      </c>
      <c r="L48" s="167" t="s">
        <v>53</v>
      </c>
    </row>
    <row r="49" spans="1:12">
      <c r="A49" s="185">
        <v>42</v>
      </c>
      <c r="B49" s="167">
        <v>1092252798</v>
      </c>
      <c r="C49" s="167" t="s">
        <v>430</v>
      </c>
      <c r="D49" s="185">
        <v>30</v>
      </c>
      <c r="E49" s="167" t="s">
        <v>431</v>
      </c>
      <c r="F49" s="185" t="s">
        <v>363</v>
      </c>
      <c r="G49" s="185">
        <v>4</v>
      </c>
      <c r="H49" s="185" t="s">
        <v>308</v>
      </c>
      <c r="I49" s="185" t="s">
        <v>309</v>
      </c>
      <c r="J49" s="185"/>
      <c r="K49" s="185">
        <v>3</v>
      </c>
      <c r="L49" s="167" t="s">
        <v>53</v>
      </c>
    </row>
    <row r="50" spans="1:12">
      <c r="A50" s="185">
        <v>43</v>
      </c>
      <c r="B50" s="167">
        <v>2473991921</v>
      </c>
      <c r="C50" s="167" t="s">
        <v>432</v>
      </c>
      <c r="D50" s="185">
        <v>38</v>
      </c>
      <c r="E50" s="167" t="s">
        <v>431</v>
      </c>
      <c r="F50" s="185" t="s">
        <v>363</v>
      </c>
      <c r="G50" s="185">
        <v>6</v>
      </c>
      <c r="H50" s="185" t="s">
        <v>306</v>
      </c>
      <c r="I50" s="185" t="s">
        <v>307</v>
      </c>
      <c r="J50" s="185"/>
      <c r="K50" s="185">
        <v>2</v>
      </c>
      <c r="L50" s="167" t="s">
        <v>53</v>
      </c>
    </row>
    <row r="51" spans="1:12">
      <c r="A51" s="185">
        <v>44</v>
      </c>
      <c r="B51" s="167">
        <v>1073180869</v>
      </c>
      <c r="C51" s="167" t="s">
        <v>433</v>
      </c>
      <c r="D51" s="185">
        <v>34</v>
      </c>
      <c r="E51" s="167" t="s">
        <v>431</v>
      </c>
      <c r="F51" s="185" t="s">
        <v>363</v>
      </c>
      <c r="G51" s="185">
        <v>4</v>
      </c>
      <c r="H51" s="185" t="s">
        <v>308</v>
      </c>
      <c r="I51" s="185" t="s">
        <v>309</v>
      </c>
      <c r="J51" s="185"/>
      <c r="K51" s="185">
        <v>3</v>
      </c>
      <c r="L51" s="167" t="s">
        <v>53</v>
      </c>
    </row>
    <row r="52" spans="1:12">
      <c r="A52" s="185">
        <v>45</v>
      </c>
      <c r="B52" s="167">
        <v>1067796324</v>
      </c>
      <c r="C52" s="167" t="s">
        <v>434</v>
      </c>
      <c r="D52" s="185">
        <v>36</v>
      </c>
      <c r="E52" s="167" t="s">
        <v>435</v>
      </c>
      <c r="F52" s="185" t="s">
        <v>363</v>
      </c>
      <c r="G52" s="185">
        <v>6</v>
      </c>
      <c r="H52" s="185" t="s">
        <v>306</v>
      </c>
      <c r="I52" s="185" t="s">
        <v>307</v>
      </c>
      <c r="J52" s="185"/>
      <c r="K52" s="185">
        <v>2</v>
      </c>
      <c r="L52" s="167" t="s">
        <v>436</v>
      </c>
    </row>
    <row r="53" spans="1:12">
      <c r="A53" s="185">
        <v>46</v>
      </c>
      <c r="B53" s="167">
        <v>1128328653</v>
      </c>
      <c r="C53" s="167" t="s">
        <v>437</v>
      </c>
      <c r="D53" s="185">
        <v>42</v>
      </c>
      <c r="E53" s="167" t="s">
        <v>435</v>
      </c>
      <c r="F53" s="185" t="s">
        <v>363</v>
      </c>
      <c r="G53" s="185">
        <v>4</v>
      </c>
      <c r="H53" s="185" t="s">
        <v>308</v>
      </c>
      <c r="I53" s="185" t="s">
        <v>309</v>
      </c>
      <c r="J53" s="185"/>
      <c r="K53" s="185">
        <v>3</v>
      </c>
      <c r="L53" s="167" t="s">
        <v>436</v>
      </c>
    </row>
    <row r="54" spans="1:12">
      <c r="A54" s="185">
        <v>47</v>
      </c>
      <c r="B54" s="167">
        <v>1087731228</v>
      </c>
      <c r="C54" s="167" t="s">
        <v>438</v>
      </c>
      <c r="D54" s="185">
        <v>31</v>
      </c>
      <c r="E54" s="167" t="s">
        <v>431</v>
      </c>
      <c r="F54" s="185" t="s">
        <v>363</v>
      </c>
      <c r="G54" s="185">
        <v>4</v>
      </c>
      <c r="H54" s="185" t="s">
        <v>308</v>
      </c>
      <c r="I54" s="185" t="s">
        <v>309</v>
      </c>
      <c r="J54" s="185"/>
      <c r="K54" s="185">
        <v>3</v>
      </c>
      <c r="L54" s="167" t="s">
        <v>53</v>
      </c>
    </row>
    <row r="55" spans="1:12">
      <c r="A55" s="185">
        <v>48</v>
      </c>
      <c r="B55" s="167">
        <v>1067852978</v>
      </c>
      <c r="C55" s="167" t="s">
        <v>439</v>
      </c>
      <c r="D55" s="185">
        <v>38</v>
      </c>
      <c r="E55" s="167" t="s">
        <v>435</v>
      </c>
      <c r="F55" s="185" t="s">
        <v>363</v>
      </c>
      <c r="G55" s="185">
        <v>6</v>
      </c>
      <c r="H55" s="185" t="s">
        <v>306</v>
      </c>
      <c r="I55" s="185" t="s">
        <v>307</v>
      </c>
      <c r="J55" s="185"/>
      <c r="K55" s="185">
        <v>2</v>
      </c>
      <c r="L55" s="167" t="s">
        <v>436</v>
      </c>
    </row>
    <row r="56" spans="1:12">
      <c r="A56" s="185">
        <v>49</v>
      </c>
      <c r="B56" s="167">
        <v>1067275899</v>
      </c>
      <c r="C56" s="167" t="s">
        <v>440</v>
      </c>
      <c r="D56" s="185">
        <v>36</v>
      </c>
      <c r="E56" s="167" t="s">
        <v>431</v>
      </c>
      <c r="F56" s="185" t="s">
        <v>363</v>
      </c>
      <c r="G56" s="185">
        <v>4</v>
      </c>
      <c r="H56" s="185" t="s">
        <v>308</v>
      </c>
      <c r="I56" s="185" t="s">
        <v>309</v>
      </c>
      <c r="J56" s="185"/>
      <c r="K56" s="185">
        <v>3</v>
      </c>
      <c r="L56" s="167" t="s">
        <v>53</v>
      </c>
    </row>
    <row r="57" spans="1:12">
      <c r="A57" s="185">
        <v>50</v>
      </c>
      <c r="B57" s="167">
        <v>1143043576</v>
      </c>
      <c r="C57" s="167" t="s">
        <v>441</v>
      </c>
      <c r="D57" s="185" t="s">
        <v>442</v>
      </c>
      <c r="E57" s="167" t="s">
        <v>431</v>
      </c>
      <c r="F57" s="185" t="s">
        <v>363</v>
      </c>
      <c r="G57" s="185">
        <v>4</v>
      </c>
      <c r="H57" s="185" t="s">
        <v>308</v>
      </c>
      <c r="I57" s="185" t="s">
        <v>309</v>
      </c>
      <c r="J57" s="185"/>
      <c r="K57" s="185">
        <v>3</v>
      </c>
      <c r="L57" s="167" t="s">
        <v>53</v>
      </c>
    </row>
    <row r="58" spans="1:12">
      <c r="A58" s="185">
        <v>51</v>
      </c>
      <c r="B58" s="167">
        <v>1076797065</v>
      </c>
      <c r="C58" s="167" t="s">
        <v>443</v>
      </c>
      <c r="D58" s="185">
        <v>37</v>
      </c>
      <c r="E58" s="167" t="s">
        <v>431</v>
      </c>
      <c r="F58" s="185" t="s">
        <v>363</v>
      </c>
      <c r="G58" s="185">
        <v>9</v>
      </c>
      <c r="H58" s="185" t="s">
        <v>304</v>
      </c>
      <c r="I58" s="185" t="s">
        <v>371</v>
      </c>
      <c r="J58" s="185"/>
      <c r="K58" s="185">
        <v>1</v>
      </c>
      <c r="L58" s="167" t="s">
        <v>386</v>
      </c>
    </row>
    <row r="59" spans="1:12">
      <c r="A59" s="185">
        <v>52</v>
      </c>
      <c r="B59" s="167">
        <v>1100722410</v>
      </c>
      <c r="C59" s="167" t="s">
        <v>444</v>
      </c>
      <c r="D59" s="185">
        <v>28</v>
      </c>
      <c r="E59" s="167" t="s">
        <v>445</v>
      </c>
      <c r="F59" s="185" t="s">
        <v>370</v>
      </c>
      <c r="G59" s="185">
        <v>12</v>
      </c>
      <c r="H59" s="185" t="s">
        <v>304</v>
      </c>
      <c r="I59" s="185" t="s">
        <v>371</v>
      </c>
      <c r="J59" s="185" t="s">
        <v>298</v>
      </c>
      <c r="K59" s="185">
        <v>1</v>
      </c>
      <c r="L59" s="167" t="s">
        <v>428</v>
      </c>
    </row>
    <row r="60" spans="1:12">
      <c r="A60" s="185">
        <v>53</v>
      </c>
      <c r="B60" s="167">
        <v>2491982274</v>
      </c>
      <c r="C60" s="167" t="s">
        <v>446</v>
      </c>
      <c r="D60" s="185">
        <v>28</v>
      </c>
      <c r="E60" s="167" t="s">
        <v>435</v>
      </c>
      <c r="F60" s="185" t="s">
        <v>363</v>
      </c>
      <c r="G60" s="185">
        <v>4</v>
      </c>
      <c r="H60" s="185" t="s">
        <v>308</v>
      </c>
      <c r="I60" s="185" t="s">
        <v>309</v>
      </c>
      <c r="J60" s="185"/>
      <c r="K60" s="185">
        <v>3</v>
      </c>
      <c r="L60" s="167" t="s">
        <v>436</v>
      </c>
    </row>
    <row r="61" spans="1:12">
      <c r="A61" s="185">
        <v>54</v>
      </c>
      <c r="B61" s="167">
        <v>1019481843</v>
      </c>
      <c r="C61" s="167" t="s">
        <v>447</v>
      </c>
      <c r="D61" s="185">
        <v>43</v>
      </c>
      <c r="E61" s="167" t="s">
        <v>445</v>
      </c>
      <c r="F61" s="185" t="s">
        <v>370</v>
      </c>
      <c r="G61" s="185">
        <v>9</v>
      </c>
      <c r="H61" s="185" t="s">
        <v>304</v>
      </c>
      <c r="I61" s="185" t="s">
        <v>371</v>
      </c>
      <c r="J61" s="185" t="s">
        <v>298</v>
      </c>
      <c r="K61" s="185">
        <v>1</v>
      </c>
      <c r="L61" s="167" t="s">
        <v>428</v>
      </c>
    </row>
    <row r="62" spans="1:12">
      <c r="A62" s="185">
        <v>55</v>
      </c>
      <c r="B62" s="167">
        <v>107974781</v>
      </c>
      <c r="C62" s="167" t="s">
        <v>448</v>
      </c>
      <c r="D62" s="185">
        <v>33</v>
      </c>
      <c r="E62" s="167" t="s">
        <v>435</v>
      </c>
      <c r="F62" s="185" t="s">
        <v>370</v>
      </c>
      <c r="G62" s="185">
        <v>11</v>
      </c>
      <c r="H62" s="185" t="s">
        <v>304</v>
      </c>
      <c r="I62" s="185" t="s">
        <v>371</v>
      </c>
      <c r="J62" s="185" t="s">
        <v>297</v>
      </c>
      <c r="K62" s="185">
        <v>1</v>
      </c>
      <c r="L62" s="167" t="s">
        <v>436</v>
      </c>
    </row>
    <row r="63" spans="1:12">
      <c r="A63" s="185">
        <v>56</v>
      </c>
      <c r="B63" s="167">
        <v>2497025862</v>
      </c>
      <c r="C63" s="167" t="s">
        <v>449</v>
      </c>
      <c r="D63" s="185">
        <v>31</v>
      </c>
      <c r="E63" s="167" t="s">
        <v>431</v>
      </c>
      <c r="F63" s="185" t="s">
        <v>363</v>
      </c>
      <c r="G63" s="185">
        <v>6</v>
      </c>
      <c r="H63" s="185" t="s">
        <v>306</v>
      </c>
      <c r="I63" s="185" t="s">
        <v>307</v>
      </c>
      <c r="J63" s="185"/>
      <c r="K63" s="185">
        <v>2</v>
      </c>
      <c r="L63" s="167" t="s">
        <v>53</v>
      </c>
    </row>
    <row r="64" spans="1:12">
      <c r="A64" s="185">
        <v>57</v>
      </c>
      <c r="B64" s="167">
        <v>1077341780</v>
      </c>
      <c r="C64" s="167" t="s">
        <v>450</v>
      </c>
      <c r="D64" s="185">
        <v>34</v>
      </c>
      <c r="E64" s="167" t="s">
        <v>431</v>
      </c>
      <c r="F64" s="185" t="s">
        <v>363</v>
      </c>
      <c r="G64" s="185">
        <v>8</v>
      </c>
      <c r="H64" s="185" t="s">
        <v>304</v>
      </c>
      <c r="I64" s="185" t="s">
        <v>371</v>
      </c>
      <c r="J64" s="185"/>
      <c r="K64" s="185">
        <v>1</v>
      </c>
      <c r="L64" s="167" t="s">
        <v>386</v>
      </c>
    </row>
    <row r="65" spans="1:12">
      <c r="A65" s="185">
        <v>58</v>
      </c>
      <c r="B65" s="167">
        <v>1054054844</v>
      </c>
      <c r="C65" s="167" t="s">
        <v>451</v>
      </c>
      <c r="D65" s="185">
        <v>38</v>
      </c>
      <c r="E65" s="167" t="s">
        <v>431</v>
      </c>
      <c r="F65" s="185" t="s">
        <v>363</v>
      </c>
      <c r="G65" s="185">
        <v>6</v>
      </c>
      <c r="H65" s="185" t="s">
        <v>306</v>
      </c>
      <c r="I65" s="185" t="s">
        <v>307</v>
      </c>
      <c r="J65" s="185"/>
      <c r="K65" s="185">
        <v>2</v>
      </c>
      <c r="L65" s="167" t="s">
        <v>53</v>
      </c>
    </row>
    <row r="66" spans="1:12">
      <c r="A66" s="185">
        <v>59</v>
      </c>
      <c r="B66" s="167">
        <v>1072268608</v>
      </c>
      <c r="C66" s="167" t="s">
        <v>452</v>
      </c>
      <c r="D66" s="185">
        <v>35</v>
      </c>
      <c r="E66" s="167" t="s">
        <v>431</v>
      </c>
      <c r="F66" s="185" t="s">
        <v>363</v>
      </c>
      <c r="G66" s="185">
        <v>4</v>
      </c>
      <c r="H66" s="185" t="s">
        <v>308</v>
      </c>
      <c r="I66" s="185" t="s">
        <v>309</v>
      </c>
      <c r="J66" s="185"/>
      <c r="K66" s="185">
        <v>3</v>
      </c>
      <c r="L66" s="167" t="s">
        <v>53</v>
      </c>
    </row>
    <row r="67" spans="1:12">
      <c r="A67" s="185">
        <v>60</v>
      </c>
      <c r="B67" s="167">
        <v>2055979120</v>
      </c>
      <c r="C67" s="167" t="s">
        <v>453</v>
      </c>
      <c r="D67" s="185">
        <v>42</v>
      </c>
      <c r="E67" s="167" t="s">
        <v>431</v>
      </c>
      <c r="F67" s="185" t="s">
        <v>363</v>
      </c>
      <c r="G67" s="185">
        <v>6</v>
      </c>
      <c r="H67" s="185" t="s">
        <v>306</v>
      </c>
      <c r="I67" s="185" t="s">
        <v>307</v>
      </c>
      <c r="J67" s="185"/>
      <c r="K67" s="185">
        <v>2</v>
      </c>
      <c r="L67" s="167" t="s">
        <v>53</v>
      </c>
    </row>
    <row r="68" spans="1:12">
      <c r="A68" s="185">
        <v>61</v>
      </c>
      <c r="B68" s="167">
        <v>1101751707</v>
      </c>
      <c r="C68" s="167" t="s">
        <v>454</v>
      </c>
      <c r="D68" s="185">
        <v>28</v>
      </c>
      <c r="E68" s="167" t="s">
        <v>435</v>
      </c>
      <c r="F68" s="185" t="s">
        <v>363</v>
      </c>
      <c r="G68" s="185">
        <v>4</v>
      </c>
      <c r="H68" s="185" t="s">
        <v>308</v>
      </c>
      <c r="I68" s="185" t="s">
        <v>309</v>
      </c>
      <c r="J68" s="185"/>
      <c r="K68" s="185">
        <v>3</v>
      </c>
      <c r="L68" s="167" t="s">
        <v>436</v>
      </c>
    </row>
    <row r="69" spans="1:12">
      <c r="A69" s="185">
        <v>62</v>
      </c>
      <c r="B69" s="167">
        <v>1015011933</v>
      </c>
      <c r="C69" s="167" t="s">
        <v>455</v>
      </c>
      <c r="D69" s="185">
        <v>41</v>
      </c>
      <c r="E69" s="167" t="s">
        <v>431</v>
      </c>
      <c r="F69" s="185" t="s">
        <v>363</v>
      </c>
      <c r="G69" s="185">
        <v>4</v>
      </c>
      <c r="H69" s="185" t="s">
        <v>308</v>
      </c>
      <c r="I69" s="185" t="s">
        <v>309</v>
      </c>
      <c r="J69" s="185"/>
      <c r="K69" s="185">
        <v>3</v>
      </c>
      <c r="L69" s="167" t="s">
        <v>53</v>
      </c>
    </row>
    <row r="70" spans="1:12">
      <c r="A70" s="185">
        <v>63</v>
      </c>
      <c r="B70" s="167">
        <v>1090577048</v>
      </c>
      <c r="C70" s="167" t="s">
        <v>456</v>
      </c>
      <c r="D70" s="185">
        <v>30</v>
      </c>
      <c r="E70" s="167" t="s">
        <v>427</v>
      </c>
      <c r="F70" s="185" t="s">
        <v>363</v>
      </c>
      <c r="G70" s="185">
        <v>4</v>
      </c>
      <c r="H70" s="185" t="s">
        <v>308</v>
      </c>
      <c r="I70" s="185" t="s">
        <v>309</v>
      </c>
      <c r="J70" s="185"/>
      <c r="K70" s="185">
        <v>3</v>
      </c>
      <c r="L70" s="167" t="s">
        <v>57</v>
      </c>
    </row>
    <row r="71" spans="1:12">
      <c r="A71" s="185">
        <v>64</v>
      </c>
      <c r="B71" s="167">
        <v>1133130185</v>
      </c>
      <c r="C71" s="167" t="s">
        <v>457</v>
      </c>
      <c r="D71" s="185">
        <v>25</v>
      </c>
      <c r="E71" s="167" t="s">
        <v>431</v>
      </c>
      <c r="F71" s="185" t="s">
        <v>363</v>
      </c>
      <c r="G71" s="185">
        <v>4</v>
      </c>
      <c r="H71" s="185" t="s">
        <v>308</v>
      </c>
      <c r="I71" s="185" t="s">
        <v>309</v>
      </c>
      <c r="J71" s="185"/>
      <c r="K71" s="185">
        <v>3</v>
      </c>
      <c r="L71" s="167" t="s">
        <v>53</v>
      </c>
    </row>
    <row r="72" spans="1:12">
      <c r="A72" s="185">
        <v>65</v>
      </c>
      <c r="B72" s="167">
        <v>1107741249</v>
      </c>
      <c r="C72" s="167" t="s">
        <v>458</v>
      </c>
      <c r="D72" s="185">
        <v>26</v>
      </c>
      <c r="E72" s="167" t="s">
        <v>431</v>
      </c>
      <c r="F72" s="185" t="s">
        <v>363</v>
      </c>
      <c r="G72" s="185">
        <v>4</v>
      </c>
      <c r="H72" s="185" t="s">
        <v>308</v>
      </c>
      <c r="I72" s="185" t="s">
        <v>309</v>
      </c>
      <c r="J72" s="185"/>
      <c r="K72" s="185">
        <v>3</v>
      </c>
      <c r="L72" s="167" t="s">
        <v>53</v>
      </c>
    </row>
    <row r="73" spans="1:12">
      <c r="A73" s="185">
        <v>66</v>
      </c>
      <c r="B73" s="167">
        <v>1066057504</v>
      </c>
      <c r="C73" s="167" t="s">
        <v>459</v>
      </c>
      <c r="D73" s="185">
        <v>36</v>
      </c>
      <c r="E73" s="167" t="s">
        <v>431</v>
      </c>
      <c r="F73" s="185" t="s">
        <v>363</v>
      </c>
      <c r="G73" s="185">
        <v>6</v>
      </c>
      <c r="H73" s="185" t="s">
        <v>306</v>
      </c>
      <c r="I73" s="185" t="s">
        <v>307</v>
      </c>
      <c r="J73" s="185"/>
      <c r="K73" s="185">
        <v>2</v>
      </c>
      <c r="L73" s="167" t="s">
        <v>53</v>
      </c>
    </row>
    <row r="74" spans="1:12">
      <c r="A74" s="185">
        <v>67</v>
      </c>
      <c r="B74" s="167">
        <v>1074755255</v>
      </c>
      <c r="C74" s="167" t="s">
        <v>460</v>
      </c>
      <c r="D74" s="185">
        <v>41</v>
      </c>
      <c r="E74" s="167" t="s">
        <v>461</v>
      </c>
      <c r="F74" s="185" t="s">
        <v>363</v>
      </c>
      <c r="G74" s="185">
        <v>8</v>
      </c>
      <c r="H74" s="185" t="s">
        <v>304</v>
      </c>
      <c r="I74" s="185" t="s">
        <v>371</v>
      </c>
      <c r="J74" s="185"/>
      <c r="K74" s="185">
        <v>1</v>
      </c>
      <c r="L74" s="167" t="s">
        <v>462</v>
      </c>
    </row>
    <row r="75" spans="1:12">
      <c r="A75" s="185">
        <v>68</v>
      </c>
      <c r="B75" s="167">
        <v>1113502601</v>
      </c>
      <c r="C75" s="167" t="s">
        <v>463</v>
      </c>
      <c r="D75" s="185">
        <v>25</v>
      </c>
      <c r="E75" s="167" t="s">
        <v>431</v>
      </c>
      <c r="F75" s="185" t="s">
        <v>363</v>
      </c>
      <c r="G75" s="185">
        <v>4</v>
      </c>
      <c r="H75" s="185" t="s">
        <v>308</v>
      </c>
      <c r="I75" s="185" t="s">
        <v>309</v>
      </c>
      <c r="J75" s="185"/>
      <c r="K75" s="185">
        <v>3</v>
      </c>
      <c r="L75" s="167" t="s">
        <v>53</v>
      </c>
    </row>
    <row r="76" spans="1:12">
      <c r="A76" s="185">
        <v>69</v>
      </c>
      <c r="B76" s="167">
        <v>1119705216</v>
      </c>
      <c r="C76" s="167" t="s">
        <v>464</v>
      </c>
      <c r="D76" s="185">
        <v>26</v>
      </c>
      <c r="E76" s="167" t="s">
        <v>431</v>
      </c>
      <c r="F76" s="185" t="s">
        <v>363</v>
      </c>
      <c r="G76" s="185">
        <v>4</v>
      </c>
      <c r="H76" s="185" t="s">
        <v>308</v>
      </c>
      <c r="I76" s="185" t="s">
        <v>309</v>
      </c>
      <c r="J76" s="185"/>
      <c r="K76" s="185">
        <v>3</v>
      </c>
      <c r="L76" s="167" t="s">
        <v>53</v>
      </c>
    </row>
    <row r="77" spans="1:12">
      <c r="A77" s="185">
        <v>70</v>
      </c>
      <c r="B77" s="167">
        <v>1133354827</v>
      </c>
      <c r="C77" s="167" t="s">
        <v>465</v>
      </c>
      <c r="D77" s="185">
        <v>21</v>
      </c>
      <c r="E77" s="167" t="s">
        <v>431</v>
      </c>
      <c r="F77" s="185" t="s">
        <v>363</v>
      </c>
      <c r="G77" s="185">
        <v>6</v>
      </c>
      <c r="H77" s="185" t="s">
        <v>306</v>
      </c>
      <c r="I77" s="185" t="s">
        <v>307</v>
      </c>
      <c r="J77" s="185"/>
      <c r="K77" s="185">
        <v>2</v>
      </c>
      <c r="L77" s="167" t="s">
        <v>53</v>
      </c>
    </row>
    <row r="78" spans="1:12">
      <c r="A78" s="185">
        <v>71</v>
      </c>
      <c r="B78" s="167">
        <v>1104535321</v>
      </c>
      <c r="C78" s="167" t="s">
        <v>466</v>
      </c>
      <c r="D78" s="185">
        <v>27</v>
      </c>
      <c r="E78" s="167" t="s">
        <v>431</v>
      </c>
      <c r="F78" s="185" t="s">
        <v>363</v>
      </c>
      <c r="G78" s="185">
        <v>6</v>
      </c>
      <c r="H78" s="185" t="s">
        <v>306</v>
      </c>
      <c r="I78" s="185" t="s">
        <v>307</v>
      </c>
      <c r="J78" s="185"/>
      <c r="K78" s="185">
        <v>2</v>
      </c>
      <c r="L78" s="167" t="s">
        <v>53</v>
      </c>
    </row>
    <row r="79" spans="1:12">
      <c r="A79" s="185">
        <v>72</v>
      </c>
      <c r="B79" s="167">
        <v>2495492387</v>
      </c>
      <c r="C79" s="167" t="s">
        <v>467</v>
      </c>
      <c r="D79" s="185">
        <v>34</v>
      </c>
      <c r="E79" s="167" t="s">
        <v>468</v>
      </c>
      <c r="F79" s="185" t="s">
        <v>363</v>
      </c>
      <c r="G79" s="185">
        <v>4</v>
      </c>
      <c r="H79" s="185" t="s">
        <v>308</v>
      </c>
      <c r="I79" s="185" t="s">
        <v>309</v>
      </c>
      <c r="J79" s="185"/>
      <c r="K79" s="185">
        <v>3</v>
      </c>
      <c r="L79" s="167" t="s">
        <v>436</v>
      </c>
    </row>
    <row r="80" spans="1:12">
      <c r="A80" s="185">
        <v>73</v>
      </c>
      <c r="B80" s="167">
        <v>1050676012</v>
      </c>
      <c r="C80" s="167" t="s">
        <v>469</v>
      </c>
      <c r="D80" s="185">
        <v>41</v>
      </c>
      <c r="E80" s="167" t="s">
        <v>431</v>
      </c>
      <c r="F80" s="185" t="s">
        <v>370</v>
      </c>
      <c r="G80" s="185">
        <v>9</v>
      </c>
      <c r="H80" s="185" t="s">
        <v>304</v>
      </c>
      <c r="I80" s="185" t="s">
        <v>371</v>
      </c>
      <c r="J80" s="185" t="s">
        <v>297</v>
      </c>
      <c r="K80" s="185">
        <v>1</v>
      </c>
      <c r="L80" s="167" t="s">
        <v>386</v>
      </c>
    </row>
    <row r="81" spans="1:12">
      <c r="A81" s="185">
        <v>74</v>
      </c>
      <c r="B81" s="167">
        <v>1107083220</v>
      </c>
      <c r="C81" s="167" t="s">
        <v>470</v>
      </c>
      <c r="D81" s="185">
        <v>27</v>
      </c>
      <c r="E81" s="167" t="s">
        <v>468</v>
      </c>
      <c r="F81" s="185" t="s">
        <v>370</v>
      </c>
      <c r="G81" s="185">
        <v>5</v>
      </c>
      <c r="H81" s="185" t="s">
        <v>306</v>
      </c>
      <c r="I81" s="185" t="s">
        <v>307</v>
      </c>
      <c r="J81" s="185" t="s">
        <v>297</v>
      </c>
      <c r="K81" s="185">
        <v>2</v>
      </c>
      <c r="L81" s="167" t="s">
        <v>436</v>
      </c>
    </row>
    <row r="82" spans="1:12">
      <c r="A82" s="185">
        <v>75</v>
      </c>
      <c r="B82" s="167">
        <v>1083154862</v>
      </c>
      <c r="C82" s="167" t="s">
        <v>471</v>
      </c>
      <c r="D82" s="185">
        <v>37</v>
      </c>
      <c r="E82" s="167" t="s">
        <v>431</v>
      </c>
      <c r="F82" s="185" t="s">
        <v>363</v>
      </c>
      <c r="G82" s="185">
        <v>3</v>
      </c>
      <c r="H82" s="185" t="s">
        <v>308</v>
      </c>
      <c r="I82" s="185" t="s">
        <v>309</v>
      </c>
      <c r="J82" s="185"/>
      <c r="K82" s="185">
        <v>3</v>
      </c>
      <c r="L82" s="167" t="s">
        <v>53</v>
      </c>
    </row>
    <row r="83" spans="1:12">
      <c r="A83" s="185">
        <v>76</v>
      </c>
      <c r="B83" s="167">
        <v>1059980852</v>
      </c>
      <c r="C83" s="167" t="s">
        <v>472</v>
      </c>
      <c r="D83" s="185">
        <v>38</v>
      </c>
      <c r="E83" s="167" t="s">
        <v>468</v>
      </c>
      <c r="F83" s="185" t="s">
        <v>363</v>
      </c>
      <c r="G83" s="185">
        <v>3</v>
      </c>
      <c r="H83" s="185" t="s">
        <v>308</v>
      </c>
      <c r="I83" s="185" t="s">
        <v>309</v>
      </c>
      <c r="J83" s="185"/>
      <c r="K83" s="185">
        <v>3</v>
      </c>
      <c r="L83" s="167" t="s">
        <v>436</v>
      </c>
    </row>
    <row r="84" spans="1:12">
      <c r="A84" s="185">
        <v>77</v>
      </c>
      <c r="B84" s="167">
        <v>2101886071</v>
      </c>
      <c r="C84" s="167" t="s">
        <v>473</v>
      </c>
      <c r="D84" s="185">
        <v>37</v>
      </c>
      <c r="E84" s="167" t="s">
        <v>431</v>
      </c>
      <c r="F84" s="185" t="s">
        <v>363</v>
      </c>
      <c r="G84" s="185">
        <v>1</v>
      </c>
      <c r="H84" s="185" t="s">
        <v>54</v>
      </c>
      <c r="I84" s="185" t="s">
        <v>310</v>
      </c>
      <c r="J84" s="185"/>
      <c r="K84" s="185">
        <v>4</v>
      </c>
      <c r="L84" s="167" t="s">
        <v>263</v>
      </c>
    </row>
    <row r="85" spans="1:12">
      <c r="A85" s="185">
        <v>78</v>
      </c>
      <c r="B85" s="167">
        <v>1103437313</v>
      </c>
      <c r="C85" s="167" t="s">
        <v>474</v>
      </c>
      <c r="D85" s="185">
        <v>29</v>
      </c>
      <c r="E85" s="167" t="s">
        <v>431</v>
      </c>
      <c r="F85" s="185" t="s">
        <v>363</v>
      </c>
      <c r="G85" s="185">
        <v>2</v>
      </c>
      <c r="H85" s="185" t="s">
        <v>54</v>
      </c>
      <c r="I85" s="185" t="s">
        <v>310</v>
      </c>
      <c r="J85" s="185"/>
      <c r="K85" s="185">
        <v>4</v>
      </c>
      <c r="L85" s="167" t="s">
        <v>263</v>
      </c>
    </row>
    <row r="86" spans="1:12">
      <c r="A86" s="185">
        <v>79</v>
      </c>
      <c r="B86" s="167">
        <v>1079140610</v>
      </c>
      <c r="C86" s="167" t="s">
        <v>475</v>
      </c>
      <c r="D86" s="185">
        <v>38</v>
      </c>
      <c r="E86" s="167" t="s">
        <v>468</v>
      </c>
      <c r="F86" s="185" t="s">
        <v>363</v>
      </c>
      <c r="G86" s="185">
        <v>3</v>
      </c>
      <c r="H86" s="185" t="s">
        <v>308</v>
      </c>
      <c r="I86" s="185" t="s">
        <v>309</v>
      </c>
      <c r="J86" s="185"/>
      <c r="K86" s="185">
        <v>3</v>
      </c>
      <c r="L86" s="167" t="s">
        <v>436</v>
      </c>
    </row>
    <row r="87" spans="1:12">
      <c r="A87" s="185">
        <v>80</v>
      </c>
      <c r="B87" s="167">
        <v>2443351560</v>
      </c>
      <c r="C87" s="167" t="s">
        <v>476</v>
      </c>
      <c r="D87" s="185">
        <v>39</v>
      </c>
      <c r="E87" s="167" t="s">
        <v>431</v>
      </c>
      <c r="F87" s="185" t="s">
        <v>363</v>
      </c>
      <c r="G87" s="185">
        <v>1</v>
      </c>
      <c r="H87" s="185" t="s">
        <v>54</v>
      </c>
      <c r="I87" s="185" t="s">
        <v>310</v>
      </c>
      <c r="J87" s="185"/>
      <c r="K87" s="185">
        <v>4</v>
      </c>
      <c r="L87" s="167" t="s">
        <v>263</v>
      </c>
    </row>
    <row r="88" spans="1:12">
      <c r="A88" s="185">
        <v>81</v>
      </c>
      <c r="B88" s="167">
        <v>1049852633</v>
      </c>
      <c r="C88" s="167" t="s">
        <v>477</v>
      </c>
      <c r="D88" s="185">
        <v>39</v>
      </c>
      <c r="E88" s="167" t="s">
        <v>431</v>
      </c>
      <c r="F88" s="185" t="s">
        <v>363</v>
      </c>
      <c r="G88" s="185">
        <v>3</v>
      </c>
      <c r="H88" s="185" t="s">
        <v>308</v>
      </c>
      <c r="I88" s="185" t="s">
        <v>309</v>
      </c>
      <c r="J88" s="185"/>
      <c r="K88" s="185">
        <v>3</v>
      </c>
      <c r="L88" s="167" t="s">
        <v>53</v>
      </c>
    </row>
    <row r="89" spans="1:12">
      <c r="A89" s="185">
        <v>82</v>
      </c>
      <c r="B89" s="167">
        <v>1049017419</v>
      </c>
      <c r="C89" s="167" t="s">
        <v>478</v>
      </c>
      <c r="D89" s="185">
        <v>38</v>
      </c>
      <c r="E89" s="167" t="s">
        <v>431</v>
      </c>
      <c r="F89" s="185" t="s">
        <v>370</v>
      </c>
      <c r="G89" s="185">
        <v>12</v>
      </c>
      <c r="H89" s="185" t="s">
        <v>304</v>
      </c>
      <c r="I89" s="185" t="s">
        <v>371</v>
      </c>
      <c r="J89" s="185" t="s">
        <v>298</v>
      </c>
      <c r="K89" s="185">
        <v>1</v>
      </c>
      <c r="L89" s="167" t="s">
        <v>386</v>
      </c>
    </row>
    <row r="90" spans="1:12">
      <c r="A90" s="185">
        <v>83</v>
      </c>
      <c r="B90" s="167">
        <v>2214885804</v>
      </c>
      <c r="C90" s="167" t="s">
        <v>479</v>
      </c>
      <c r="D90" s="185">
        <v>21</v>
      </c>
      <c r="E90" s="167" t="s">
        <v>431</v>
      </c>
      <c r="F90" s="185" t="s">
        <v>363</v>
      </c>
      <c r="G90" s="185">
        <v>2</v>
      </c>
      <c r="H90" s="185" t="s">
        <v>54</v>
      </c>
      <c r="I90" s="185" t="s">
        <v>310</v>
      </c>
      <c r="J90" s="185"/>
      <c r="K90" s="185">
        <v>4</v>
      </c>
      <c r="L90" s="167" t="s">
        <v>263</v>
      </c>
    </row>
    <row r="91" spans="1:12">
      <c r="A91" s="185">
        <v>84</v>
      </c>
      <c r="B91" s="167">
        <v>1083517712</v>
      </c>
      <c r="C91" s="167" t="s">
        <v>480</v>
      </c>
      <c r="D91" s="185">
        <v>32</v>
      </c>
      <c r="E91" s="167" t="s">
        <v>427</v>
      </c>
      <c r="F91" s="185" t="s">
        <v>363</v>
      </c>
      <c r="G91" s="185">
        <v>2</v>
      </c>
      <c r="H91" s="185" t="s">
        <v>54</v>
      </c>
      <c r="I91" s="185" t="s">
        <v>310</v>
      </c>
      <c r="J91" s="185"/>
      <c r="K91" s="185">
        <v>4</v>
      </c>
      <c r="L91" s="167" t="s">
        <v>263</v>
      </c>
    </row>
    <row r="92" spans="1:12">
      <c r="A92" s="185">
        <v>85</v>
      </c>
      <c r="B92" s="167">
        <v>1086339510</v>
      </c>
      <c r="C92" s="167" t="s">
        <v>481</v>
      </c>
      <c r="D92" s="185">
        <v>31</v>
      </c>
      <c r="E92" s="167" t="s">
        <v>431</v>
      </c>
      <c r="F92" s="185" t="s">
        <v>363</v>
      </c>
      <c r="G92" s="185">
        <v>0</v>
      </c>
      <c r="H92" s="185" t="s">
        <v>54</v>
      </c>
      <c r="I92" s="185" t="s">
        <v>310</v>
      </c>
      <c r="J92" s="185"/>
      <c r="K92" s="185">
        <v>4</v>
      </c>
      <c r="L92" s="167" t="s">
        <v>263</v>
      </c>
    </row>
    <row r="93" spans="1:12">
      <c r="A93" s="185">
        <v>86</v>
      </c>
      <c r="B93" s="167">
        <v>1124369578</v>
      </c>
      <c r="C93" s="167" t="s">
        <v>482</v>
      </c>
      <c r="D93" s="185">
        <v>22</v>
      </c>
      <c r="E93" s="167" t="s">
        <v>431</v>
      </c>
      <c r="F93" s="185" t="s">
        <v>363</v>
      </c>
      <c r="G93" s="185">
        <v>2</v>
      </c>
      <c r="H93" s="185" t="s">
        <v>54</v>
      </c>
      <c r="I93" s="185" t="s">
        <v>310</v>
      </c>
      <c r="J93" s="185"/>
      <c r="K93" s="185">
        <v>4</v>
      </c>
      <c r="L93" s="167" t="s">
        <v>263</v>
      </c>
    </row>
    <row r="94" spans="1:12">
      <c r="A94" s="185">
        <v>87</v>
      </c>
      <c r="B94" s="167">
        <v>1072225616</v>
      </c>
      <c r="C94" s="167" t="s">
        <v>483</v>
      </c>
      <c r="D94" s="185">
        <v>34</v>
      </c>
      <c r="E94" s="167" t="s">
        <v>468</v>
      </c>
      <c r="F94" s="185" t="s">
        <v>370</v>
      </c>
      <c r="G94" s="185">
        <v>9</v>
      </c>
      <c r="H94" s="185" t="s">
        <v>304</v>
      </c>
      <c r="I94" s="185" t="s">
        <v>371</v>
      </c>
      <c r="J94" s="185" t="s">
        <v>297</v>
      </c>
      <c r="K94" s="185">
        <v>1</v>
      </c>
      <c r="L94" s="167" t="s">
        <v>436</v>
      </c>
    </row>
    <row r="95" spans="1:12">
      <c r="A95" s="185">
        <v>88</v>
      </c>
      <c r="B95" s="167">
        <v>1121850158</v>
      </c>
      <c r="C95" s="167" t="s">
        <v>484</v>
      </c>
      <c r="D95" s="185">
        <v>28</v>
      </c>
      <c r="E95" s="167" t="s">
        <v>431</v>
      </c>
      <c r="F95" s="185" t="s">
        <v>363</v>
      </c>
      <c r="G95" s="185">
        <v>2</v>
      </c>
      <c r="H95" s="185" t="s">
        <v>54</v>
      </c>
      <c r="I95" s="185" t="s">
        <v>310</v>
      </c>
      <c r="J95" s="185"/>
      <c r="K95" s="185">
        <v>4</v>
      </c>
      <c r="L95" s="167" t="s">
        <v>263</v>
      </c>
    </row>
    <row r="96" spans="1:12">
      <c r="A96" s="185">
        <v>89</v>
      </c>
      <c r="B96" s="167">
        <v>1115266841</v>
      </c>
      <c r="C96" s="167" t="s">
        <v>485</v>
      </c>
      <c r="D96" s="185">
        <v>24</v>
      </c>
      <c r="E96" s="167" t="s">
        <v>461</v>
      </c>
      <c r="F96" s="185" t="s">
        <v>363</v>
      </c>
      <c r="G96" s="185">
        <v>2</v>
      </c>
      <c r="H96" s="185" t="s">
        <v>54</v>
      </c>
      <c r="I96" s="185" t="s">
        <v>310</v>
      </c>
      <c r="J96" s="185"/>
      <c r="K96" s="185">
        <v>4</v>
      </c>
      <c r="L96" s="167" t="s">
        <v>263</v>
      </c>
    </row>
    <row r="97" spans="1:12">
      <c r="A97" s="185">
        <v>90</v>
      </c>
      <c r="B97" s="167">
        <v>1077583548</v>
      </c>
      <c r="C97" s="167" t="s">
        <v>486</v>
      </c>
      <c r="D97" s="185">
        <v>32</v>
      </c>
      <c r="E97" s="167" t="s">
        <v>468</v>
      </c>
      <c r="F97" s="185" t="s">
        <v>363</v>
      </c>
      <c r="G97" s="185">
        <v>2</v>
      </c>
      <c r="H97" s="185" t="s">
        <v>54</v>
      </c>
      <c r="I97" s="185" t="s">
        <v>310</v>
      </c>
      <c r="J97" s="185"/>
      <c r="K97" s="185">
        <v>4</v>
      </c>
      <c r="L97" s="167" t="s">
        <v>263</v>
      </c>
    </row>
    <row r="98" spans="1:12">
      <c r="A98" s="185">
        <v>91</v>
      </c>
      <c r="B98" s="167">
        <v>1105342776</v>
      </c>
      <c r="C98" s="167" t="s">
        <v>487</v>
      </c>
      <c r="D98" s="185">
        <v>27</v>
      </c>
      <c r="E98" s="167" t="s">
        <v>461</v>
      </c>
      <c r="F98" s="185" t="s">
        <v>363</v>
      </c>
      <c r="G98" s="185">
        <v>2</v>
      </c>
      <c r="H98" s="185" t="s">
        <v>54</v>
      </c>
      <c r="I98" s="185" t="s">
        <v>310</v>
      </c>
      <c r="J98" s="185"/>
      <c r="K98" s="185">
        <v>4</v>
      </c>
      <c r="L98" s="167" t="s">
        <v>263</v>
      </c>
    </row>
    <row r="99" spans="1:12">
      <c r="A99" s="185">
        <v>92</v>
      </c>
      <c r="B99" s="167">
        <v>1076142635</v>
      </c>
      <c r="C99" s="167" t="s">
        <v>488</v>
      </c>
      <c r="D99" s="185">
        <v>34</v>
      </c>
      <c r="E99" s="167" t="s">
        <v>431</v>
      </c>
      <c r="F99" s="185" t="s">
        <v>363</v>
      </c>
      <c r="G99" s="185">
        <v>0</v>
      </c>
      <c r="H99" s="185" t="s">
        <v>54</v>
      </c>
      <c r="I99" s="185" t="s">
        <v>310</v>
      </c>
      <c r="J99" s="185"/>
      <c r="K99" s="185">
        <v>4</v>
      </c>
      <c r="L99" s="167" t="s">
        <v>263</v>
      </c>
    </row>
    <row r="100" spans="1:12">
      <c r="A100" s="185">
        <v>93</v>
      </c>
      <c r="B100" s="167">
        <v>1068046877</v>
      </c>
      <c r="C100" s="167" t="s">
        <v>489</v>
      </c>
      <c r="D100" s="185">
        <v>35</v>
      </c>
      <c r="E100" s="167" t="s">
        <v>431</v>
      </c>
      <c r="F100" s="185" t="s">
        <v>363</v>
      </c>
      <c r="G100" s="185">
        <v>5</v>
      </c>
      <c r="H100" s="185" t="s">
        <v>306</v>
      </c>
      <c r="I100" s="185" t="s">
        <v>307</v>
      </c>
      <c r="J100" s="185"/>
      <c r="K100" s="185">
        <v>2</v>
      </c>
      <c r="L100" s="167" t="s">
        <v>53</v>
      </c>
    </row>
    <row r="101" spans="1:12">
      <c r="A101" s="185">
        <v>94</v>
      </c>
      <c r="B101" s="167">
        <v>1137318042</v>
      </c>
      <c r="C101" s="167" t="s">
        <v>490</v>
      </c>
      <c r="D101" s="185">
        <v>23</v>
      </c>
      <c r="E101" s="167" t="s">
        <v>431</v>
      </c>
      <c r="F101" s="185" t="s">
        <v>363</v>
      </c>
      <c r="G101" s="185">
        <v>0</v>
      </c>
      <c r="H101" s="185" t="s">
        <v>54</v>
      </c>
      <c r="I101" s="185" t="s">
        <v>310</v>
      </c>
      <c r="J101" s="185"/>
      <c r="K101" s="185">
        <v>4</v>
      </c>
      <c r="L101" s="167" t="s">
        <v>263</v>
      </c>
    </row>
    <row r="102" spans="1:12">
      <c r="A102" s="185">
        <v>95</v>
      </c>
      <c r="B102" s="167">
        <v>1022258550</v>
      </c>
      <c r="C102" s="167" t="s">
        <v>491</v>
      </c>
      <c r="D102" s="185">
        <v>42</v>
      </c>
      <c r="E102" s="167" t="s">
        <v>431</v>
      </c>
      <c r="F102" s="185" t="s">
        <v>363</v>
      </c>
      <c r="G102" s="185">
        <v>4</v>
      </c>
      <c r="H102" s="185" t="s">
        <v>308</v>
      </c>
      <c r="I102" s="185" t="s">
        <v>309</v>
      </c>
      <c r="J102" s="185"/>
      <c r="K102" s="185">
        <v>3</v>
      </c>
      <c r="L102" s="167" t="s">
        <v>53</v>
      </c>
    </row>
    <row r="103" spans="1:12">
      <c r="A103" s="185">
        <v>96</v>
      </c>
      <c r="B103" s="167">
        <v>2379722966</v>
      </c>
      <c r="C103" s="167" t="s">
        <v>492</v>
      </c>
      <c r="D103" s="185">
        <v>34</v>
      </c>
      <c r="E103" s="167" t="s">
        <v>431</v>
      </c>
      <c r="F103" s="185" t="s">
        <v>363</v>
      </c>
      <c r="G103" s="185">
        <v>2</v>
      </c>
      <c r="H103" s="185" t="s">
        <v>54</v>
      </c>
      <c r="I103" s="185" t="s">
        <v>310</v>
      </c>
      <c r="J103" s="185"/>
      <c r="K103" s="185">
        <v>4</v>
      </c>
      <c r="L103" s="167" t="s">
        <v>263</v>
      </c>
    </row>
    <row r="104" spans="1:12">
      <c r="A104" s="185">
        <v>97</v>
      </c>
      <c r="B104" s="167">
        <v>1068047016</v>
      </c>
      <c r="C104" s="167" t="s">
        <v>493</v>
      </c>
      <c r="D104" s="185">
        <v>41</v>
      </c>
      <c r="E104" s="167" t="s">
        <v>445</v>
      </c>
      <c r="F104" s="185" t="s">
        <v>370</v>
      </c>
      <c r="G104" s="185">
        <v>13</v>
      </c>
      <c r="H104" s="185" t="s">
        <v>304</v>
      </c>
      <c r="I104" s="185" t="s">
        <v>371</v>
      </c>
      <c r="J104" s="185" t="s">
        <v>297</v>
      </c>
      <c r="K104" s="185">
        <v>1</v>
      </c>
      <c r="L104" s="167" t="s">
        <v>428</v>
      </c>
    </row>
    <row r="105" spans="1:12">
      <c r="A105" s="185">
        <v>98</v>
      </c>
      <c r="B105" s="167">
        <v>1058861640</v>
      </c>
      <c r="C105" s="167" t="s">
        <v>494</v>
      </c>
      <c r="D105" s="185">
        <v>38</v>
      </c>
      <c r="E105" s="167" t="s">
        <v>427</v>
      </c>
      <c r="F105" s="185" t="s">
        <v>363</v>
      </c>
      <c r="G105" s="185">
        <v>3</v>
      </c>
      <c r="H105" s="185" t="s">
        <v>308</v>
      </c>
      <c r="I105" s="185" t="s">
        <v>309</v>
      </c>
      <c r="J105" s="185"/>
      <c r="K105" s="185">
        <v>3</v>
      </c>
      <c r="L105" s="167" t="s">
        <v>57</v>
      </c>
    </row>
    <row r="106" spans="1:12">
      <c r="A106" s="185">
        <v>99</v>
      </c>
      <c r="B106" s="167">
        <v>1098883562</v>
      </c>
      <c r="C106" s="167" t="s">
        <v>495</v>
      </c>
      <c r="D106" s="185">
        <v>39</v>
      </c>
      <c r="E106" s="167" t="s">
        <v>496</v>
      </c>
      <c r="F106" s="185" t="s">
        <v>363</v>
      </c>
      <c r="G106" s="185">
        <v>3</v>
      </c>
      <c r="H106" s="185" t="s">
        <v>308</v>
      </c>
      <c r="I106" s="185" t="s">
        <v>309</v>
      </c>
      <c r="J106" s="185"/>
      <c r="K106" s="185">
        <v>3</v>
      </c>
      <c r="L106" s="167" t="s">
        <v>61</v>
      </c>
    </row>
    <row r="107" spans="1:12">
      <c r="A107" s="185">
        <v>100</v>
      </c>
      <c r="B107" s="167">
        <v>1083456036</v>
      </c>
      <c r="C107" s="167" t="s">
        <v>497</v>
      </c>
      <c r="D107" s="185">
        <v>33</v>
      </c>
      <c r="E107" s="167" t="s">
        <v>431</v>
      </c>
      <c r="F107" s="185" t="s">
        <v>363</v>
      </c>
      <c r="G107" s="185">
        <v>2</v>
      </c>
      <c r="H107" s="185" t="s">
        <v>54</v>
      </c>
      <c r="I107" s="185" t="s">
        <v>310</v>
      </c>
      <c r="J107" s="185"/>
      <c r="K107" s="185">
        <v>4</v>
      </c>
      <c r="L107" s="167" t="s">
        <v>263</v>
      </c>
    </row>
    <row r="108" spans="1:12">
      <c r="A108" s="185">
        <v>101</v>
      </c>
      <c r="B108" s="167">
        <v>1019938834</v>
      </c>
      <c r="C108" s="167" t="s">
        <v>498</v>
      </c>
      <c r="D108" s="185">
        <v>41</v>
      </c>
      <c r="E108" s="167" t="s">
        <v>496</v>
      </c>
      <c r="F108" s="185" t="s">
        <v>363</v>
      </c>
      <c r="G108" s="185">
        <v>4</v>
      </c>
      <c r="H108" s="185" t="s">
        <v>308</v>
      </c>
      <c r="I108" s="185" t="s">
        <v>309</v>
      </c>
      <c r="J108" s="185"/>
      <c r="K108" s="185">
        <v>3</v>
      </c>
      <c r="L108" s="167" t="s">
        <v>61</v>
      </c>
    </row>
    <row r="109" spans="1:12">
      <c r="A109" s="185">
        <v>102</v>
      </c>
      <c r="B109" s="167">
        <v>1086484647</v>
      </c>
      <c r="C109" s="167" t="s">
        <v>499</v>
      </c>
      <c r="D109" s="185">
        <v>31</v>
      </c>
      <c r="E109" s="167" t="s">
        <v>431</v>
      </c>
      <c r="F109" s="185" t="s">
        <v>363</v>
      </c>
      <c r="G109" s="185">
        <v>0</v>
      </c>
      <c r="H109" s="185" t="s">
        <v>54</v>
      </c>
      <c r="I109" s="185" t="s">
        <v>310</v>
      </c>
      <c r="J109" s="185"/>
      <c r="K109" s="185">
        <v>4</v>
      </c>
      <c r="L109" s="167" t="s">
        <v>263</v>
      </c>
    </row>
    <row r="110" spans="1:12">
      <c r="A110" s="185">
        <v>103</v>
      </c>
      <c r="B110" s="167">
        <v>1103435556</v>
      </c>
      <c r="C110" s="167" t="s">
        <v>500</v>
      </c>
      <c r="D110" s="185">
        <v>30</v>
      </c>
      <c r="E110" s="167" t="s">
        <v>431</v>
      </c>
      <c r="F110" s="185" t="s">
        <v>363</v>
      </c>
      <c r="G110" s="185">
        <v>0</v>
      </c>
      <c r="H110" s="185" t="s">
        <v>54</v>
      </c>
      <c r="I110" s="185" t="s">
        <v>310</v>
      </c>
      <c r="J110" s="185"/>
      <c r="K110" s="185">
        <v>4</v>
      </c>
      <c r="L110" s="167" t="s">
        <v>263</v>
      </c>
    </row>
    <row r="111" spans="1:12">
      <c r="A111" s="185">
        <v>104</v>
      </c>
      <c r="B111" s="167">
        <v>1137318042</v>
      </c>
      <c r="C111" s="167" t="s">
        <v>490</v>
      </c>
      <c r="D111" s="185">
        <v>23</v>
      </c>
      <c r="E111" s="167" t="s">
        <v>431</v>
      </c>
      <c r="F111" s="185" t="s">
        <v>363</v>
      </c>
      <c r="G111" s="185">
        <v>0</v>
      </c>
      <c r="H111" s="185" t="s">
        <v>54</v>
      </c>
      <c r="I111" s="185" t="s">
        <v>310</v>
      </c>
      <c r="J111" s="185"/>
      <c r="K111" s="185">
        <v>4</v>
      </c>
      <c r="L111" s="167" t="s">
        <v>263</v>
      </c>
    </row>
    <row r="112" spans="1:12">
      <c r="A112" s="185">
        <v>105</v>
      </c>
      <c r="B112" s="167">
        <v>1073753657</v>
      </c>
      <c r="C112" s="167" t="s">
        <v>501</v>
      </c>
      <c r="D112" s="185">
        <v>36</v>
      </c>
      <c r="E112" s="167" t="s">
        <v>431</v>
      </c>
      <c r="F112" s="185" t="s">
        <v>363</v>
      </c>
      <c r="G112" s="185">
        <v>6</v>
      </c>
      <c r="H112" s="185" t="s">
        <v>306</v>
      </c>
      <c r="I112" s="185" t="s">
        <v>307</v>
      </c>
      <c r="J112" s="185"/>
      <c r="K112" s="185">
        <v>2</v>
      </c>
      <c r="L112" s="167" t="s">
        <v>53</v>
      </c>
    </row>
    <row r="113" spans="1:12">
      <c r="A113" s="185">
        <v>106</v>
      </c>
      <c r="B113" s="167">
        <v>1083590982</v>
      </c>
      <c r="C113" s="167" t="s">
        <v>502</v>
      </c>
      <c r="D113" s="185">
        <v>39</v>
      </c>
      <c r="E113" s="167" t="s">
        <v>431</v>
      </c>
      <c r="F113" s="185" t="s">
        <v>363</v>
      </c>
      <c r="G113" s="185">
        <v>1</v>
      </c>
      <c r="H113" s="185" t="s">
        <v>54</v>
      </c>
      <c r="I113" s="185" t="s">
        <v>310</v>
      </c>
      <c r="J113" s="185"/>
      <c r="K113" s="185">
        <v>4</v>
      </c>
      <c r="L113" s="167" t="s">
        <v>263</v>
      </c>
    </row>
    <row r="114" spans="1:12">
      <c r="A114" s="185">
        <v>107</v>
      </c>
      <c r="B114" s="167">
        <v>1111162556</v>
      </c>
      <c r="C114" s="167" t="s">
        <v>503</v>
      </c>
      <c r="D114" s="185">
        <v>27</v>
      </c>
      <c r="E114" s="167" t="s">
        <v>431</v>
      </c>
      <c r="F114" s="185" t="s">
        <v>363</v>
      </c>
      <c r="G114" s="185">
        <v>0</v>
      </c>
      <c r="H114" s="185" t="s">
        <v>54</v>
      </c>
      <c r="I114" s="185" t="s">
        <v>310</v>
      </c>
      <c r="J114" s="185"/>
      <c r="K114" s="185">
        <v>4</v>
      </c>
      <c r="L114" s="167" t="s">
        <v>263</v>
      </c>
    </row>
    <row r="115" spans="1:12">
      <c r="A115" s="185">
        <v>108</v>
      </c>
      <c r="B115" s="167">
        <v>1047808629</v>
      </c>
      <c r="C115" s="167" t="s">
        <v>504</v>
      </c>
      <c r="D115" s="185">
        <v>38</v>
      </c>
      <c r="E115" s="167" t="s">
        <v>431</v>
      </c>
      <c r="F115" s="185" t="s">
        <v>370</v>
      </c>
      <c r="G115" s="185">
        <v>10</v>
      </c>
      <c r="H115" s="185" t="s">
        <v>304</v>
      </c>
      <c r="I115" s="185" t="s">
        <v>371</v>
      </c>
      <c r="J115" s="185" t="s">
        <v>298</v>
      </c>
      <c r="K115" s="185">
        <v>1</v>
      </c>
      <c r="L115" s="167" t="s">
        <v>386</v>
      </c>
    </row>
    <row r="116" spans="1:12">
      <c r="A116" s="185">
        <v>109</v>
      </c>
      <c r="B116" s="167">
        <v>1125692911</v>
      </c>
      <c r="C116" s="167" t="s">
        <v>505</v>
      </c>
      <c r="D116" s="185">
        <v>21</v>
      </c>
      <c r="E116" s="167" t="s">
        <v>461</v>
      </c>
      <c r="F116" s="185" t="s">
        <v>363</v>
      </c>
      <c r="G116" s="185">
        <v>0</v>
      </c>
      <c r="H116" s="185" t="s">
        <v>54</v>
      </c>
      <c r="I116" s="185" t="s">
        <v>310</v>
      </c>
      <c r="J116" s="185"/>
      <c r="K116" s="185">
        <v>4</v>
      </c>
      <c r="L116" s="167" t="s">
        <v>263</v>
      </c>
    </row>
    <row r="117" spans="1:12">
      <c r="A117" s="185">
        <v>110</v>
      </c>
      <c r="B117" s="167">
        <v>1063902868</v>
      </c>
      <c r="C117" s="167" t="s">
        <v>506</v>
      </c>
      <c r="D117" s="185">
        <v>39</v>
      </c>
      <c r="E117" s="167" t="s">
        <v>427</v>
      </c>
      <c r="F117" s="185" t="s">
        <v>363</v>
      </c>
      <c r="G117" s="185">
        <v>1</v>
      </c>
      <c r="H117" s="185" t="s">
        <v>54</v>
      </c>
      <c r="I117" s="185" t="s">
        <v>310</v>
      </c>
      <c r="J117" s="185"/>
      <c r="K117" s="185">
        <v>4</v>
      </c>
      <c r="L117" s="167" t="s">
        <v>263</v>
      </c>
    </row>
    <row r="118" spans="1:12">
      <c r="A118" s="185">
        <v>111</v>
      </c>
      <c r="B118" s="167">
        <v>1056724717</v>
      </c>
      <c r="C118" s="167" t="s">
        <v>507</v>
      </c>
      <c r="D118" s="185">
        <v>43</v>
      </c>
      <c r="E118" s="167" t="s">
        <v>431</v>
      </c>
      <c r="F118" s="185" t="s">
        <v>363</v>
      </c>
      <c r="G118" s="185">
        <v>6</v>
      </c>
      <c r="H118" s="185" t="s">
        <v>306</v>
      </c>
      <c r="I118" s="185" t="s">
        <v>307</v>
      </c>
      <c r="J118" s="185"/>
      <c r="K118" s="185">
        <v>2</v>
      </c>
      <c r="L118" s="167" t="s">
        <v>53</v>
      </c>
    </row>
    <row r="119" spans="1:12">
      <c r="A119" s="185">
        <v>112</v>
      </c>
      <c r="B119" s="167">
        <v>1048063380</v>
      </c>
      <c r="C119" s="167" t="s">
        <v>508</v>
      </c>
      <c r="D119" s="185">
        <v>39</v>
      </c>
      <c r="E119" s="167" t="s">
        <v>496</v>
      </c>
      <c r="F119" s="185" t="s">
        <v>363</v>
      </c>
      <c r="G119" s="185">
        <v>3</v>
      </c>
      <c r="H119" s="185" t="s">
        <v>308</v>
      </c>
      <c r="I119" s="185" t="s">
        <v>309</v>
      </c>
      <c r="J119" s="185"/>
      <c r="K119" s="185">
        <v>3</v>
      </c>
      <c r="L119" s="167" t="s">
        <v>61</v>
      </c>
    </row>
    <row r="120" spans="1:12">
      <c r="A120" s="185">
        <v>113</v>
      </c>
      <c r="B120" s="167">
        <v>1067878585</v>
      </c>
      <c r="C120" s="167" t="s">
        <v>509</v>
      </c>
      <c r="D120" s="185">
        <v>42</v>
      </c>
      <c r="E120" s="167" t="s">
        <v>468</v>
      </c>
      <c r="F120" s="185" t="s">
        <v>370</v>
      </c>
      <c r="G120" s="185">
        <v>11</v>
      </c>
      <c r="H120" s="185" t="s">
        <v>304</v>
      </c>
      <c r="I120" s="185" t="s">
        <v>371</v>
      </c>
      <c r="J120" s="185" t="s">
        <v>297</v>
      </c>
      <c r="K120" s="185">
        <v>1</v>
      </c>
      <c r="L120" s="167" t="s">
        <v>436</v>
      </c>
    </row>
    <row r="121" spans="1:12">
      <c r="A121" s="185">
        <v>114</v>
      </c>
      <c r="B121" s="167">
        <v>1070041080</v>
      </c>
      <c r="C121" s="167" t="s">
        <v>510</v>
      </c>
      <c r="D121" s="185">
        <v>41</v>
      </c>
      <c r="E121" s="167" t="s">
        <v>496</v>
      </c>
      <c r="F121" s="185" t="s">
        <v>363</v>
      </c>
      <c r="G121" s="185">
        <v>4</v>
      </c>
      <c r="H121" s="185" t="s">
        <v>308</v>
      </c>
      <c r="I121" s="185" t="s">
        <v>309</v>
      </c>
      <c r="J121" s="185"/>
      <c r="K121" s="185">
        <v>3</v>
      </c>
      <c r="L121" s="167" t="s">
        <v>61</v>
      </c>
    </row>
    <row r="122" spans="1:12">
      <c r="A122" s="185">
        <v>115</v>
      </c>
      <c r="B122" s="167">
        <v>2493426882</v>
      </c>
      <c r="C122" s="167" t="s">
        <v>511</v>
      </c>
      <c r="D122" s="185">
        <v>41</v>
      </c>
      <c r="E122" s="167" t="s">
        <v>461</v>
      </c>
      <c r="F122" s="185" t="s">
        <v>370</v>
      </c>
      <c r="G122" s="185">
        <v>11</v>
      </c>
      <c r="H122" s="185" t="s">
        <v>304</v>
      </c>
      <c r="I122" s="185" t="s">
        <v>371</v>
      </c>
      <c r="J122" s="185" t="s">
        <v>297</v>
      </c>
      <c r="K122" s="185">
        <v>1</v>
      </c>
      <c r="L122" s="167" t="s">
        <v>462</v>
      </c>
    </row>
    <row r="123" spans="1:12">
      <c r="A123" s="185">
        <v>116</v>
      </c>
      <c r="B123" s="167">
        <v>1073882753</v>
      </c>
      <c r="C123" s="167" t="s">
        <v>512</v>
      </c>
      <c r="D123" s="185">
        <v>34</v>
      </c>
      <c r="E123" s="167" t="s">
        <v>431</v>
      </c>
      <c r="F123" s="185" t="s">
        <v>363</v>
      </c>
      <c r="G123" s="185">
        <v>5</v>
      </c>
      <c r="H123" s="185" t="s">
        <v>306</v>
      </c>
      <c r="I123" s="185" t="s">
        <v>307</v>
      </c>
      <c r="J123" s="185"/>
      <c r="K123" s="185">
        <v>2</v>
      </c>
      <c r="L123" s="167" t="s">
        <v>53</v>
      </c>
    </row>
    <row r="124" spans="1:12">
      <c r="A124" s="185">
        <v>117</v>
      </c>
      <c r="B124" s="167">
        <v>1058400746</v>
      </c>
      <c r="C124" s="167" t="s">
        <v>513</v>
      </c>
      <c r="D124" s="185">
        <v>43</v>
      </c>
      <c r="E124" s="167" t="s">
        <v>496</v>
      </c>
      <c r="F124" s="185" t="s">
        <v>370</v>
      </c>
      <c r="G124" s="185">
        <v>14</v>
      </c>
      <c r="H124" s="185" t="s">
        <v>304</v>
      </c>
      <c r="I124" s="185" t="s">
        <v>371</v>
      </c>
      <c r="J124" s="185" t="s">
        <v>297</v>
      </c>
      <c r="K124" s="185">
        <v>1</v>
      </c>
      <c r="L124" s="167" t="s">
        <v>372</v>
      </c>
    </row>
    <row r="125" spans="1:12">
      <c r="A125" s="185">
        <v>118</v>
      </c>
      <c r="B125" s="167">
        <v>1076270410</v>
      </c>
      <c r="C125" s="167" t="s">
        <v>514</v>
      </c>
      <c r="D125" s="185">
        <v>33</v>
      </c>
      <c r="E125" s="167" t="s">
        <v>431</v>
      </c>
      <c r="F125" s="185" t="s">
        <v>363</v>
      </c>
      <c r="G125" s="185">
        <v>0</v>
      </c>
      <c r="H125" s="185" t="s">
        <v>54</v>
      </c>
      <c r="I125" s="185" t="s">
        <v>310</v>
      </c>
      <c r="J125" s="185"/>
      <c r="K125" s="185">
        <v>4</v>
      </c>
      <c r="L125" s="167" t="s">
        <v>263</v>
      </c>
    </row>
    <row r="126" spans="1:12">
      <c r="A126" s="185">
        <v>119</v>
      </c>
      <c r="B126" s="167">
        <v>1094993407</v>
      </c>
      <c r="C126" s="167" t="s">
        <v>515</v>
      </c>
      <c r="D126" s="185">
        <v>35</v>
      </c>
      <c r="E126" s="167" t="s">
        <v>431</v>
      </c>
      <c r="F126" s="185" t="s">
        <v>370</v>
      </c>
      <c r="G126" s="185">
        <v>7</v>
      </c>
      <c r="H126" s="185" t="s">
        <v>306</v>
      </c>
      <c r="I126" s="185" t="s">
        <v>307</v>
      </c>
      <c r="J126" s="185" t="s">
        <v>297</v>
      </c>
      <c r="K126" s="185">
        <v>2</v>
      </c>
      <c r="L126" s="167" t="s">
        <v>53</v>
      </c>
    </row>
    <row r="127" spans="1:12">
      <c r="A127" s="185">
        <v>120</v>
      </c>
      <c r="B127" s="167">
        <v>1127860573</v>
      </c>
      <c r="C127" s="167" t="s">
        <v>516</v>
      </c>
      <c r="D127" s="185">
        <v>21</v>
      </c>
      <c r="E127" s="167" t="s">
        <v>431</v>
      </c>
      <c r="F127" s="185" t="s">
        <v>363</v>
      </c>
      <c r="G127" s="185">
        <v>2</v>
      </c>
      <c r="H127" s="185" t="s">
        <v>54</v>
      </c>
      <c r="I127" s="185" t="s">
        <v>310</v>
      </c>
      <c r="J127" s="185"/>
      <c r="K127" s="185">
        <v>4</v>
      </c>
      <c r="L127" s="167" t="s">
        <v>263</v>
      </c>
    </row>
    <row r="128" spans="1:12">
      <c r="A128" s="185">
        <v>121</v>
      </c>
      <c r="B128" s="167">
        <v>1084966348</v>
      </c>
      <c r="C128" s="167" t="s">
        <v>517</v>
      </c>
      <c r="D128" s="185">
        <v>38</v>
      </c>
      <c r="E128" s="167" t="s">
        <v>431</v>
      </c>
      <c r="F128" s="185" t="s">
        <v>363</v>
      </c>
      <c r="G128" s="185">
        <v>3</v>
      </c>
      <c r="H128" s="185" t="s">
        <v>308</v>
      </c>
      <c r="I128" s="185" t="s">
        <v>309</v>
      </c>
      <c r="J128" s="185"/>
      <c r="K128" s="185">
        <v>3</v>
      </c>
      <c r="L128" s="167" t="s">
        <v>53</v>
      </c>
    </row>
    <row r="129" spans="1:12">
      <c r="A129" s="185">
        <v>122</v>
      </c>
      <c r="B129" s="167">
        <v>1097084121</v>
      </c>
      <c r="C129" s="167" t="s">
        <v>518</v>
      </c>
      <c r="D129" s="185">
        <v>28</v>
      </c>
      <c r="E129" s="167" t="s">
        <v>431</v>
      </c>
      <c r="F129" s="185" t="s">
        <v>363</v>
      </c>
      <c r="G129" s="185">
        <v>2</v>
      </c>
      <c r="H129" s="185" t="s">
        <v>54</v>
      </c>
      <c r="I129" s="185" t="s">
        <v>310</v>
      </c>
      <c r="J129" s="185"/>
      <c r="K129" s="185">
        <v>4</v>
      </c>
      <c r="L129" s="167" t="s">
        <v>263</v>
      </c>
    </row>
    <row r="130" spans="1:12">
      <c r="A130" s="185">
        <v>123</v>
      </c>
      <c r="B130" s="167">
        <v>2620053716</v>
      </c>
      <c r="C130" s="167" t="s">
        <v>519</v>
      </c>
      <c r="D130" s="185">
        <v>30</v>
      </c>
      <c r="E130" s="167" t="s">
        <v>468</v>
      </c>
      <c r="F130" s="185" t="s">
        <v>363</v>
      </c>
      <c r="G130" s="185">
        <v>2</v>
      </c>
      <c r="H130" s="185" t="s">
        <v>54</v>
      </c>
      <c r="I130" s="185" t="s">
        <v>310</v>
      </c>
      <c r="J130" s="185"/>
      <c r="K130" s="185">
        <v>4</v>
      </c>
      <c r="L130" s="167" t="s">
        <v>263</v>
      </c>
    </row>
    <row r="131" spans="1:12">
      <c r="A131" s="185">
        <v>124</v>
      </c>
      <c r="B131" s="167">
        <v>1025204346</v>
      </c>
      <c r="C131" s="167" t="s">
        <v>520</v>
      </c>
      <c r="D131" s="185">
        <v>41</v>
      </c>
      <c r="E131" s="167" t="s">
        <v>431</v>
      </c>
      <c r="F131" s="185" t="s">
        <v>363</v>
      </c>
      <c r="G131" s="185">
        <v>6</v>
      </c>
      <c r="H131" s="185" t="s">
        <v>306</v>
      </c>
      <c r="I131" s="185" t="s">
        <v>307</v>
      </c>
      <c r="J131" s="185"/>
      <c r="K131" s="185">
        <v>2</v>
      </c>
      <c r="L131" s="167" t="s">
        <v>53</v>
      </c>
    </row>
    <row r="132" spans="1:12">
      <c r="A132" s="185">
        <v>125</v>
      </c>
      <c r="B132" s="167">
        <v>1153311335</v>
      </c>
      <c r="C132" s="167" t="s">
        <v>521</v>
      </c>
      <c r="D132" s="185">
        <v>15</v>
      </c>
      <c r="E132" s="167" t="s">
        <v>461</v>
      </c>
      <c r="F132" s="185" t="s">
        <v>370</v>
      </c>
      <c r="G132" s="185">
        <v>5</v>
      </c>
      <c r="H132" s="185" t="s">
        <v>306</v>
      </c>
      <c r="I132" s="185" t="s">
        <v>307</v>
      </c>
      <c r="J132" s="185" t="s">
        <v>297</v>
      </c>
      <c r="K132" s="185">
        <v>2</v>
      </c>
      <c r="L132" s="167" t="s">
        <v>67</v>
      </c>
    </row>
    <row r="133" spans="1:12">
      <c r="A133" s="185">
        <v>126</v>
      </c>
      <c r="B133" s="167">
        <v>1082813427</v>
      </c>
      <c r="C133" s="167" t="s">
        <v>522</v>
      </c>
      <c r="D133" s="185">
        <v>32</v>
      </c>
      <c r="E133" s="167" t="s">
        <v>431</v>
      </c>
      <c r="F133" s="185" t="s">
        <v>363</v>
      </c>
      <c r="G133" s="185">
        <v>0</v>
      </c>
      <c r="H133" s="185" t="s">
        <v>54</v>
      </c>
      <c r="I133" s="185" t="s">
        <v>310</v>
      </c>
      <c r="J133" s="185"/>
      <c r="K133" s="185">
        <v>4</v>
      </c>
      <c r="L133" s="167" t="s">
        <v>263</v>
      </c>
    </row>
    <row r="134" spans="1:12">
      <c r="A134" s="185">
        <v>127</v>
      </c>
      <c r="B134" s="167">
        <v>1072361312</v>
      </c>
      <c r="C134" s="167" t="s">
        <v>523</v>
      </c>
      <c r="D134" s="185">
        <v>40</v>
      </c>
      <c r="E134" s="167" t="s">
        <v>445</v>
      </c>
      <c r="F134" s="185" t="s">
        <v>363</v>
      </c>
      <c r="G134" s="185">
        <v>3</v>
      </c>
      <c r="H134" s="185" t="s">
        <v>308</v>
      </c>
      <c r="I134" s="185" t="s">
        <v>309</v>
      </c>
      <c r="J134" s="185"/>
      <c r="K134" s="185">
        <v>3</v>
      </c>
      <c r="L134" s="167" t="s">
        <v>57</v>
      </c>
    </row>
    <row r="135" spans="1:12">
      <c r="A135" s="185">
        <v>128</v>
      </c>
      <c r="B135" s="167">
        <v>1098279878</v>
      </c>
      <c r="C135" s="167" t="s">
        <v>524</v>
      </c>
      <c r="D135" s="185">
        <v>32</v>
      </c>
      <c r="E135" s="167" t="s">
        <v>431</v>
      </c>
      <c r="F135" s="185" t="s">
        <v>363</v>
      </c>
      <c r="G135" s="185">
        <v>0</v>
      </c>
      <c r="H135" s="185" t="s">
        <v>54</v>
      </c>
      <c r="I135" s="185" t="s">
        <v>310</v>
      </c>
      <c r="J135" s="185"/>
      <c r="K135" s="185">
        <v>4</v>
      </c>
      <c r="L135" s="167" t="s">
        <v>263</v>
      </c>
    </row>
    <row r="136" spans="1:12">
      <c r="A136" s="185">
        <v>129</v>
      </c>
      <c r="B136" s="167">
        <v>1108810936</v>
      </c>
      <c r="C136" s="167" t="s">
        <v>525</v>
      </c>
      <c r="D136" s="185">
        <v>31</v>
      </c>
      <c r="E136" s="167" t="s">
        <v>431</v>
      </c>
      <c r="F136" s="185" t="s">
        <v>363</v>
      </c>
      <c r="G136" s="185">
        <v>0</v>
      </c>
      <c r="H136" s="185" t="s">
        <v>54</v>
      </c>
      <c r="I136" s="185" t="s">
        <v>310</v>
      </c>
      <c r="J136" s="185"/>
      <c r="K136" s="185">
        <v>4</v>
      </c>
      <c r="L136" s="167" t="s">
        <v>263</v>
      </c>
    </row>
    <row r="137" spans="1:12">
      <c r="A137" s="185">
        <v>130</v>
      </c>
      <c r="B137" s="167">
        <v>1111453955</v>
      </c>
      <c r="C137" s="167" t="s">
        <v>526</v>
      </c>
      <c r="D137" s="185">
        <v>25</v>
      </c>
      <c r="E137" s="167" t="s">
        <v>431</v>
      </c>
      <c r="F137" s="185" t="s">
        <v>363</v>
      </c>
      <c r="G137" s="185">
        <v>2</v>
      </c>
      <c r="H137" s="185" t="s">
        <v>54</v>
      </c>
      <c r="I137" s="185" t="s">
        <v>310</v>
      </c>
      <c r="J137" s="185"/>
      <c r="K137" s="185">
        <v>4</v>
      </c>
      <c r="L137" s="167" t="s">
        <v>263</v>
      </c>
    </row>
    <row r="138" spans="1:12">
      <c r="A138" s="185">
        <v>131</v>
      </c>
      <c r="B138" s="167">
        <v>1123199612</v>
      </c>
      <c r="C138" s="167" t="s">
        <v>527</v>
      </c>
      <c r="D138" s="185">
        <v>29</v>
      </c>
      <c r="E138" s="167" t="s">
        <v>461</v>
      </c>
      <c r="F138" s="185" t="s">
        <v>363</v>
      </c>
      <c r="G138" s="185">
        <v>2</v>
      </c>
      <c r="H138" s="185" t="s">
        <v>54</v>
      </c>
      <c r="I138" s="185" t="s">
        <v>310</v>
      </c>
      <c r="J138" s="185"/>
      <c r="K138" s="185">
        <v>4</v>
      </c>
      <c r="L138" s="167" t="s">
        <v>263</v>
      </c>
    </row>
    <row r="139" spans="1:12">
      <c r="A139" s="185">
        <v>132</v>
      </c>
      <c r="B139" s="167">
        <v>1089023319</v>
      </c>
      <c r="C139" s="167" t="s">
        <v>528</v>
      </c>
      <c r="D139" s="185">
        <v>34</v>
      </c>
      <c r="E139" s="167" t="s">
        <v>445</v>
      </c>
      <c r="F139" s="185" t="s">
        <v>363</v>
      </c>
      <c r="G139" s="185">
        <v>2</v>
      </c>
      <c r="H139" s="185" t="s">
        <v>54</v>
      </c>
      <c r="I139" s="185" t="s">
        <v>310</v>
      </c>
      <c r="J139" s="185"/>
      <c r="K139" s="185">
        <v>4</v>
      </c>
      <c r="L139" s="167" t="s">
        <v>263</v>
      </c>
    </row>
    <row r="140" spans="1:12">
      <c r="A140" s="185">
        <v>133</v>
      </c>
      <c r="B140" s="167">
        <v>1079159784</v>
      </c>
      <c r="C140" s="167" t="s">
        <v>529</v>
      </c>
      <c r="D140" s="185">
        <v>37</v>
      </c>
      <c r="E140" s="167" t="s">
        <v>431</v>
      </c>
      <c r="F140" s="185" t="s">
        <v>363</v>
      </c>
      <c r="G140" s="185">
        <v>1</v>
      </c>
      <c r="H140" s="185" t="s">
        <v>54</v>
      </c>
      <c r="I140" s="185" t="s">
        <v>310</v>
      </c>
      <c r="J140" s="185"/>
      <c r="K140" s="185">
        <v>4</v>
      </c>
      <c r="L140" s="167" t="s">
        <v>263</v>
      </c>
    </row>
    <row r="141" spans="1:12">
      <c r="A141" s="185">
        <v>134</v>
      </c>
      <c r="B141" s="167">
        <v>1076725777</v>
      </c>
      <c r="C141" s="167" t="s">
        <v>530</v>
      </c>
      <c r="D141" s="185">
        <v>33</v>
      </c>
      <c r="E141" s="167" t="s">
        <v>468</v>
      </c>
      <c r="F141" s="185" t="s">
        <v>363</v>
      </c>
      <c r="G141" s="185">
        <v>2</v>
      </c>
      <c r="H141" s="185" t="s">
        <v>54</v>
      </c>
      <c r="I141" s="185" t="s">
        <v>310</v>
      </c>
      <c r="J141" s="185"/>
      <c r="K141" s="185">
        <v>4</v>
      </c>
      <c r="L141" s="167" t="s">
        <v>263</v>
      </c>
    </row>
    <row r="142" spans="1:12">
      <c r="A142" s="185">
        <v>135</v>
      </c>
      <c r="B142" s="167">
        <v>1060023981</v>
      </c>
      <c r="C142" s="167" t="s">
        <v>531</v>
      </c>
      <c r="D142" s="185">
        <v>39</v>
      </c>
      <c r="E142" s="167" t="s">
        <v>461</v>
      </c>
      <c r="F142" s="185" t="s">
        <v>363</v>
      </c>
      <c r="G142" s="185">
        <v>1</v>
      </c>
      <c r="H142" s="185" t="s">
        <v>54</v>
      </c>
      <c r="I142" s="185" t="s">
        <v>310</v>
      </c>
      <c r="J142" s="185"/>
      <c r="K142" s="185">
        <v>4</v>
      </c>
      <c r="L142" s="167" t="s">
        <v>263</v>
      </c>
    </row>
    <row r="143" spans="1:12">
      <c r="A143" s="185">
        <v>136</v>
      </c>
      <c r="B143" s="167">
        <v>1103378632</v>
      </c>
      <c r="C143" s="167" t="s">
        <v>532</v>
      </c>
      <c r="D143" s="185">
        <v>26</v>
      </c>
      <c r="E143" s="167" t="s">
        <v>431</v>
      </c>
      <c r="F143" s="185" t="s">
        <v>363</v>
      </c>
      <c r="G143" s="185">
        <v>0</v>
      </c>
      <c r="H143" s="185" t="s">
        <v>54</v>
      </c>
      <c r="I143" s="185" t="s">
        <v>310</v>
      </c>
      <c r="J143" s="185"/>
      <c r="K143" s="185">
        <v>4</v>
      </c>
      <c r="L143" s="167" t="s">
        <v>263</v>
      </c>
    </row>
    <row r="144" spans="1:12">
      <c r="A144" s="185">
        <v>137</v>
      </c>
      <c r="B144" s="167">
        <v>1068070133</v>
      </c>
      <c r="C144" s="167" t="s">
        <v>533</v>
      </c>
      <c r="D144" s="185">
        <v>37</v>
      </c>
      <c r="E144" s="167" t="s">
        <v>468</v>
      </c>
      <c r="F144" s="185" t="s">
        <v>370</v>
      </c>
      <c r="G144" s="185">
        <v>10</v>
      </c>
      <c r="H144" s="185" t="s">
        <v>304</v>
      </c>
      <c r="I144" s="185" t="s">
        <v>371</v>
      </c>
      <c r="J144" s="185" t="s">
        <v>297</v>
      </c>
      <c r="K144" s="185">
        <v>1</v>
      </c>
      <c r="L144" s="167" t="s">
        <v>436</v>
      </c>
    </row>
    <row r="145" spans="1:12">
      <c r="A145" s="185">
        <v>138</v>
      </c>
      <c r="B145" s="167">
        <v>1109735785</v>
      </c>
      <c r="C145" s="167" t="s">
        <v>534</v>
      </c>
      <c r="D145" s="185">
        <v>41</v>
      </c>
      <c r="E145" s="167" t="s">
        <v>468</v>
      </c>
      <c r="F145" s="185" t="s">
        <v>370</v>
      </c>
      <c r="G145" s="185">
        <v>15</v>
      </c>
      <c r="H145" s="185" t="s">
        <v>304</v>
      </c>
      <c r="I145" s="185" t="s">
        <v>371</v>
      </c>
      <c r="J145" s="185" t="s">
        <v>298</v>
      </c>
      <c r="K145" s="185">
        <v>1</v>
      </c>
      <c r="L145" s="167" t="s">
        <v>436</v>
      </c>
    </row>
    <row r="146" spans="1:12">
      <c r="A146" s="185">
        <v>139</v>
      </c>
      <c r="B146" s="167">
        <v>1099762732</v>
      </c>
      <c r="C146" s="167" t="s">
        <v>535</v>
      </c>
      <c r="D146" s="185">
        <v>36</v>
      </c>
      <c r="E146" s="167" t="s">
        <v>431</v>
      </c>
      <c r="F146" s="185" t="s">
        <v>363</v>
      </c>
      <c r="G146" s="185">
        <v>5</v>
      </c>
      <c r="H146" s="185" t="s">
        <v>306</v>
      </c>
      <c r="I146" s="185" t="s">
        <v>307</v>
      </c>
      <c r="J146" s="185"/>
      <c r="K146" s="185">
        <v>2</v>
      </c>
      <c r="L146" s="167" t="s">
        <v>53</v>
      </c>
    </row>
    <row r="147" spans="1:12">
      <c r="A147" s="185">
        <v>140</v>
      </c>
      <c r="B147" s="167">
        <v>1071841736</v>
      </c>
      <c r="C147" s="167" t="s">
        <v>536</v>
      </c>
      <c r="D147" s="185">
        <v>35</v>
      </c>
      <c r="E147" s="167" t="s">
        <v>431</v>
      </c>
      <c r="F147" s="185" t="s">
        <v>363</v>
      </c>
      <c r="G147" s="185">
        <v>0</v>
      </c>
      <c r="H147" s="185" t="s">
        <v>54</v>
      </c>
      <c r="I147" s="185" t="s">
        <v>310</v>
      </c>
      <c r="J147" s="185"/>
      <c r="K147" s="185">
        <v>4</v>
      </c>
      <c r="L147" s="167" t="s">
        <v>263</v>
      </c>
    </row>
    <row r="148" spans="1:12">
      <c r="A148" s="185">
        <v>141</v>
      </c>
      <c r="B148" s="167">
        <v>1088255359</v>
      </c>
      <c r="C148" s="167" t="s">
        <v>537</v>
      </c>
      <c r="D148" s="185">
        <v>31</v>
      </c>
      <c r="E148" s="167" t="s">
        <v>431</v>
      </c>
      <c r="F148" s="185" t="s">
        <v>363</v>
      </c>
      <c r="G148" s="185">
        <v>2</v>
      </c>
      <c r="H148" s="185" t="s">
        <v>54</v>
      </c>
      <c r="I148" s="185" t="s">
        <v>310</v>
      </c>
      <c r="J148" s="185"/>
      <c r="K148" s="185">
        <v>4</v>
      </c>
      <c r="L148" s="167" t="s">
        <v>263</v>
      </c>
    </row>
    <row r="149" spans="1:12">
      <c r="A149" s="185">
        <v>142</v>
      </c>
      <c r="B149" s="167">
        <v>1054765548</v>
      </c>
      <c r="C149" s="167" t="s">
        <v>538</v>
      </c>
      <c r="D149" s="185">
        <v>40</v>
      </c>
      <c r="E149" s="167" t="s">
        <v>431</v>
      </c>
      <c r="F149" s="185" t="s">
        <v>363</v>
      </c>
      <c r="G149" s="185">
        <v>1</v>
      </c>
      <c r="H149" s="185" t="s">
        <v>54</v>
      </c>
      <c r="I149" s="185" t="s">
        <v>310</v>
      </c>
      <c r="J149" s="185"/>
      <c r="K149" s="185">
        <v>4</v>
      </c>
      <c r="L149" s="167" t="s">
        <v>263</v>
      </c>
    </row>
    <row r="150" spans="1:12">
      <c r="A150" s="185">
        <v>143</v>
      </c>
      <c r="B150" s="167">
        <v>1098229618</v>
      </c>
      <c r="C150" s="167" t="s">
        <v>539</v>
      </c>
      <c r="D150" s="185">
        <v>29</v>
      </c>
      <c r="E150" s="167" t="s">
        <v>431</v>
      </c>
      <c r="F150" s="185" t="s">
        <v>363</v>
      </c>
      <c r="G150" s="185">
        <v>0</v>
      </c>
      <c r="H150" s="185" t="s">
        <v>54</v>
      </c>
      <c r="I150" s="185" t="s">
        <v>310</v>
      </c>
      <c r="J150" s="185"/>
      <c r="K150" s="185">
        <v>4</v>
      </c>
      <c r="L150" s="167" t="s">
        <v>263</v>
      </c>
    </row>
    <row r="151" spans="1:12">
      <c r="A151" s="185">
        <v>144</v>
      </c>
      <c r="B151" s="167">
        <v>1066377167</v>
      </c>
      <c r="C151" s="167" t="s">
        <v>540</v>
      </c>
      <c r="D151" s="185">
        <v>36</v>
      </c>
      <c r="E151" s="167" t="s">
        <v>431</v>
      </c>
      <c r="F151" s="185" t="s">
        <v>363</v>
      </c>
      <c r="G151" s="185">
        <v>1</v>
      </c>
      <c r="H151" s="185" t="s">
        <v>54</v>
      </c>
      <c r="I151" s="185" t="s">
        <v>310</v>
      </c>
      <c r="J151" s="185"/>
      <c r="K151" s="185">
        <v>4</v>
      </c>
      <c r="L151" s="167" t="s">
        <v>263</v>
      </c>
    </row>
    <row r="152" spans="1:12">
      <c r="A152" s="185">
        <v>145</v>
      </c>
      <c r="B152" s="167">
        <v>1080028523</v>
      </c>
      <c r="C152" s="167" t="s">
        <v>541</v>
      </c>
      <c r="D152" s="185">
        <v>34</v>
      </c>
      <c r="E152" s="167" t="s">
        <v>431</v>
      </c>
      <c r="F152" s="185" t="s">
        <v>363</v>
      </c>
      <c r="G152" s="185">
        <v>5</v>
      </c>
      <c r="H152" s="185" t="s">
        <v>306</v>
      </c>
      <c r="I152" s="185" t="s">
        <v>307</v>
      </c>
      <c r="J152" s="185"/>
      <c r="K152" s="185">
        <v>2</v>
      </c>
      <c r="L152" s="167" t="s">
        <v>53</v>
      </c>
    </row>
    <row r="153" spans="1:12">
      <c r="A153" s="185">
        <v>146</v>
      </c>
      <c r="B153" s="167">
        <v>1063001646</v>
      </c>
      <c r="C153" s="167" t="s">
        <v>542</v>
      </c>
      <c r="D153" s="185">
        <v>42</v>
      </c>
      <c r="E153" s="167" t="s">
        <v>496</v>
      </c>
      <c r="F153" s="185" t="s">
        <v>370</v>
      </c>
      <c r="G153" s="185">
        <v>11</v>
      </c>
      <c r="H153" s="185" t="s">
        <v>304</v>
      </c>
      <c r="I153" s="185" t="s">
        <v>371</v>
      </c>
      <c r="J153" s="185" t="s">
        <v>297</v>
      </c>
      <c r="K153" s="185">
        <v>1</v>
      </c>
      <c r="L153" s="167" t="s">
        <v>372</v>
      </c>
    </row>
    <row r="154" spans="1:12">
      <c r="A154" s="185">
        <v>147</v>
      </c>
      <c r="B154" s="167">
        <v>1117976108</v>
      </c>
      <c r="C154" s="167" t="s">
        <v>543</v>
      </c>
      <c r="D154" s="185">
        <v>24</v>
      </c>
      <c r="E154" s="167" t="s">
        <v>431</v>
      </c>
      <c r="F154" s="185" t="s">
        <v>363</v>
      </c>
      <c r="G154" s="185">
        <v>2</v>
      </c>
      <c r="H154" s="185" t="s">
        <v>54</v>
      </c>
      <c r="I154" s="185" t="s">
        <v>310</v>
      </c>
      <c r="J154" s="185"/>
      <c r="K154" s="185">
        <v>4</v>
      </c>
      <c r="L154" s="167" t="s">
        <v>263</v>
      </c>
    </row>
    <row r="155" spans="1:12">
      <c r="A155" s="185">
        <v>148</v>
      </c>
      <c r="B155" s="167">
        <v>1070562390</v>
      </c>
      <c r="C155" s="167" t="s">
        <v>544</v>
      </c>
      <c r="D155" s="185">
        <v>35</v>
      </c>
      <c r="E155" s="167" t="s">
        <v>431</v>
      </c>
      <c r="F155" s="185" t="s">
        <v>363</v>
      </c>
      <c r="G155" s="185">
        <v>7</v>
      </c>
      <c r="H155" s="185" t="s">
        <v>306</v>
      </c>
      <c r="I155" s="185" t="s">
        <v>307</v>
      </c>
      <c r="J155" s="185"/>
      <c r="K155" s="185">
        <v>2</v>
      </c>
      <c r="L155" s="167" t="s">
        <v>53</v>
      </c>
    </row>
    <row r="156" spans="1:12">
      <c r="A156" s="185">
        <v>149</v>
      </c>
      <c r="B156" s="167">
        <v>1151857883</v>
      </c>
      <c r="C156" s="167" t="s">
        <v>545</v>
      </c>
      <c r="D156" s="185">
        <v>15</v>
      </c>
      <c r="E156" s="167" t="s">
        <v>431</v>
      </c>
      <c r="F156" s="185" t="s">
        <v>363</v>
      </c>
      <c r="G156" s="185">
        <v>0</v>
      </c>
      <c r="H156" s="185" t="s">
        <v>54</v>
      </c>
      <c r="I156" s="185" t="s">
        <v>310</v>
      </c>
      <c r="J156" s="185"/>
      <c r="K156" s="185">
        <v>4</v>
      </c>
      <c r="L156" s="167" t="s">
        <v>263</v>
      </c>
    </row>
    <row r="157" spans="1:12">
      <c r="A157" s="185">
        <v>150</v>
      </c>
      <c r="B157" s="167">
        <v>1122700816</v>
      </c>
      <c r="C157" s="167" t="s">
        <v>546</v>
      </c>
      <c r="D157" s="185">
        <v>22</v>
      </c>
      <c r="E157" s="167" t="s">
        <v>431</v>
      </c>
      <c r="F157" s="185" t="s">
        <v>363</v>
      </c>
      <c r="G157" s="185">
        <v>2</v>
      </c>
      <c r="H157" s="185" t="s">
        <v>54</v>
      </c>
      <c r="I157" s="185" t="s">
        <v>310</v>
      </c>
      <c r="J157" s="185"/>
      <c r="K157" s="185">
        <v>4</v>
      </c>
      <c r="L157" s="167" t="s">
        <v>263</v>
      </c>
    </row>
    <row r="158" spans="1:12">
      <c r="A158" s="185">
        <v>151</v>
      </c>
      <c r="B158" s="167">
        <v>1070754567</v>
      </c>
      <c r="C158" s="167" t="s">
        <v>547</v>
      </c>
      <c r="D158" s="185">
        <v>35</v>
      </c>
      <c r="E158" s="167" t="s">
        <v>431</v>
      </c>
      <c r="F158" s="185" t="s">
        <v>363</v>
      </c>
      <c r="G158" s="185">
        <v>0</v>
      </c>
      <c r="H158" s="185" t="s">
        <v>54</v>
      </c>
      <c r="I158" s="185" t="s">
        <v>310</v>
      </c>
      <c r="J158" s="185"/>
      <c r="K158" s="185">
        <v>4</v>
      </c>
      <c r="L158" s="167" t="s">
        <v>263</v>
      </c>
    </row>
    <row r="159" spans="1:12">
      <c r="A159" s="185">
        <v>152</v>
      </c>
      <c r="B159" s="167">
        <v>1069692869</v>
      </c>
      <c r="C159" s="167" t="s">
        <v>548</v>
      </c>
      <c r="D159" s="185">
        <v>36</v>
      </c>
      <c r="E159" s="167" t="s">
        <v>468</v>
      </c>
      <c r="F159" s="185" t="s">
        <v>363</v>
      </c>
      <c r="G159" s="185">
        <v>3</v>
      </c>
      <c r="H159" s="185" t="s">
        <v>308</v>
      </c>
      <c r="I159" s="185" t="s">
        <v>309</v>
      </c>
      <c r="J159" s="185"/>
      <c r="K159" s="185">
        <v>3</v>
      </c>
      <c r="L159" s="167" t="s">
        <v>436</v>
      </c>
    </row>
    <row r="160" spans="1:12">
      <c r="A160" s="185">
        <v>153</v>
      </c>
      <c r="B160" s="167">
        <v>1062488224</v>
      </c>
      <c r="C160" s="167" t="s">
        <v>549</v>
      </c>
      <c r="D160" s="185">
        <v>40</v>
      </c>
      <c r="E160" s="167" t="s">
        <v>431</v>
      </c>
      <c r="F160" s="185" t="s">
        <v>363</v>
      </c>
      <c r="G160" s="185">
        <v>1</v>
      </c>
      <c r="H160" s="185" t="s">
        <v>54</v>
      </c>
      <c r="I160" s="185" t="s">
        <v>310</v>
      </c>
      <c r="J160" s="185"/>
      <c r="K160" s="185">
        <v>4</v>
      </c>
      <c r="L160" s="167" t="s">
        <v>263</v>
      </c>
    </row>
    <row r="161" spans="1:12">
      <c r="A161" s="185">
        <v>154</v>
      </c>
      <c r="B161" s="167">
        <v>2501622324</v>
      </c>
      <c r="C161" s="167" t="s">
        <v>550</v>
      </c>
      <c r="D161" s="185">
        <v>36</v>
      </c>
      <c r="E161" s="167" t="s">
        <v>468</v>
      </c>
      <c r="F161" s="185" t="s">
        <v>363</v>
      </c>
      <c r="G161" s="185">
        <v>1</v>
      </c>
      <c r="H161" s="185" t="s">
        <v>54</v>
      </c>
      <c r="I161" s="185" t="s">
        <v>310</v>
      </c>
      <c r="J161" s="185"/>
      <c r="K161" s="185">
        <v>4</v>
      </c>
      <c r="L161" s="167" t="s">
        <v>263</v>
      </c>
    </row>
    <row r="162" spans="1:12">
      <c r="A162" s="185">
        <v>155</v>
      </c>
      <c r="B162" s="167">
        <v>1122677964</v>
      </c>
      <c r="C162" s="167" t="s">
        <v>551</v>
      </c>
      <c r="D162" s="185">
        <v>23</v>
      </c>
      <c r="E162" s="167" t="s">
        <v>468</v>
      </c>
      <c r="F162" s="185" t="s">
        <v>370</v>
      </c>
      <c r="G162" s="185">
        <v>7</v>
      </c>
      <c r="H162" s="185" t="s">
        <v>306</v>
      </c>
      <c r="I162" s="185" t="s">
        <v>307</v>
      </c>
      <c r="J162" s="185" t="s">
        <v>297</v>
      </c>
      <c r="K162" s="185">
        <v>2</v>
      </c>
      <c r="L162" s="167" t="s">
        <v>436</v>
      </c>
    </row>
    <row r="163" spans="1:12">
      <c r="A163" s="185">
        <v>156</v>
      </c>
      <c r="B163" s="167">
        <v>1046497705</v>
      </c>
      <c r="C163" s="167" t="s">
        <v>552</v>
      </c>
      <c r="D163" s="185">
        <v>38</v>
      </c>
      <c r="E163" s="167" t="s">
        <v>553</v>
      </c>
      <c r="F163" s="185" t="s">
        <v>363</v>
      </c>
      <c r="G163" s="185">
        <v>3</v>
      </c>
      <c r="H163" s="185" t="s">
        <v>308</v>
      </c>
      <c r="I163" s="185" t="s">
        <v>309</v>
      </c>
      <c r="J163" s="185"/>
      <c r="K163" s="185">
        <v>3</v>
      </c>
      <c r="L163" s="167" t="s">
        <v>436</v>
      </c>
    </row>
    <row r="164" spans="1:12">
      <c r="A164" s="185">
        <v>157</v>
      </c>
      <c r="B164" s="167">
        <v>1053242747</v>
      </c>
      <c r="C164" s="167" t="s">
        <v>554</v>
      </c>
      <c r="D164" s="185">
        <v>41</v>
      </c>
      <c r="E164" s="167" t="s">
        <v>461</v>
      </c>
      <c r="F164" s="185" t="s">
        <v>363</v>
      </c>
      <c r="G164" s="185">
        <v>6</v>
      </c>
      <c r="H164" s="185" t="s">
        <v>306</v>
      </c>
      <c r="I164" s="185" t="s">
        <v>307</v>
      </c>
      <c r="J164" s="185"/>
      <c r="K164" s="185">
        <v>2</v>
      </c>
      <c r="L164" s="167" t="s">
        <v>67</v>
      </c>
    </row>
    <row r="165" spans="1:12">
      <c r="A165" s="185">
        <v>158</v>
      </c>
      <c r="B165" s="167">
        <v>1063743288</v>
      </c>
      <c r="C165" s="167" t="s">
        <v>555</v>
      </c>
      <c r="D165" s="185">
        <v>36</v>
      </c>
      <c r="E165" s="167" t="s">
        <v>496</v>
      </c>
      <c r="F165" s="185" t="s">
        <v>363</v>
      </c>
      <c r="G165" s="185">
        <v>3</v>
      </c>
      <c r="H165" s="185" t="s">
        <v>308</v>
      </c>
      <c r="I165" s="185" t="s">
        <v>309</v>
      </c>
      <c r="J165" s="185"/>
      <c r="K165" s="185">
        <v>3</v>
      </c>
      <c r="L165" s="167" t="s">
        <v>61</v>
      </c>
    </row>
    <row r="166" spans="1:12">
      <c r="A166" s="185">
        <v>159</v>
      </c>
      <c r="B166" s="167">
        <v>1043528536</v>
      </c>
      <c r="C166" s="167" t="s">
        <v>556</v>
      </c>
      <c r="D166" s="185">
        <v>41</v>
      </c>
      <c r="E166" s="167" t="s">
        <v>468</v>
      </c>
      <c r="F166" s="185" t="s">
        <v>370</v>
      </c>
      <c r="G166" s="185">
        <v>13</v>
      </c>
      <c r="H166" s="185" t="s">
        <v>304</v>
      </c>
      <c r="I166" s="185" t="s">
        <v>371</v>
      </c>
      <c r="J166" s="185" t="s">
        <v>298</v>
      </c>
      <c r="K166" s="185">
        <v>1</v>
      </c>
      <c r="L166" s="167" t="s">
        <v>436</v>
      </c>
    </row>
    <row r="167" spans="1:12">
      <c r="A167" s="167">
        <v>160</v>
      </c>
      <c r="B167" s="167" t="str">
        <f>IF(البيانات!V161="","",البيانات!V161)</f>
        <v>107974781</v>
      </c>
      <c r="C167" s="167" t="str">
        <f>IF(البيانات!U161="","",البيانات!U161)</f>
        <v>زينب علي عيسي قيسي</v>
      </c>
      <c r="D167" s="167" t="str">
        <f>IF(البيانات!T161="","",البيانات!T161)</f>
        <v>33</v>
      </c>
      <c r="E167" s="167" t="str">
        <f>IF(البيانات!F161="","",البيانات!F161)</f>
        <v>Southern Sector القطاع الجنوبي</v>
      </c>
      <c r="F167" s="167" t="str">
        <f>IF(البيانات!AD161="Yes","🔴 نعم",IF(البيانات!AD161="No","🟢 لا",""))</f>
        <v>🔴 نعم</v>
      </c>
      <c r="G167" s="167">
        <f>IF(B167="","",
            (IF(D167&gt;40,5,IF(D167&gt;35,3,0)))+
            (IF(F167="🔴 نعم",5,0))+
            (IF(ISNUMBER(SEARCH("السمنة",البيانات!Z160)),2,0))+
            (IF(ISNUMBER(SEARCH("السكري",البيانات!AA160)),2,0))+
            (IF(ISNUMBER(SEARCH("ضغط",البيانات!AA160)),2,0)))</f>
        <v>10</v>
      </c>
      <c r="H167" s="167" t="str">
        <f>IF(G167="","",IF(G167&gt;=8,"🔴 حرج",IF(G167&gt;=5,"🟠 عالي",IF(G167&gt;=3,"🟡 متوسط","🟢 منخفض"))))</f>
        <v>🔴 حرج</v>
      </c>
      <c r="I167" s="167" t="str">
        <f>IF(H167="","",IF(H167="🔴 حرج","إحالة فورية",IF(H167="🟠 عالي","إحالة تخصصية",IF(H167="🟡 متوسط","متابعة مكثفة","متابعة روتينية"))))</f>
        <v>إحالة فورية</v>
      </c>
      <c r="J167" s="167" t="str">
        <f>IF(F167="🔴 نعم",IF(البيانات!AE160="Yes","✅ تم العلاج","⚠️ بدون علاج"),"")</f>
        <v>✅ تم العلاج</v>
      </c>
      <c r="K167" s="167">
        <f>IF(H167="","",IF(H167="🔴 حرج",1,IF(H167="🟠 عالي",2,IF(H167="🟡 متوسط",3,4))))</f>
        <v>1</v>
      </c>
      <c r="L167" s="167" t="str">
        <f>IF(B167="","",IF(I167="متابعة روتينية","متابعة في المركز",IF(OR(ISNUMBER(SEARCH("المركزي",E167)),ISNUMBER(SEARCH("Central",E167))),"مستشفى جازان العام",IF(OR(ISNUMBER(SEARCH("الغربي",E167)),ISNUMBER(SEARCH("Western",E167)),ISNUMBER(SEARCH("الجبلي",E167)),ISNUMBER(SEARCH("jabaly",E167))),"مستشفى صبيا العام",IF(OR(ISNUMBER(SEARCH("الأوسط",E167)),ISNUMBER(SEARCH("الاوسط",E167)),ISNUMBER(SEARCH("Middle",E167)),ISNUMBER(SEARCH("بني مالك",E167))),"مستشفى أبو عريش العام",IF(OR(ISNUMBER(SEARCH("الجنوبي",E167)),ISNUMBER(SEARCH("Southern",E167))),"مستشفى صامطة العام",IF(OR(ISNUMBER(SEARCH("الشمالي",E167)),ISNUMBER(SEARCH("Northern",E167))),"مستشفى بيش العام","غير محدد")))))))</f>
        <v>مستشفى صامطة العام</v>
      </c>
    </row>
    <row r="168" spans="1:12">
      <c r="A168" s="167">
        <v>161</v>
      </c>
      <c r="B168" s="167" t="str">
        <f>IF(البيانات!V162="","",البيانات!V162)</f>
        <v>2497025862</v>
      </c>
      <c r="C168" s="167" t="str">
        <f>IF(البيانات!U162="","",البيانات!U162)</f>
        <v>RAHMAH ABDOH IBRAHIM</v>
      </c>
      <c r="D168" s="167" t="str">
        <f>IF(البيانات!T162="","",البيانات!T162)</f>
        <v>31</v>
      </c>
      <c r="E168" s="167" t="str">
        <f>IF(البيانات!F162="","",البيانات!F162)</f>
        <v>Central Sectorالقطاع المركزي</v>
      </c>
      <c r="F168" s="167" t="str">
        <f>IF(البيانات!AD162="Yes","🔴 نعم",IF(البيانات!AD162="No","🟢 لا",""))</f>
        <v>🟢 لا</v>
      </c>
      <c r="G168" s="167">
        <f>IF(B168="","",
            (IF(D168&gt;40,5,IF(D168&gt;35,3,0)))+
            (IF(F168="🔴 نعم",5,0))+
            (IF(ISNUMBER(SEARCH("السمنة",البيانات!Z161)),2,0))+
            (IF(ISNUMBER(SEARCH("السكري",البيانات!AA161)),2,0))+
            (IF(ISNUMBER(SEARCH("ضغط",البيانات!AA161)),2,0)))</f>
        <v>5</v>
      </c>
      <c r="H168" s="167" t="str">
        <f>IF(G168="","",IF(G168&gt;=8,"🔴 حرج",IF(G168&gt;=5,"🟠 عالي",IF(G168&gt;=3,"🟡 متوسط","🟢 منخفض"))))</f>
        <v>🟠 عالي</v>
      </c>
      <c r="I168" s="167" t="str">
        <f>IF(H168="","",IF(H168="🔴 حرج","إحالة فورية",IF(H168="🟠 عالي","إحالة تخصصية",IF(H168="🟡 متوسط","متابعة مكثفة","متابعة روتينية"))))</f>
        <v>إحالة تخصصية</v>
      </c>
      <c r="J168" s="167" t="str">
        <f>IF(F168="🔴 نعم",IF(البيانات!AE161="Yes","✅ تم العلاج","⚠️ بدون علاج"),"")</f>
        <v/>
      </c>
      <c r="K168" s="167">
        <f>IF(H168="","",IF(H168="🔴 حرج",1,IF(H168="🟠 عالي",2,IF(H168="🟡 متوسط",3,4))))</f>
        <v>2</v>
      </c>
      <c r="L168" s="167" t="str">
        <f t="shared" ref="L168:L231" si="0">IF(B168="","",IF(I168="متابعة روتينية","متابعة في المركز",IF(OR(ISNUMBER(SEARCH("المركزي",E168)),ISNUMBER(SEARCH("Central",E168))),"مستشفى جازان العام",IF(OR(ISNUMBER(SEARCH("الغربي",E168)),ISNUMBER(SEARCH("Western",E168)),ISNUMBER(SEARCH("الجبلي",E168)),ISNUMBER(SEARCH("jabaly",E168))),"مستشفى صبيا العام",IF(OR(ISNUMBER(SEARCH("الأوسط",E168)),ISNUMBER(SEARCH("الاوسط",E168)),ISNUMBER(SEARCH("Middle",E168)),ISNUMBER(SEARCH("بني مالك",E168))),"مستشفى أبو عريش العام",IF(OR(ISNUMBER(SEARCH("الجنوبي",E168)),ISNUMBER(SEARCH("Southern",E168))),"مستشفى صامطة العام",IF(OR(ISNUMBER(SEARCH("الشمالي",E168)),ISNUMBER(SEARCH("Northern",E168))),"مستشفى بيش العام","غير محدد")))))))</f>
        <v>مستشفى جازان العام</v>
      </c>
    </row>
    <row r="169" spans="1:12">
      <c r="A169" s="167">
        <v>162</v>
      </c>
      <c r="B169" s="167" t="str">
        <f>IF(البيانات!V163="","",البيانات!V163)</f>
        <v>1077341780</v>
      </c>
      <c r="C169" s="167" t="str">
        <f>IF(البيانات!U163="","",البيانات!U163)</f>
        <v>EISHAH MOHAMMED AHMED ALJOHANI</v>
      </c>
      <c r="D169" s="167" t="str">
        <f>IF(البيانات!T163="","",البيانات!T163)</f>
        <v>34</v>
      </c>
      <c r="E169" s="167" t="str">
        <f>IF(البيانات!F163="","",البيانات!F163)</f>
        <v>Central Sectorالقطاع المركزي</v>
      </c>
      <c r="F169" s="167" t="str">
        <f>IF(البيانات!AD163="Yes","🔴 نعم",IF(البيانات!AD163="No","🟢 لا",""))</f>
        <v>🟢 لا</v>
      </c>
      <c r="G169" s="167">
        <f>IF(B169="","",
            (IF(D169&gt;40,5,IF(D169&gt;35,3,0)))+
            (IF(F169="🔴 نعم",5,0))+
            (IF(ISNUMBER(SEARCH("السمنة",البيانات!Z162)),2,0))+
            (IF(ISNUMBER(SEARCH("السكري",البيانات!AA162)),2,0))+
            (IF(ISNUMBER(SEARCH("ضغط",البيانات!AA162)),2,0)))</f>
        <v>5</v>
      </c>
      <c r="H169" s="167" t="str">
        <f>IF(G169="","",IF(G169&gt;=8,"🔴 حرج",IF(G169&gt;=5,"🟠 عالي",IF(G169&gt;=3,"🟡 متوسط","🟢 منخفض"))))</f>
        <v>🟠 عالي</v>
      </c>
      <c r="I169" s="167" t="str">
        <f>IF(H169="","",IF(H169="🔴 حرج","إحالة فورية",IF(H169="🟠 عالي","إحالة تخصصية",IF(H169="🟡 متوسط","متابعة مكثفة","متابعة روتينية"))))</f>
        <v>إحالة تخصصية</v>
      </c>
      <c r="J169" s="167" t="str">
        <f>IF(F169="🔴 نعم",IF(البيانات!AE162="Yes","✅ تم العلاج","⚠️ بدون علاج"),"")</f>
        <v/>
      </c>
      <c r="K169" s="167">
        <f>IF(H169="","",IF(H169="🔴 حرج",1,IF(H169="🟠 عالي",2,IF(H169="🟡 متوسط",3,4))))</f>
        <v>2</v>
      </c>
      <c r="L169" s="167" t="str">
        <f t="shared" si="0"/>
        <v>مستشفى جازان العام</v>
      </c>
    </row>
    <row r="170" spans="1:12">
      <c r="A170" s="167">
        <v>163</v>
      </c>
      <c r="B170" s="167" t="str">
        <f>IF(البيانات!V164="","",البيانات!V164)</f>
        <v>1054054844</v>
      </c>
      <c r="C170" s="167" t="str">
        <f>IF(البيانات!U164="","",البيانات!U164)</f>
        <v>KHULUD ESSA BINALI KHORMI</v>
      </c>
      <c r="D170" s="167" t="str">
        <f>IF(البيانات!T164="","",البيانات!T164)</f>
        <v>38</v>
      </c>
      <c r="E170" s="167" t="str">
        <f>IF(البيانات!F164="","",البيانات!F164)</f>
        <v>Central Sectorالقطاع المركزي</v>
      </c>
      <c r="F170" s="167" t="str">
        <f>IF(البيانات!AD164="Yes","🔴 نعم",IF(البيانات!AD164="No","🟢 لا",""))</f>
        <v>🟢 لا</v>
      </c>
      <c r="G170" s="167">
        <f>IF(B170="","",
            (IF(D170&gt;40,5,IF(D170&gt;35,3,0)))+
            (IF(F170="🔴 نعم",5,0))+
            (IF(ISNUMBER(SEARCH("السمنة",البيانات!Z163)),2,0))+
            (IF(ISNUMBER(SEARCH("السكري",البيانات!AA163)),2,0))+
            (IF(ISNUMBER(SEARCH("ضغط",البيانات!AA163)),2,0)))</f>
        <v>5</v>
      </c>
      <c r="H170" s="167" t="str">
        <f>IF(G170="","",IF(G170&gt;=8,"🔴 حرج",IF(G170&gt;=5,"🟠 عالي",IF(G170&gt;=3,"🟡 متوسط","🟢 منخفض"))))</f>
        <v>🟠 عالي</v>
      </c>
      <c r="I170" s="167" t="str">
        <f>IF(H170="","",IF(H170="🔴 حرج","إحالة فورية",IF(H170="🟠 عالي","إحالة تخصصية",IF(H170="🟡 متوسط","متابعة مكثفة","متابعة روتينية"))))</f>
        <v>إحالة تخصصية</v>
      </c>
      <c r="J170" s="167" t="str">
        <f>IF(F170="🔴 نعم",IF(البيانات!AE163="Yes","✅ تم العلاج","⚠️ بدون علاج"),"")</f>
        <v/>
      </c>
      <c r="K170" s="167">
        <f>IF(H170="","",IF(H170="🔴 حرج",1,IF(H170="🟠 عالي",2,IF(H170="🟡 متوسط",3,4))))</f>
        <v>2</v>
      </c>
      <c r="L170" s="167" t="str">
        <f t="shared" si="0"/>
        <v>مستشفى جازان العام</v>
      </c>
    </row>
    <row r="171" spans="1:12">
      <c r="A171" s="167">
        <v>164</v>
      </c>
      <c r="B171" s="167" t="str">
        <f>IF(البيانات!V165="","",البيانات!V165)</f>
        <v>1072268608</v>
      </c>
      <c r="C171" s="167" t="str">
        <f>IF(البيانات!U165="","",البيانات!U165)</f>
        <v>FATEMAH ABDULAZIZ ALI ALHAKAMI</v>
      </c>
      <c r="D171" s="167" t="str">
        <f>IF(البيانات!T165="","",البيانات!T165)</f>
        <v>35</v>
      </c>
      <c r="E171" s="167" t="str">
        <f>IF(البيانات!F165="","",البيانات!F165)</f>
        <v>Central Sectorالقطاع المركزي</v>
      </c>
      <c r="F171" s="167" t="str">
        <f>IF(البيانات!AD165="Yes","🔴 نعم",IF(البيانات!AD165="No","🟢 لا",""))</f>
        <v>🟢 لا</v>
      </c>
      <c r="G171" s="167">
        <f>IF(B171="","",
            (IF(D171&gt;40,5,IF(D171&gt;35,3,0)))+
            (IF(F171="🔴 نعم",5,0))+
            (IF(ISNUMBER(SEARCH("السمنة",البيانات!Z164)),2,0))+
            (IF(ISNUMBER(SEARCH("السكري",البيانات!AA164)),2,0))+
            (IF(ISNUMBER(SEARCH("ضغط",البيانات!AA164)),2,0)))</f>
        <v>5</v>
      </c>
      <c r="H171" s="167" t="str">
        <f>IF(G171="","",IF(G171&gt;=8,"🔴 حرج",IF(G171&gt;=5,"🟠 عالي",IF(G171&gt;=3,"🟡 متوسط","🟢 منخفض"))))</f>
        <v>🟠 عالي</v>
      </c>
      <c r="I171" s="167" t="str">
        <f>IF(H171="","",IF(H171="🔴 حرج","إحالة فورية",IF(H171="🟠 عالي","إحالة تخصصية",IF(H171="🟡 متوسط","متابعة مكثفة","متابعة روتينية"))))</f>
        <v>إحالة تخصصية</v>
      </c>
      <c r="J171" s="167" t="str">
        <f>IF(F171="🔴 نعم",IF(البيانات!AE164="Yes","✅ تم العلاج","⚠️ بدون علاج"),"")</f>
        <v/>
      </c>
      <c r="K171" s="167">
        <f>IF(H171="","",IF(H171="🔴 حرج",1,IF(H171="🟠 عالي",2,IF(H171="🟡 متوسط",3,4))))</f>
        <v>2</v>
      </c>
      <c r="L171" s="167" t="str">
        <f t="shared" si="0"/>
        <v>مستشفى جازان العام</v>
      </c>
    </row>
    <row r="172" spans="1:12">
      <c r="A172" s="167">
        <v>165</v>
      </c>
      <c r="B172" s="167" t="str">
        <f>IF(البيانات!V166="","",البيانات!V166)</f>
        <v>2055979120</v>
      </c>
      <c r="C172" s="167" t="str">
        <f>IF(البيانات!U166="","",البيانات!U166)</f>
        <v>TAYSIR HASSAN ABDU SIDDIQ</v>
      </c>
      <c r="D172" s="167" t="str">
        <f>IF(البيانات!T166="","",البيانات!T166)</f>
        <v>42</v>
      </c>
      <c r="E172" s="167" t="str">
        <f>IF(البيانات!F166="","",البيانات!F166)</f>
        <v>Central Sectorالقطاع المركزي</v>
      </c>
      <c r="F172" s="167" t="str">
        <f>IF(البيانات!AD166="Yes","🔴 نعم",IF(البيانات!AD166="No","🟢 لا",""))</f>
        <v>🟢 لا</v>
      </c>
      <c r="G172" s="167">
        <f>IF(B172="","",
            (IF(D172&gt;40,5,IF(D172&gt;35,3,0)))+
            (IF(F172="🔴 نعم",5,0))+
            (IF(ISNUMBER(SEARCH("السمنة",البيانات!Z165)),2,0))+
            (IF(ISNUMBER(SEARCH("السكري",البيانات!AA165)),2,0))+
            (IF(ISNUMBER(SEARCH("ضغط",البيانات!AA165)),2,0)))</f>
        <v>5</v>
      </c>
      <c r="H172" s="167" t="str">
        <f>IF(G172="","",IF(G172&gt;=8,"🔴 حرج",IF(G172&gt;=5,"🟠 عالي",IF(G172&gt;=3,"🟡 متوسط","🟢 منخفض"))))</f>
        <v>🟠 عالي</v>
      </c>
      <c r="I172" s="167" t="str">
        <f>IF(H172="","",IF(H172="🔴 حرج","إحالة فورية",IF(H172="🟠 عالي","إحالة تخصصية",IF(H172="🟡 متوسط","متابعة مكثفة","متابعة روتينية"))))</f>
        <v>إحالة تخصصية</v>
      </c>
      <c r="J172" s="167" t="str">
        <f>IF(F172="🔴 نعم",IF(البيانات!AE165="Yes","✅ تم العلاج","⚠️ بدون علاج"),"")</f>
        <v/>
      </c>
      <c r="K172" s="167">
        <f>IF(H172="","",IF(H172="🔴 حرج",1,IF(H172="🟠 عالي",2,IF(H172="🟡 متوسط",3,4))))</f>
        <v>2</v>
      </c>
      <c r="L172" s="167" t="str">
        <f t="shared" si="0"/>
        <v>مستشفى جازان العام</v>
      </c>
    </row>
    <row r="173" spans="1:12">
      <c r="A173" s="167">
        <v>166</v>
      </c>
      <c r="B173" s="167" t="str">
        <f>IF(البيانات!V167="","",البيانات!V167)</f>
        <v>1101751707</v>
      </c>
      <c r="C173" s="167" t="str">
        <f>IF(البيانات!U167="","",البيانات!U167)</f>
        <v>فاطمه سنينس صوعان هزازي</v>
      </c>
      <c r="D173" s="167" t="str">
        <f>IF(البيانات!T167="","",البيانات!T167)</f>
        <v>28</v>
      </c>
      <c r="E173" s="167" t="str">
        <f>IF(البيانات!F167="","",البيانات!F167)</f>
        <v>Southern Sector القطاع الجنوبي</v>
      </c>
      <c r="F173" s="167" t="str">
        <f>IF(البيانات!AD167="Yes","🔴 نعم",IF(البيانات!AD167="No","🟢 لا",""))</f>
        <v>🟢 لا</v>
      </c>
      <c r="G173" s="167">
        <f>IF(B173="","",
            (IF(D173&gt;40,5,IF(D173&gt;35,3,0)))+
            (IF(F173="🔴 نعم",5,0))+
            (IF(ISNUMBER(SEARCH("السمنة",البيانات!Z166)),2,0))+
            (IF(ISNUMBER(SEARCH("السكري",البيانات!AA166)),2,0))+
            (IF(ISNUMBER(SEARCH("ضغط",البيانات!AA166)),2,0)))</f>
        <v>5</v>
      </c>
      <c r="H173" s="167" t="str">
        <f>IF(G173="","",IF(G173&gt;=8,"🔴 حرج",IF(G173&gt;=5,"🟠 عالي",IF(G173&gt;=3,"🟡 متوسط","🟢 منخفض"))))</f>
        <v>🟠 عالي</v>
      </c>
      <c r="I173" s="167" t="str">
        <f>IF(H173="","",IF(H173="🔴 حرج","إحالة فورية",IF(H173="🟠 عالي","إحالة تخصصية",IF(H173="🟡 متوسط","متابعة مكثفة","متابعة روتينية"))))</f>
        <v>إحالة تخصصية</v>
      </c>
      <c r="J173" s="167" t="str">
        <f>IF(F173="🔴 نعم",IF(البيانات!AE166="Yes","✅ تم العلاج","⚠️ بدون علاج"),"")</f>
        <v/>
      </c>
      <c r="K173" s="167">
        <f>IF(H173="","",IF(H173="🔴 حرج",1,IF(H173="🟠 عالي",2,IF(H173="🟡 متوسط",3,4))))</f>
        <v>2</v>
      </c>
      <c r="L173" s="167" t="str">
        <f t="shared" si="0"/>
        <v>مستشفى صامطة العام</v>
      </c>
    </row>
    <row r="174" spans="1:12">
      <c r="A174" s="167">
        <v>167</v>
      </c>
      <c r="B174" s="167" t="str">
        <f>IF(البيانات!V168="","",البيانات!V168)</f>
        <v>1015011933</v>
      </c>
      <c r="C174" s="167" t="str">
        <f>IF(البيانات!U168="","",البيانات!U168)</f>
        <v>FATIMAH MANSOUR AHMED QASEM</v>
      </c>
      <c r="D174" s="167" t="str">
        <f>IF(البيانات!T168="","",البيانات!T168)</f>
        <v>41</v>
      </c>
      <c r="E174" s="167" t="str">
        <f>IF(البيانات!F168="","",البيانات!F168)</f>
        <v>Central Sectorالقطاع المركزي</v>
      </c>
      <c r="F174" s="167" t="str">
        <f>IF(البيانات!AD168="Yes","🔴 نعم",IF(البيانات!AD168="No","🟢 لا",""))</f>
        <v>🟢 لا</v>
      </c>
      <c r="G174" s="167">
        <f>IF(B174="","",
            (IF(D174&gt;40,5,IF(D174&gt;35,3,0)))+
            (IF(F174="🔴 نعم",5,0))+
            (IF(ISNUMBER(SEARCH("السمنة",البيانات!Z167)),2,0))+
            (IF(ISNUMBER(SEARCH("السكري",البيانات!AA167)),2,0))+
            (IF(ISNUMBER(SEARCH("ضغط",البيانات!AA167)),2,0)))</f>
        <v>5</v>
      </c>
      <c r="H174" s="167" t="str">
        <f>IF(G174="","",IF(G174&gt;=8,"🔴 حرج",IF(G174&gt;=5,"🟠 عالي",IF(G174&gt;=3,"🟡 متوسط","🟢 منخفض"))))</f>
        <v>🟠 عالي</v>
      </c>
      <c r="I174" s="167" t="str">
        <f>IF(H174="","",IF(H174="🔴 حرج","إحالة فورية",IF(H174="🟠 عالي","إحالة تخصصية",IF(H174="🟡 متوسط","متابعة مكثفة","متابعة روتينية"))))</f>
        <v>إحالة تخصصية</v>
      </c>
      <c r="J174" s="167" t="str">
        <f>IF(F174="🔴 نعم",IF(البيانات!AE167="Yes","✅ تم العلاج","⚠️ بدون علاج"),"")</f>
        <v/>
      </c>
      <c r="K174" s="167">
        <f>IF(H174="","",IF(H174="🔴 حرج",1,IF(H174="🟠 عالي",2,IF(H174="🟡 متوسط",3,4))))</f>
        <v>2</v>
      </c>
      <c r="L174" s="167" t="str">
        <f t="shared" si="0"/>
        <v>مستشفى جازان العام</v>
      </c>
    </row>
    <row r="175" spans="1:12">
      <c r="A175" s="167">
        <v>168</v>
      </c>
      <c r="B175" s="167" t="str">
        <f>IF(البيانات!V169="","",البيانات!V169)</f>
        <v>1090577048</v>
      </c>
      <c r="C175" s="167" t="str">
        <f>IF(البيانات!U169="","",البيانات!U169)</f>
        <v>Jumah hassan mohmmed hurubi</v>
      </c>
      <c r="D175" s="167" t="str">
        <f>IF(البيانات!T169="","",البيانات!T169)</f>
        <v>30</v>
      </c>
      <c r="E175" s="167" t="str">
        <f>IF(البيانات!F169="","",البيانات!F169)</f>
        <v>Western Sectorالقطاع الغربي</v>
      </c>
      <c r="F175" s="167" t="str">
        <f>IF(البيانات!AD169="Yes","🔴 نعم",IF(البيانات!AD169="No","🟢 لا",""))</f>
        <v>🟢 لا</v>
      </c>
      <c r="G175" s="167">
        <f>IF(B175="","",
            (IF(D175&gt;40,5,IF(D175&gt;35,3,0)))+
            (IF(F175="🔴 نعم",5,0))+
            (IF(ISNUMBER(SEARCH("السمنة",البيانات!Z168)),2,0))+
            (IF(ISNUMBER(SEARCH("السكري",البيانات!AA168)),2,0))+
            (IF(ISNUMBER(SEARCH("ضغط",البيانات!AA168)),2,0)))</f>
        <v>5</v>
      </c>
      <c r="H175" s="167" t="str">
        <f>IF(G175="","",IF(G175&gt;=8,"🔴 حرج",IF(G175&gt;=5,"🟠 عالي",IF(G175&gt;=3,"🟡 متوسط","🟢 منخفض"))))</f>
        <v>🟠 عالي</v>
      </c>
      <c r="I175" s="167" t="str">
        <f>IF(H175="","",IF(H175="🔴 حرج","إحالة فورية",IF(H175="🟠 عالي","إحالة تخصصية",IF(H175="🟡 متوسط","متابعة مكثفة","متابعة روتينية"))))</f>
        <v>إحالة تخصصية</v>
      </c>
      <c r="J175" s="167" t="str">
        <f>IF(F175="🔴 نعم",IF(البيانات!AE168="Yes","✅ تم العلاج","⚠️ بدون علاج"),"")</f>
        <v/>
      </c>
      <c r="K175" s="167">
        <f>IF(H175="","",IF(H175="🔴 حرج",1,IF(H175="🟠 عالي",2,IF(H175="🟡 متوسط",3,4))))</f>
        <v>2</v>
      </c>
      <c r="L175" s="167" t="str">
        <f t="shared" si="0"/>
        <v>مستشفى صبيا العام</v>
      </c>
    </row>
    <row r="176" spans="1:12">
      <c r="A176" s="167">
        <v>169</v>
      </c>
      <c r="B176" s="167" t="str">
        <f>IF(البيانات!V170="","",البيانات!V170)</f>
        <v>1133130185</v>
      </c>
      <c r="C176" s="167" t="str">
        <f>IF(البيانات!U170="","",البيانات!U170)</f>
        <v>WAFA ZAHER YAHYA ALOTAYFI</v>
      </c>
      <c r="D176" s="167" t="str">
        <f>IF(البيانات!T170="","",البيانات!T170)</f>
        <v>25</v>
      </c>
      <c r="E176" s="167" t="str">
        <f>IF(البيانات!F170="","",البيانات!F170)</f>
        <v>Central Sectorالقطاع المركزي</v>
      </c>
      <c r="F176" s="167" t="str">
        <f>IF(البيانات!AD170="Yes","🔴 نعم",IF(البيانات!AD170="No","🟢 لا",""))</f>
        <v>🟢 لا</v>
      </c>
      <c r="G176" s="167">
        <f>IF(B176="","",
            (IF(D176&gt;40,5,IF(D176&gt;35,3,0)))+
            (IF(F176="🔴 نعم",5,0))+
            (IF(ISNUMBER(SEARCH("السمنة",البيانات!Z169)),2,0))+
            (IF(ISNUMBER(SEARCH("السكري",البيانات!AA169)),2,0))+
            (IF(ISNUMBER(SEARCH("ضغط",البيانات!AA169)),2,0)))</f>
        <v>5</v>
      </c>
      <c r="H176" s="167" t="str">
        <f>IF(G176="","",IF(G176&gt;=8,"🔴 حرج",IF(G176&gt;=5,"🟠 عالي",IF(G176&gt;=3,"🟡 متوسط","🟢 منخفض"))))</f>
        <v>🟠 عالي</v>
      </c>
      <c r="I176" s="167" t="str">
        <f>IF(H176="","",IF(H176="🔴 حرج","إحالة فورية",IF(H176="🟠 عالي","إحالة تخصصية",IF(H176="🟡 متوسط","متابعة مكثفة","متابعة روتينية"))))</f>
        <v>إحالة تخصصية</v>
      </c>
      <c r="J176" s="167" t="str">
        <f>IF(F176="🔴 نعم",IF(البيانات!AE169="Yes","✅ تم العلاج","⚠️ بدون علاج"),"")</f>
        <v/>
      </c>
      <c r="K176" s="167">
        <f>IF(H176="","",IF(H176="🔴 حرج",1,IF(H176="🟠 عالي",2,IF(H176="🟡 متوسط",3,4))))</f>
        <v>2</v>
      </c>
      <c r="L176" s="167" t="str">
        <f t="shared" si="0"/>
        <v>مستشفى جازان العام</v>
      </c>
    </row>
    <row r="177" spans="1:12">
      <c r="A177" s="167">
        <v>170</v>
      </c>
      <c r="B177" s="167" t="str">
        <f>IF(البيانات!V171="","",البيانات!V171)</f>
        <v>1107741249</v>
      </c>
      <c r="C177" s="167" t="str">
        <f>IF(البيانات!U171="","",البيانات!U171)</f>
        <v>WASAN OMAR BUHAYS ALNAJJAR</v>
      </c>
      <c r="D177" s="167" t="str">
        <f>IF(البيانات!T171="","",البيانات!T171)</f>
        <v>26</v>
      </c>
      <c r="E177" s="167" t="str">
        <f>IF(البيانات!F171="","",البيانات!F171)</f>
        <v>Central Sectorالقطاع المركزي</v>
      </c>
      <c r="F177" s="167" t="str">
        <f>IF(البيانات!AD171="Yes","🔴 نعم",IF(البيانات!AD171="No","🟢 لا",""))</f>
        <v>🟢 لا</v>
      </c>
      <c r="G177" s="167">
        <f>IF(B177="","",
            (IF(D177&gt;40,5,IF(D177&gt;35,3,0)))+
            (IF(F177="🔴 نعم",5,0))+
            (IF(ISNUMBER(SEARCH("السمنة",البيانات!Z170)),2,0))+
            (IF(ISNUMBER(SEARCH("السكري",البيانات!AA170)),2,0))+
            (IF(ISNUMBER(SEARCH("ضغط",البيانات!AA170)),2,0)))</f>
        <v>5</v>
      </c>
      <c r="H177" s="167" t="str">
        <f>IF(G177="","",IF(G177&gt;=8,"🔴 حرج",IF(G177&gt;=5,"🟠 عالي",IF(G177&gt;=3,"🟡 متوسط","🟢 منخفض"))))</f>
        <v>🟠 عالي</v>
      </c>
      <c r="I177" s="167" t="str">
        <f>IF(H177="","",IF(H177="🔴 حرج","إحالة فورية",IF(H177="🟠 عالي","إحالة تخصصية",IF(H177="🟡 متوسط","متابعة مكثفة","متابعة روتينية"))))</f>
        <v>إحالة تخصصية</v>
      </c>
      <c r="J177" s="167" t="str">
        <f>IF(F177="🔴 نعم",IF(البيانات!AE170="Yes","✅ تم العلاج","⚠️ بدون علاج"),"")</f>
        <v/>
      </c>
      <c r="K177" s="167">
        <f>IF(H177="","",IF(H177="🔴 حرج",1,IF(H177="🟠 عالي",2,IF(H177="🟡 متوسط",3,4))))</f>
        <v>2</v>
      </c>
      <c r="L177" s="167" t="str">
        <f t="shared" si="0"/>
        <v>مستشفى جازان العام</v>
      </c>
    </row>
    <row r="178" spans="1:12">
      <c r="A178" s="167">
        <v>171</v>
      </c>
      <c r="B178" s="167" t="str">
        <f>IF(البيانات!V172="","",البيانات!V172)</f>
        <v>1066057504</v>
      </c>
      <c r="C178" s="167" t="str">
        <f>IF(البيانات!U172="","",البيانات!U172)</f>
        <v>ABEER HASSAN MOHAMMED AGEELI</v>
      </c>
      <c r="D178" s="167" t="str">
        <f>IF(البيانات!T172="","",البيانات!T172)</f>
        <v>36</v>
      </c>
      <c r="E178" s="167" t="str">
        <f>IF(البيانات!F172="","",البيانات!F172)</f>
        <v>Central Sectorالقطاع المركزي</v>
      </c>
      <c r="F178" s="167" t="str">
        <f>IF(البيانات!AD172="Yes","🔴 نعم",IF(البيانات!AD172="No","🟢 لا",""))</f>
        <v>🟢 لا</v>
      </c>
      <c r="G178" s="167">
        <f>IF(B178="","",
            (IF(D178&gt;40,5,IF(D178&gt;35,3,0)))+
            (IF(F178="🔴 نعم",5,0))+
            (IF(ISNUMBER(SEARCH("السمنة",البيانات!Z171)),2,0))+
            (IF(ISNUMBER(SEARCH("السكري",البيانات!AA171)),2,0))+
            (IF(ISNUMBER(SEARCH("ضغط",البيانات!AA171)),2,0)))</f>
        <v>5</v>
      </c>
      <c r="H178" s="167" t="str">
        <f>IF(G178="","",IF(G178&gt;=8,"🔴 حرج",IF(G178&gt;=5,"🟠 عالي",IF(G178&gt;=3,"🟡 متوسط","🟢 منخفض"))))</f>
        <v>🟠 عالي</v>
      </c>
      <c r="I178" s="167" t="str">
        <f>IF(H178="","",IF(H178="🔴 حرج","إحالة فورية",IF(H178="🟠 عالي","إحالة تخصصية",IF(H178="🟡 متوسط","متابعة مكثفة","متابعة روتينية"))))</f>
        <v>إحالة تخصصية</v>
      </c>
      <c r="J178" s="167" t="str">
        <f>IF(F178="🔴 نعم",IF(البيانات!AE171="Yes","✅ تم العلاج","⚠️ بدون علاج"),"")</f>
        <v/>
      </c>
      <c r="K178" s="167">
        <f>IF(H178="","",IF(H178="🔴 حرج",1,IF(H178="🟠 عالي",2,IF(H178="🟡 متوسط",3,4))))</f>
        <v>2</v>
      </c>
      <c r="L178" s="167" t="str">
        <f t="shared" si="0"/>
        <v>مستشفى جازان العام</v>
      </c>
    </row>
    <row r="179" spans="1:12">
      <c r="A179" s="167">
        <v>172</v>
      </c>
      <c r="B179" s="167" t="str">
        <f>IF(البيانات!V173="","",البيانات!V173)</f>
        <v>1074755255</v>
      </c>
      <c r="C179" s="167" t="str">
        <f>IF(البيانات!U173="","",البيانات!U173)</f>
        <v>HAWMAA ALI IBRAHIM FOQERY</v>
      </c>
      <c r="D179" s="167" t="str">
        <f>IF(البيانات!T173="","",البيانات!T173)</f>
        <v>41</v>
      </c>
      <c r="E179" s="167" t="str">
        <f>IF(البيانات!F173="","",البيانات!F173)</f>
        <v>Northern Sectorالقطاع الشمالي</v>
      </c>
      <c r="F179" s="167" t="str">
        <f>IF(البيانات!AD173="Yes","🔴 نعم",IF(البيانات!AD173="No","🟢 لا",""))</f>
        <v>🟢 لا</v>
      </c>
      <c r="G179" s="167">
        <f>IF(B179="","",
            (IF(D179&gt;40,5,IF(D179&gt;35,3,0)))+
            (IF(F179="🔴 نعم",5,0))+
            (IF(ISNUMBER(SEARCH("السمنة",البيانات!Z172)),2,0))+
            (IF(ISNUMBER(SEARCH("السكري",البيانات!AA172)),2,0))+
            (IF(ISNUMBER(SEARCH("ضغط",البيانات!AA172)),2,0)))</f>
        <v>5</v>
      </c>
      <c r="H179" s="167" t="str">
        <f>IF(G179="","",IF(G179&gt;=8,"🔴 حرج",IF(G179&gt;=5,"🟠 عالي",IF(G179&gt;=3,"🟡 متوسط","🟢 منخفض"))))</f>
        <v>🟠 عالي</v>
      </c>
      <c r="I179" s="167" t="str">
        <f>IF(H179="","",IF(H179="🔴 حرج","إحالة فورية",IF(H179="🟠 عالي","إحالة تخصصية",IF(H179="🟡 متوسط","متابعة مكثفة","متابعة روتينية"))))</f>
        <v>إحالة تخصصية</v>
      </c>
      <c r="J179" s="167" t="str">
        <f>IF(F179="🔴 نعم",IF(البيانات!AE172="Yes","✅ تم العلاج","⚠️ بدون علاج"),"")</f>
        <v/>
      </c>
      <c r="K179" s="167">
        <f>IF(H179="","",IF(H179="🔴 حرج",1,IF(H179="🟠 عالي",2,IF(H179="🟡 متوسط",3,4))))</f>
        <v>2</v>
      </c>
      <c r="L179" s="167" t="str">
        <f t="shared" si="0"/>
        <v>مستشفى بيش العام</v>
      </c>
    </row>
    <row r="180" spans="1:12">
      <c r="A180" s="167">
        <v>173</v>
      </c>
      <c r="B180" s="167" t="str">
        <f>IF(البيانات!V174="","",البيانات!V174)</f>
        <v>1113502601</v>
      </c>
      <c r="C180" s="167" t="str">
        <f>IF(البيانات!U174="","",البيانات!U174)</f>
        <v>ALSHAYMAA MUSAAD IBRAHIM NAJDI</v>
      </c>
      <c r="D180" s="167" t="str">
        <f>IF(البيانات!T174="","",البيانات!T174)</f>
        <v>25</v>
      </c>
      <c r="E180" s="167" t="str">
        <f>IF(البيانات!F174="","",البيانات!F174)</f>
        <v>Central Sectorالقطاع المركزي</v>
      </c>
      <c r="F180" s="167" t="str">
        <f>IF(البيانات!AD174="Yes","🔴 نعم",IF(البيانات!AD174="No","🟢 لا",""))</f>
        <v>🟢 لا</v>
      </c>
      <c r="G180" s="167">
        <f>IF(B180="","",
            (IF(D180&gt;40,5,IF(D180&gt;35,3,0)))+
            (IF(F180="🔴 نعم",5,0))+
            (IF(ISNUMBER(SEARCH("السمنة",البيانات!Z173)),2,0))+
            (IF(ISNUMBER(SEARCH("السكري",البيانات!AA173)),2,0))+
            (IF(ISNUMBER(SEARCH("ضغط",البيانات!AA173)),2,0)))</f>
        <v>5</v>
      </c>
      <c r="H180" s="167" t="str">
        <f>IF(G180="","",IF(G180&gt;=8,"🔴 حرج",IF(G180&gt;=5,"🟠 عالي",IF(G180&gt;=3,"🟡 متوسط","🟢 منخفض"))))</f>
        <v>🟠 عالي</v>
      </c>
      <c r="I180" s="167" t="str">
        <f>IF(H180="","",IF(H180="🔴 حرج","إحالة فورية",IF(H180="🟠 عالي","إحالة تخصصية",IF(H180="🟡 متوسط","متابعة مكثفة","متابعة روتينية"))))</f>
        <v>إحالة تخصصية</v>
      </c>
      <c r="J180" s="167" t="str">
        <f>IF(F180="🔴 نعم",IF(البيانات!AE173="Yes","✅ تم العلاج","⚠️ بدون علاج"),"")</f>
        <v/>
      </c>
      <c r="K180" s="167">
        <f>IF(H180="","",IF(H180="🔴 حرج",1,IF(H180="🟠 عالي",2,IF(H180="🟡 متوسط",3,4))))</f>
        <v>2</v>
      </c>
      <c r="L180" s="167" t="str">
        <f t="shared" si="0"/>
        <v>مستشفى جازان العام</v>
      </c>
    </row>
    <row r="181" spans="1:12">
      <c r="A181" s="167">
        <v>174</v>
      </c>
      <c r="B181" s="167" t="str">
        <f>IF(البيانات!V175="","",البيانات!V175)</f>
        <v>1119705216</v>
      </c>
      <c r="C181" s="167" t="str">
        <f>IF(البيانات!U175="","",البيانات!U175)</f>
        <v>REHAB HUSSAIN AHMED HAKAMI</v>
      </c>
      <c r="D181" s="167" t="str">
        <f>IF(البيانات!T175="","",البيانات!T175)</f>
        <v>26</v>
      </c>
      <c r="E181" s="167" t="str">
        <f>IF(البيانات!F175="","",البيانات!F175)</f>
        <v>Central Sectorالقطاع المركزي</v>
      </c>
      <c r="F181" s="167" t="str">
        <f>IF(البيانات!AD175="Yes","🔴 نعم",IF(البيانات!AD175="No","🟢 لا",""))</f>
        <v>🟢 لا</v>
      </c>
      <c r="G181" s="167">
        <f>IF(B181="","",
            (IF(D181&gt;40,5,IF(D181&gt;35,3,0)))+
            (IF(F181="🔴 نعم",5,0))+
            (IF(ISNUMBER(SEARCH("السمنة",البيانات!Z174)),2,0))+
            (IF(ISNUMBER(SEARCH("السكري",البيانات!AA174)),2,0))+
            (IF(ISNUMBER(SEARCH("ضغط",البيانات!AA174)),2,0)))</f>
        <v>5</v>
      </c>
      <c r="H181" s="167" t="str">
        <f>IF(G181="","",IF(G181&gt;=8,"🔴 حرج",IF(G181&gt;=5,"🟠 عالي",IF(G181&gt;=3,"🟡 متوسط","🟢 منخفض"))))</f>
        <v>🟠 عالي</v>
      </c>
      <c r="I181" s="167" t="str">
        <f>IF(H181="","",IF(H181="🔴 حرج","إحالة فورية",IF(H181="🟠 عالي","إحالة تخصصية",IF(H181="🟡 متوسط","متابعة مكثفة","متابعة روتينية"))))</f>
        <v>إحالة تخصصية</v>
      </c>
      <c r="J181" s="167" t="str">
        <f>IF(F181="🔴 نعم",IF(البيانات!AE174="Yes","✅ تم العلاج","⚠️ بدون علاج"),"")</f>
        <v/>
      </c>
      <c r="K181" s="167">
        <f>IF(H181="","",IF(H181="🔴 حرج",1,IF(H181="🟠 عالي",2,IF(H181="🟡 متوسط",3,4))))</f>
        <v>2</v>
      </c>
      <c r="L181" s="167" t="str">
        <f t="shared" si="0"/>
        <v>مستشفى جازان العام</v>
      </c>
    </row>
    <row r="182" spans="1:12">
      <c r="A182" s="167">
        <v>175</v>
      </c>
      <c r="B182" s="167" t="str">
        <f>IF(البيانات!V176="","",البيانات!V176)</f>
        <v>1133354827</v>
      </c>
      <c r="C182" s="167" t="str">
        <f>IF(البيانات!U176="","",البيانات!U176)</f>
        <v>Tasnin Basin Saad Hendi</v>
      </c>
      <c r="D182" s="167" t="str">
        <f>IF(البيانات!T176="","",البيانات!T176)</f>
        <v>21</v>
      </c>
      <c r="E182" s="167" t="str">
        <f>IF(البيانات!F176="","",البيانات!F176)</f>
        <v>Central Sectorالقطاع المركزي</v>
      </c>
      <c r="F182" s="167" t="str">
        <f>IF(البيانات!AD176="Yes","🔴 نعم",IF(البيانات!AD176="No","🟢 لا",""))</f>
        <v>🟢 لا</v>
      </c>
      <c r="G182" s="167">
        <f>IF(B182="","",
            (IF(D182&gt;40,5,IF(D182&gt;35,3,0)))+
            (IF(F182="🔴 نعم",5,0))+
            (IF(ISNUMBER(SEARCH("السمنة",البيانات!Z175)),2,0))+
            (IF(ISNUMBER(SEARCH("السكري",البيانات!AA175)),2,0))+
            (IF(ISNUMBER(SEARCH("ضغط",البيانات!AA175)),2,0)))</f>
        <v>5</v>
      </c>
      <c r="H182" s="167" t="str">
        <f>IF(G182="","",IF(G182&gt;=8,"🔴 حرج",IF(G182&gt;=5,"🟠 عالي",IF(G182&gt;=3,"🟡 متوسط","🟢 منخفض"))))</f>
        <v>🟠 عالي</v>
      </c>
      <c r="I182" s="167" t="str">
        <f>IF(H182="","",IF(H182="🔴 حرج","إحالة فورية",IF(H182="🟠 عالي","إحالة تخصصية",IF(H182="🟡 متوسط","متابعة مكثفة","متابعة روتينية"))))</f>
        <v>إحالة تخصصية</v>
      </c>
      <c r="J182" s="167" t="str">
        <f>IF(F182="🔴 نعم",IF(البيانات!AE175="Yes","✅ تم العلاج","⚠️ بدون علاج"),"")</f>
        <v/>
      </c>
      <c r="K182" s="167">
        <f>IF(H182="","",IF(H182="🔴 حرج",1,IF(H182="🟠 عالي",2,IF(H182="🟡 متوسط",3,4))))</f>
        <v>2</v>
      </c>
      <c r="L182" s="167" t="str">
        <f t="shared" si="0"/>
        <v>مستشفى جازان العام</v>
      </c>
    </row>
    <row r="183" spans="1:12">
      <c r="A183" s="167">
        <v>176</v>
      </c>
      <c r="B183" s="167" t="str">
        <f>IF(البيانات!V177="","",البيانات!V177)</f>
        <v>1104535321</v>
      </c>
      <c r="C183" s="167" t="str">
        <f>IF(البيانات!U177="","",البيانات!U177)</f>
        <v>TAHANI WAHEEB JUHAYNI HABS</v>
      </c>
      <c r="D183" s="167" t="str">
        <f>IF(البيانات!T177="","",البيانات!T177)</f>
        <v>27</v>
      </c>
      <c r="E183" s="167" t="str">
        <f>IF(البيانات!F177="","",البيانات!F177)</f>
        <v>Central Sectorالقطاع المركزي</v>
      </c>
      <c r="F183" s="167" t="str">
        <f>IF(البيانات!AD177="Yes","🔴 نعم",IF(البيانات!AD177="No","🟢 لا",""))</f>
        <v>🟢 لا</v>
      </c>
      <c r="G183" s="167">
        <f>IF(B183="","",
            (IF(D183&gt;40,5,IF(D183&gt;35,3,0)))+
            (IF(F183="🔴 نعم",5,0))+
            (IF(ISNUMBER(SEARCH("السمنة",البيانات!Z176)),2,0))+
            (IF(ISNUMBER(SEARCH("السكري",البيانات!AA176)),2,0))+
            (IF(ISNUMBER(SEARCH("ضغط",البيانات!AA176)),2,0)))</f>
        <v>5</v>
      </c>
      <c r="H183" s="167" t="str">
        <f>IF(G183="","",IF(G183&gt;=8,"🔴 حرج",IF(G183&gt;=5,"🟠 عالي",IF(G183&gt;=3,"🟡 متوسط","🟢 منخفض"))))</f>
        <v>🟠 عالي</v>
      </c>
      <c r="I183" s="167" t="str">
        <f>IF(H183="","",IF(H183="🔴 حرج","إحالة فورية",IF(H183="🟠 عالي","إحالة تخصصية",IF(H183="🟡 متوسط","متابعة مكثفة","متابعة روتينية"))))</f>
        <v>إحالة تخصصية</v>
      </c>
      <c r="J183" s="167" t="str">
        <f>IF(F183="🔴 نعم",IF(البيانات!AE176="Yes","✅ تم العلاج","⚠️ بدون علاج"),"")</f>
        <v/>
      </c>
      <c r="K183" s="167">
        <f>IF(H183="","",IF(H183="🔴 حرج",1,IF(H183="🟠 عالي",2,IF(H183="🟡 متوسط",3,4))))</f>
        <v>2</v>
      </c>
      <c r="L183" s="167" t="str">
        <f t="shared" si="0"/>
        <v>مستشفى جازان العام</v>
      </c>
    </row>
    <row r="184" spans="1:12">
      <c r="A184" s="167">
        <v>177</v>
      </c>
      <c r="B184" s="167" t="str">
        <f>IF(البيانات!V178="","",البيانات!V178)</f>
        <v>2495492387</v>
      </c>
      <c r="C184" s="167" t="str">
        <f>IF(البيانات!U178="","",البيانات!U178)</f>
        <v>عائشة محمد عبدالله حدادي</v>
      </c>
      <c r="D184" s="167" t="str">
        <f>IF(البيانات!T178="","",البيانات!T178)</f>
        <v>34</v>
      </c>
      <c r="E184" s="167" t="str">
        <f>IF(البيانات!F178="","",البيانات!F178)</f>
        <v xml:space="preserve">Southern Sector القطاع الجنوبي				</v>
      </c>
      <c r="F184" s="167" t="str">
        <f>IF(البيانات!AD178="Yes","🔴 نعم",IF(البيانات!AD178="No","🟢 لا",""))</f>
        <v>🟢 لا</v>
      </c>
      <c r="G184" s="167">
        <f>IF(B184="","",
            (IF(D184&gt;40,5,IF(D184&gt;35,3,0)))+
            (IF(F184="🔴 نعم",5,0))+
            (IF(ISNUMBER(SEARCH("السمنة",البيانات!Z177)),2,0))+
            (IF(ISNUMBER(SEARCH("السكري",البيانات!AA177)),2,0))+
            (IF(ISNUMBER(SEARCH("ضغط",البيانات!AA177)),2,0)))</f>
        <v>5</v>
      </c>
      <c r="H184" s="167" t="str">
        <f>IF(G184="","",IF(G184&gt;=8,"🔴 حرج",IF(G184&gt;=5,"🟠 عالي",IF(G184&gt;=3,"🟡 متوسط","🟢 منخفض"))))</f>
        <v>🟠 عالي</v>
      </c>
      <c r="I184" s="167" t="str">
        <f>IF(H184="","",IF(H184="🔴 حرج","إحالة فورية",IF(H184="🟠 عالي","إحالة تخصصية",IF(H184="🟡 متوسط","متابعة مكثفة","متابعة روتينية"))))</f>
        <v>إحالة تخصصية</v>
      </c>
      <c r="J184" s="167" t="str">
        <f>IF(F184="🔴 نعم",IF(البيانات!AE177="Yes","✅ تم العلاج","⚠️ بدون علاج"),"")</f>
        <v/>
      </c>
      <c r="K184" s="167">
        <f>IF(H184="","",IF(H184="🔴 حرج",1,IF(H184="🟠 عالي",2,IF(H184="🟡 متوسط",3,4))))</f>
        <v>2</v>
      </c>
      <c r="L184" s="167" t="str">
        <f t="shared" si="0"/>
        <v>مستشفى صامطة العام</v>
      </c>
    </row>
    <row r="185" spans="1:12">
      <c r="A185" s="167">
        <v>178</v>
      </c>
      <c r="B185" s="167" t="str">
        <f>IF(البيانات!V179="","",البيانات!V179)</f>
        <v>1050676012</v>
      </c>
      <c r="C185" s="167" t="str">
        <f>IF(البيانات!U179="","",البيانات!U179)</f>
        <v>NASIYAH ALI AHMED HAZAZI</v>
      </c>
      <c r="D185" s="167" t="str">
        <f>IF(البيانات!T179="","",البيانات!T179)</f>
        <v>41</v>
      </c>
      <c r="E185" s="167" t="str">
        <f>IF(البيانات!F179="","",البيانات!F179)</f>
        <v>Central Sectorالقطاع المركزي</v>
      </c>
      <c r="F185" s="167" t="str">
        <f>IF(البيانات!AD179="Yes","🔴 نعم",IF(البيانات!AD179="No","🟢 لا",""))</f>
        <v>🔴 نعم</v>
      </c>
      <c r="G185" s="167">
        <f>IF(B185="","",
            (IF(D185&gt;40,5,IF(D185&gt;35,3,0)))+
            (IF(F185="🔴 نعم",5,0))+
            (IF(ISNUMBER(SEARCH("السمنة",البيانات!Z178)),2,0))+
            (IF(ISNUMBER(SEARCH("السكري",البيانات!AA178)),2,0))+
            (IF(ISNUMBER(SEARCH("ضغط",البيانات!AA178)),2,0)))</f>
        <v>10</v>
      </c>
      <c r="H185" s="167" t="str">
        <f>IF(G185="","",IF(G185&gt;=8,"🔴 حرج",IF(G185&gt;=5,"🟠 عالي",IF(G185&gt;=3,"🟡 متوسط","🟢 منخفض"))))</f>
        <v>🔴 حرج</v>
      </c>
      <c r="I185" s="167" t="str">
        <f>IF(H185="","",IF(H185="🔴 حرج","إحالة فورية",IF(H185="🟠 عالي","إحالة تخصصية",IF(H185="🟡 متوسط","متابعة مكثفة","متابعة روتينية"))))</f>
        <v>إحالة فورية</v>
      </c>
      <c r="J185" s="167" t="str">
        <f>IF(F185="🔴 نعم",IF(البيانات!AE178="Yes","✅ تم العلاج","⚠️ بدون علاج"),"")</f>
        <v>⚠️ بدون علاج</v>
      </c>
      <c r="K185" s="167">
        <f>IF(H185="","",IF(H185="🔴 حرج",1,IF(H185="🟠 عالي",2,IF(H185="🟡 متوسط",3,4))))</f>
        <v>1</v>
      </c>
      <c r="L185" s="167" t="str">
        <f t="shared" si="0"/>
        <v>مستشفى جازان العام</v>
      </c>
    </row>
    <row r="186" spans="1:12">
      <c r="A186" s="167">
        <v>179</v>
      </c>
      <c r="B186" s="167" t="str">
        <f>IF(البيانات!V180="","",البيانات!V180)</f>
        <v>1107083220</v>
      </c>
      <c r="C186" s="167" t="str">
        <f>IF(البيانات!U180="","",البيانات!U180)</f>
        <v>ناديه علي احمد مدخلي</v>
      </c>
      <c r="D186" s="167">
        <f>IF(البيانات!T180="","",البيانات!T180)</f>
        <v>27</v>
      </c>
      <c r="E186" s="167" t="str">
        <f>IF(البيانات!F180="","",البيانات!F180)</f>
        <v xml:space="preserve">Southern Sector القطاع الجنوبي				</v>
      </c>
      <c r="F186" s="167" t="str">
        <f>IF(البيانات!AD180="Yes","🔴 نعم",IF(البيانات!AD180="No","🟢 لا",""))</f>
        <v>🔴 نعم</v>
      </c>
      <c r="G186" s="167">
        <f>IF(B186="","",
            (IF(D186&gt;40,5,IF(D186&gt;35,3,0)))+
            (IF(F186="🔴 نعم",5,0))+
            (IF(ISNUMBER(SEARCH("السمنة",البيانات!Z179)),2,0))+
            (IF(ISNUMBER(SEARCH("السكري",البيانات!AA179)),2,0))+
            (IF(ISNUMBER(SEARCH("ضغط",البيانات!AA179)),2,0)))</f>
        <v>5</v>
      </c>
      <c r="H186" s="167" t="str">
        <f>IF(G186="","",IF(G186&gt;=8,"🔴 حرج",IF(G186&gt;=5,"🟠 عالي",IF(G186&gt;=3,"🟡 متوسط","🟢 منخفض"))))</f>
        <v>🟠 عالي</v>
      </c>
      <c r="I186" s="167" t="str">
        <f>IF(H186="","",IF(H186="🔴 حرج","إحالة فورية",IF(H186="🟠 عالي","إحالة تخصصية",IF(H186="🟡 متوسط","متابعة مكثفة","متابعة روتينية"))))</f>
        <v>إحالة تخصصية</v>
      </c>
      <c r="J186" s="167" t="str">
        <f>IF(F186="🔴 نعم",IF(البيانات!AE179="Yes","✅ تم العلاج","⚠️ بدون علاج"),"")</f>
        <v>⚠️ بدون علاج</v>
      </c>
      <c r="K186" s="167">
        <f>IF(H186="","",IF(H186="🔴 حرج",1,IF(H186="🟠 عالي",2,IF(H186="🟡 متوسط",3,4))))</f>
        <v>2</v>
      </c>
      <c r="L186" s="167" t="str">
        <f t="shared" si="0"/>
        <v>مستشفى صامطة العام</v>
      </c>
    </row>
    <row r="187" spans="1:12">
      <c r="A187" s="167">
        <v>180</v>
      </c>
      <c r="B187" s="167" t="str">
        <f>IF(البيانات!V181="","",البيانات!V181)</f>
        <v>1083154862</v>
      </c>
      <c r="C187" s="167" t="str">
        <f>IF(البيانات!U181="","",البيانات!U181)</f>
        <v xml:space="preserve">عائشة ثابت مهدي </v>
      </c>
      <c r="D187" s="167">
        <f>IF(البيانات!T181="","",البيانات!T181)</f>
        <v>37</v>
      </c>
      <c r="E187" s="167" t="str">
        <f>IF(البيانات!F181="","",البيانات!F181)</f>
        <v>Central Sectorالقطاع المركزي</v>
      </c>
      <c r="F187" s="167" t="str">
        <f>IF(البيانات!AD181="Yes","🔴 نعم",IF(البيانات!AD181="No","🟢 لا",""))</f>
        <v>🟢 لا</v>
      </c>
      <c r="G187" s="167">
        <f>IF(B187="","",
            (IF(D187&gt;40,5,IF(D187&gt;35,3,0)))+
            (IF(F187="🔴 نعم",5,0))+
            (IF(ISNUMBER(SEARCH("السمنة",البيانات!Z180)),2,0))+
            (IF(ISNUMBER(SEARCH("السكري",البيانات!AA180)),2,0))+
            (IF(ISNUMBER(SEARCH("ضغط",البيانات!AA180)),2,0)))</f>
        <v>3</v>
      </c>
      <c r="H187" s="167" t="str">
        <f>IF(G187="","",IF(G187&gt;=8,"🔴 حرج",IF(G187&gt;=5,"🟠 عالي",IF(G187&gt;=3,"🟡 متوسط","🟢 منخفض"))))</f>
        <v>🟡 متوسط</v>
      </c>
      <c r="I187" s="167" t="str">
        <f>IF(H187="","",IF(H187="🔴 حرج","إحالة فورية",IF(H187="🟠 عالي","إحالة تخصصية",IF(H187="🟡 متوسط","متابعة مكثفة","متابعة روتينية"))))</f>
        <v>متابعة مكثفة</v>
      </c>
      <c r="J187" s="167" t="str">
        <f>IF(F187="🔴 نعم",IF(البيانات!AE180="Yes","✅ تم العلاج","⚠️ بدون علاج"),"")</f>
        <v/>
      </c>
      <c r="K187" s="167">
        <f>IF(H187="","",IF(H187="🔴 حرج",1,IF(H187="🟠 عالي",2,IF(H187="🟡 متوسط",3,4))))</f>
        <v>3</v>
      </c>
      <c r="L187" s="167" t="str">
        <f t="shared" si="0"/>
        <v>مستشفى جازان العام</v>
      </c>
    </row>
    <row r="188" spans="1:12">
      <c r="A188" s="167">
        <v>181</v>
      </c>
      <c r="B188" s="167" t="str">
        <f>IF(البيانات!V182="","",البيانات!V182)</f>
        <v>1059980852</v>
      </c>
      <c r="C188" s="167" t="str">
        <f>IF(البيانات!U182="","",البيانات!U182)</f>
        <v xml:space="preserve">THURAYA </v>
      </c>
      <c r="D188" s="167">
        <f>IF(البيانات!T182="","",البيانات!T182)</f>
        <v>38</v>
      </c>
      <c r="E188" s="167" t="str">
        <f>IF(البيانات!F182="","",البيانات!F182)</f>
        <v xml:space="preserve">Southern Sector القطاع الجنوبي				</v>
      </c>
      <c r="F188" s="167" t="str">
        <f>IF(البيانات!AD182="Yes","🔴 نعم",IF(البيانات!AD182="No","🟢 لا",""))</f>
        <v>🟢 لا</v>
      </c>
      <c r="G188" s="167">
        <f>IF(B188="","",
            (IF(D188&gt;40,5,IF(D188&gt;35,3,0)))+
            (IF(F188="🔴 نعم",5,0))+
            (IF(ISNUMBER(SEARCH("السمنة",البيانات!Z181)),2,0))+
            (IF(ISNUMBER(SEARCH("السكري",البيانات!AA181)),2,0))+
            (IF(ISNUMBER(SEARCH("ضغط",البيانات!AA181)),2,0)))</f>
        <v>3</v>
      </c>
      <c r="H188" s="167" t="str">
        <f>IF(G188="","",IF(G188&gt;=8,"🔴 حرج",IF(G188&gt;=5,"🟠 عالي",IF(G188&gt;=3,"🟡 متوسط","🟢 منخفض"))))</f>
        <v>🟡 متوسط</v>
      </c>
      <c r="I188" s="167" t="str">
        <f>IF(H188="","",IF(H188="🔴 حرج","إحالة فورية",IF(H188="🟠 عالي","إحالة تخصصية",IF(H188="🟡 متوسط","متابعة مكثفة","متابعة روتينية"))))</f>
        <v>متابعة مكثفة</v>
      </c>
      <c r="J188" s="167" t="str">
        <f>IF(F188="🔴 نعم",IF(البيانات!AE181="Yes","✅ تم العلاج","⚠️ بدون علاج"),"")</f>
        <v/>
      </c>
      <c r="K188" s="167">
        <f>IF(H188="","",IF(H188="🔴 حرج",1,IF(H188="🟠 عالي",2,IF(H188="🟡 متوسط",3,4))))</f>
        <v>3</v>
      </c>
      <c r="L188" s="167" t="str">
        <f t="shared" si="0"/>
        <v>مستشفى صامطة العام</v>
      </c>
    </row>
    <row r="189" spans="1:12">
      <c r="A189" s="167">
        <v>182</v>
      </c>
      <c r="B189" s="167" t="str">
        <f>IF(البيانات!V183="","",البيانات!V183)</f>
        <v>2101886071</v>
      </c>
      <c r="C189" s="167" t="str">
        <f>IF(البيانات!U183="","",البيانات!U183)</f>
        <v>سلمى احمد محمد حشيبري</v>
      </c>
      <c r="D189" s="167">
        <f>IF(البيانات!T183="","",البيانات!T183)</f>
        <v>37</v>
      </c>
      <c r="E189" s="167" t="str">
        <f>IF(البيانات!F183="","",البيانات!F183)</f>
        <v>Central Sectorالقطاع المركزي</v>
      </c>
      <c r="F189" s="167" t="str">
        <f>IF(البيانات!AD183="Yes","🔴 نعم",IF(البيانات!AD183="No","🟢 لا",""))</f>
        <v>🟢 لا</v>
      </c>
      <c r="G189" s="167">
        <f>IF(B189="","",
            (IF(D189&gt;40,5,IF(D189&gt;35,3,0)))+
            (IF(F189="🔴 نعم",5,0))+
            (IF(ISNUMBER(SEARCH("السمنة",البيانات!Z182)),2,0))+
            (IF(ISNUMBER(SEARCH("السكري",البيانات!AA182)),2,0))+
            (IF(ISNUMBER(SEARCH("ضغط",البيانات!AA182)),2,0)))</f>
        <v>3</v>
      </c>
      <c r="H189" s="167" t="str">
        <f>IF(G189="","",IF(G189&gt;=8,"🔴 حرج",IF(G189&gt;=5,"🟠 عالي",IF(G189&gt;=3,"🟡 متوسط","🟢 منخفض"))))</f>
        <v>🟡 متوسط</v>
      </c>
      <c r="I189" s="167" t="str">
        <f>IF(H189="","",IF(H189="🔴 حرج","إحالة فورية",IF(H189="🟠 عالي","إحالة تخصصية",IF(H189="🟡 متوسط","متابعة مكثفة","متابعة روتينية"))))</f>
        <v>متابعة مكثفة</v>
      </c>
      <c r="J189" s="167" t="str">
        <f>IF(F189="🔴 نعم",IF(البيانات!AE182="Yes","✅ تم العلاج","⚠️ بدون علاج"),"")</f>
        <v/>
      </c>
      <c r="K189" s="167">
        <f>IF(H189="","",IF(H189="🔴 حرج",1,IF(H189="🟠 عالي",2,IF(H189="🟡 متوسط",3,4))))</f>
        <v>3</v>
      </c>
      <c r="L189" s="167" t="str">
        <f t="shared" si="0"/>
        <v>مستشفى جازان العام</v>
      </c>
    </row>
    <row r="190" spans="1:12">
      <c r="A190" s="167">
        <v>183</v>
      </c>
      <c r="B190" s="167" t="str">
        <f>IF(البيانات!V184="","",البيانات!V184)</f>
        <v>1103437313</v>
      </c>
      <c r="C190" s="167" t="str">
        <f>IF(البيانات!U184="","",البيانات!U184)</f>
        <v>FATIMAH MAHDI MOHSEN TUMAYHI</v>
      </c>
      <c r="D190" s="167">
        <f>IF(البيانات!T184="","",البيانات!T184)</f>
        <v>29</v>
      </c>
      <c r="E190" s="167" t="str">
        <f>IF(البيانات!F184="","",البيانات!F184)</f>
        <v>Central Sectorالقطاع المركزي</v>
      </c>
      <c r="F190" s="167" t="str">
        <f>IF(البيانات!AD184="Yes","🔴 نعم",IF(البيانات!AD184="No","🟢 لا",""))</f>
        <v>🟢 لا</v>
      </c>
      <c r="G190" s="167">
        <f>IF(B190="","",
            (IF(D190&gt;40,5,IF(D190&gt;35,3,0)))+
            (IF(F190="🔴 نعم",5,0))+
            (IF(ISNUMBER(SEARCH("السمنة",البيانات!Z183)),2,0))+
            (IF(ISNUMBER(SEARCH("السكري",البيانات!AA183)),2,0))+
            (IF(ISNUMBER(SEARCH("ضغط",البيانات!AA183)),2,0)))</f>
        <v>0</v>
      </c>
      <c r="H190" s="167" t="str">
        <f>IF(G190="","",IF(G190&gt;=8,"🔴 حرج",IF(G190&gt;=5,"🟠 عالي",IF(G190&gt;=3,"🟡 متوسط","🟢 منخفض"))))</f>
        <v>🟢 منخفض</v>
      </c>
      <c r="I190" s="167" t="str">
        <f>IF(H190="","",IF(H190="🔴 حرج","إحالة فورية",IF(H190="🟠 عالي","إحالة تخصصية",IF(H190="🟡 متوسط","متابعة مكثفة","متابعة روتينية"))))</f>
        <v>متابعة روتينية</v>
      </c>
      <c r="J190" s="167" t="str">
        <f>IF(F190="🔴 نعم",IF(البيانات!AE183="Yes","✅ تم العلاج","⚠️ بدون علاج"),"")</f>
        <v/>
      </c>
      <c r="K190" s="167">
        <f>IF(H190="","",IF(H190="🔴 حرج",1,IF(H190="🟠 عالي",2,IF(H190="🟡 متوسط",3,4))))</f>
        <v>4</v>
      </c>
      <c r="L190" s="167" t="str">
        <f t="shared" si="0"/>
        <v>متابعة في المركز</v>
      </c>
    </row>
    <row r="191" spans="1:12">
      <c r="A191" s="167">
        <v>184</v>
      </c>
      <c r="B191" s="167" t="str">
        <f>IF(البيانات!V185="","",البيانات!V185)</f>
        <v>1079140610</v>
      </c>
      <c r="C191" s="167" t="str">
        <f>IF(البيانات!U185="","",البيانات!U185)</f>
        <v>عزيزة احمد مساوي  شوك</v>
      </c>
      <c r="D191" s="167">
        <f>IF(البيانات!T185="","",البيانات!T185)</f>
        <v>38</v>
      </c>
      <c r="E191" s="167" t="str">
        <f>IF(البيانات!F185="","",البيانات!F185)</f>
        <v xml:space="preserve">Southern Sector القطاع الجنوبي				</v>
      </c>
      <c r="F191" s="167" t="str">
        <f>IF(البيانات!AD185="Yes","🔴 نعم",IF(البيانات!AD185="No","🟢 لا",""))</f>
        <v>🟢 لا</v>
      </c>
      <c r="G191" s="167">
        <f>IF(B191="","",
            (IF(D191&gt;40,5,IF(D191&gt;35,3,0)))+
            (IF(F191="🔴 نعم",5,0))+
            (IF(ISNUMBER(SEARCH("السمنة",البيانات!Z184)),2,0))+
            (IF(ISNUMBER(SEARCH("السكري",البيانات!AA184)),2,0))+
            (IF(ISNUMBER(SEARCH("ضغط",البيانات!AA184)),2,0)))</f>
        <v>3</v>
      </c>
      <c r="H191" s="167" t="str">
        <f>IF(G191="","",IF(G191&gt;=8,"🔴 حرج",IF(G191&gt;=5,"🟠 عالي",IF(G191&gt;=3,"🟡 متوسط","🟢 منخفض"))))</f>
        <v>🟡 متوسط</v>
      </c>
      <c r="I191" s="167" t="str">
        <f>IF(H191="","",IF(H191="🔴 حرج","إحالة فورية",IF(H191="🟠 عالي","إحالة تخصصية",IF(H191="🟡 متوسط","متابعة مكثفة","متابعة روتينية"))))</f>
        <v>متابعة مكثفة</v>
      </c>
      <c r="J191" s="167" t="str">
        <f>IF(F191="🔴 نعم",IF(البيانات!AE184="Yes","✅ تم العلاج","⚠️ بدون علاج"),"")</f>
        <v/>
      </c>
      <c r="K191" s="167">
        <f>IF(H191="","",IF(H191="🔴 حرج",1,IF(H191="🟠 عالي",2,IF(H191="🟡 متوسط",3,4))))</f>
        <v>3</v>
      </c>
      <c r="L191" s="167" t="str">
        <f t="shared" si="0"/>
        <v>مستشفى صامطة العام</v>
      </c>
    </row>
    <row r="192" spans="1:12">
      <c r="A192" s="167">
        <v>185</v>
      </c>
      <c r="B192" s="167" t="str">
        <f>IF(البيانات!V186="","",البيانات!V186)</f>
        <v>2443351560</v>
      </c>
      <c r="C192" s="167" t="str">
        <f>IF(البيانات!U186="","",البيانات!U186)</f>
        <v>هدى علي ربيع عيسى عظابي</v>
      </c>
      <c r="D192" s="167">
        <f>IF(البيانات!T186="","",البيانات!T186)</f>
        <v>39</v>
      </c>
      <c r="E192" s="167" t="str">
        <f>IF(البيانات!F186="","",البيانات!F186)</f>
        <v>Central Sectorالقطاع المركزي</v>
      </c>
      <c r="F192" s="167" t="str">
        <f>IF(البيانات!AD186="Yes","🔴 نعم",IF(البيانات!AD186="No","🟢 لا",""))</f>
        <v>🟢 لا</v>
      </c>
      <c r="G192" s="167">
        <f>IF(B192="","",
            (IF(D192&gt;40,5,IF(D192&gt;35,3,0)))+
            (IF(F192="🔴 نعم",5,0))+
            (IF(ISNUMBER(SEARCH("السمنة",البيانات!Z185)),2,0))+
            (IF(ISNUMBER(SEARCH("السكري",البيانات!AA185)),2,0))+
            (IF(ISNUMBER(SEARCH("ضغط",البيانات!AA185)),2,0)))</f>
        <v>3</v>
      </c>
      <c r="H192" s="167" t="str">
        <f>IF(G192="","",IF(G192&gt;=8,"🔴 حرج",IF(G192&gt;=5,"🟠 عالي",IF(G192&gt;=3,"🟡 متوسط","🟢 منخفض"))))</f>
        <v>🟡 متوسط</v>
      </c>
      <c r="I192" s="167" t="str">
        <f>IF(H192="","",IF(H192="🔴 حرج","إحالة فورية",IF(H192="🟠 عالي","إحالة تخصصية",IF(H192="🟡 متوسط","متابعة مكثفة","متابعة روتينية"))))</f>
        <v>متابعة مكثفة</v>
      </c>
      <c r="J192" s="167" t="str">
        <f>IF(F192="🔴 نعم",IF(البيانات!AE185="Yes","✅ تم العلاج","⚠️ بدون علاج"),"")</f>
        <v/>
      </c>
      <c r="K192" s="167">
        <f>IF(H192="","",IF(H192="🔴 حرج",1,IF(H192="🟠 عالي",2,IF(H192="🟡 متوسط",3,4))))</f>
        <v>3</v>
      </c>
      <c r="L192" s="167" t="str">
        <f t="shared" si="0"/>
        <v>مستشفى جازان العام</v>
      </c>
    </row>
    <row r="193" spans="1:12">
      <c r="A193" s="167">
        <v>186</v>
      </c>
      <c r="B193" s="167" t="str">
        <f>IF(البيانات!V187="","",البيانات!V187)</f>
        <v>1049852633</v>
      </c>
      <c r="C193" s="167" t="str">
        <f>IF(البيانات!U187="","",البيانات!U187)</f>
        <v>رحمة محمد مهدي مغفوري</v>
      </c>
      <c r="D193" s="167">
        <f>IF(البيانات!T187="","",البيانات!T187)</f>
        <v>39</v>
      </c>
      <c r="E193" s="167" t="str">
        <f>IF(البيانات!F187="","",البيانات!F187)</f>
        <v>Central Sectorالقطاع المركزي</v>
      </c>
      <c r="F193" s="167" t="str">
        <f>IF(البيانات!AD187="Yes","🔴 نعم",IF(البيانات!AD187="No","🟢 لا",""))</f>
        <v>🟢 لا</v>
      </c>
      <c r="G193" s="167">
        <f>IF(B193="","",
            (IF(D193&gt;40,5,IF(D193&gt;35,3,0)))+
            (IF(F193="🔴 نعم",5,0))+
            (IF(ISNUMBER(SEARCH("السمنة",البيانات!Z186)),2,0))+
            (IF(ISNUMBER(SEARCH("السكري",البيانات!AA186)),2,0))+
            (IF(ISNUMBER(SEARCH("ضغط",البيانات!AA186)),2,0)))</f>
        <v>3</v>
      </c>
      <c r="H193" s="167" t="str">
        <f>IF(G193="","",IF(G193&gt;=8,"🔴 حرج",IF(G193&gt;=5,"🟠 عالي",IF(G193&gt;=3,"🟡 متوسط","🟢 منخفض"))))</f>
        <v>🟡 متوسط</v>
      </c>
      <c r="I193" s="167" t="str">
        <f>IF(H193="","",IF(H193="🔴 حرج","إحالة فورية",IF(H193="🟠 عالي","إحالة تخصصية",IF(H193="🟡 متوسط","متابعة مكثفة","متابعة روتينية"))))</f>
        <v>متابعة مكثفة</v>
      </c>
      <c r="J193" s="167" t="str">
        <f>IF(F193="🔴 نعم",IF(البيانات!AE186="Yes","✅ تم العلاج","⚠️ بدون علاج"),"")</f>
        <v/>
      </c>
      <c r="K193" s="167">
        <f>IF(H193="","",IF(H193="🔴 حرج",1,IF(H193="🟠 عالي",2,IF(H193="🟡 متوسط",3,4))))</f>
        <v>3</v>
      </c>
      <c r="L193" s="167" t="str">
        <f t="shared" si="0"/>
        <v>مستشفى جازان العام</v>
      </c>
    </row>
    <row r="194" spans="1:12">
      <c r="A194" s="167">
        <v>187</v>
      </c>
      <c r="B194" s="167" t="str">
        <f>IF(البيانات!V188="","",البيانات!V188)</f>
        <v>1049017419</v>
      </c>
      <c r="C194" s="167" t="str">
        <f>IF(البيانات!U188="","",البيانات!U188)</f>
        <v>FATIMAH HASSAN ABDULLAH SALEH</v>
      </c>
      <c r="D194" s="167">
        <f>IF(البيانات!T188="","",البيانات!T188)</f>
        <v>38</v>
      </c>
      <c r="E194" s="167" t="str">
        <f>IF(البيانات!F188="","",البيانات!F188)</f>
        <v>Central Sectorالقطاع المركزي</v>
      </c>
      <c r="F194" s="167" t="str">
        <f>IF(البيانات!AD188="Yes","🔴 نعم",IF(البيانات!AD188="No","🟢 لا",""))</f>
        <v>🔴 نعم</v>
      </c>
      <c r="G194" s="167">
        <f>IF(B194="","",
            (IF(D194&gt;40,5,IF(D194&gt;35,3,0)))+
            (IF(F194="🔴 نعم",5,0))+
            (IF(ISNUMBER(SEARCH("السمنة",البيانات!Z187)),2,0))+
            (IF(ISNUMBER(SEARCH("السكري",البيانات!AA187)),2,0))+
            (IF(ISNUMBER(SEARCH("ضغط",البيانات!AA187)),2,0)))</f>
        <v>8</v>
      </c>
      <c r="H194" s="167" t="str">
        <f>IF(G194="","",IF(G194&gt;=8,"🔴 حرج",IF(G194&gt;=5,"🟠 عالي",IF(G194&gt;=3,"🟡 متوسط","🟢 منخفض"))))</f>
        <v>🔴 حرج</v>
      </c>
      <c r="I194" s="167" t="str">
        <f>IF(H194="","",IF(H194="🔴 حرج","إحالة فورية",IF(H194="🟠 عالي","إحالة تخصصية",IF(H194="🟡 متوسط","متابعة مكثفة","متابعة روتينية"))))</f>
        <v>إحالة فورية</v>
      </c>
      <c r="J194" s="167" t="str">
        <f>IF(F194="🔴 نعم",IF(البيانات!AE187="Yes","✅ تم العلاج","⚠️ بدون علاج"),"")</f>
        <v>⚠️ بدون علاج</v>
      </c>
      <c r="K194" s="167">
        <f>IF(H194="","",IF(H194="🔴 حرج",1,IF(H194="🟠 عالي",2,IF(H194="🟡 متوسط",3,4))))</f>
        <v>1</v>
      </c>
      <c r="L194" s="167" t="str">
        <f t="shared" si="0"/>
        <v>مستشفى جازان العام</v>
      </c>
    </row>
    <row r="195" spans="1:12">
      <c r="A195" s="167">
        <v>188</v>
      </c>
      <c r="B195" s="167" t="str">
        <f>IF(البيانات!V189="","",البيانات!V189)</f>
        <v>2214885804</v>
      </c>
      <c r="C195" s="167" t="str">
        <f>IF(البيانات!U189="","",البيانات!U189)</f>
        <v>SHAHD AHMED</v>
      </c>
      <c r="D195" s="167">
        <f>IF(البيانات!T189="","",البيانات!T189)</f>
        <v>21</v>
      </c>
      <c r="E195" s="167" t="str">
        <f>IF(البيانات!F189="","",البيانات!F189)</f>
        <v>Central Sectorالقطاع المركزي</v>
      </c>
      <c r="F195" s="167" t="str">
        <f>IF(البيانات!AD189="Yes","🔴 نعم",IF(البيانات!AD189="No","🟢 لا",""))</f>
        <v>🟢 لا</v>
      </c>
      <c r="G195" s="167">
        <f>IF(B195="","",
            (IF(D195&gt;40,5,IF(D195&gt;35,3,0)))+
            (IF(F195="🔴 نعم",5,0))+
            (IF(ISNUMBER(SEARCH("السمنة",البيانات!Z188)),2,0))+
            (IF(ISNUMBER(SEARCH("السكري",البيانات!AA188)),2,0))+
            (IF(ISNUMBER(SEARCH("ضغط",البيانات!AA188)),2,0)))</f>
        <v>0</v>
      </c>
      <c r="H195" s="167" t="str">
        <f>IF(G195="","",IF(G195&gt;=8,"🔴 حرج",IF(G195&gt;=5,"🟠 عالي",IF(G195&gt;=3,"🟡 متوسط","🟢 منخفض"))))</f>
        <v>🟢 منخفض</v>
      </c>
      <c r="I195" s="167" t="str">
        <f>IF(H195="","",IF(H195="🔴 حرج","إحالة فورية",IF(H195="🟠 عالي","إحالة تخصصية",IF(H195="🟡 متوسط","متابعة مكثفة","متابعة روتينية"))))</f>
        <v>متابعة روتينية</v>
      </c>
      <c r="J195" s="167" t="str">
        <f>IF(F195="🔴 نعم",IF(البيانات!AE188="Yes","✅ تم العلاج","⚠️ بدون علاج"),"")</f>
        <v/>
      </c>
      <c r="K195" s="167">
        <f>IF(H195="","",IF(H195="🔴 حرج",1,IF(H195="🟠 عالي",2,IF(H195="🟡 متوسط",3,4))))</f>
        <v>4</v>
      </c>
      <c r="L195" s="167" t="str">
        <f t="shared" si="0"/>
        <v>متابعة في المركز</v>
      </c>
    </row>
    <row r="196" spans="1:12">
      <c r="A196" s="167">
        <v>189</v>
      </c>
      <c r="B196" s="167" t="str">
        <f>IF(البيانات!V190="","",البيانات!V190)</f>
        <v>1083517712</v>
      </c>
      <c r="C196" s="167" t="str">
        <f>IF(البيانات!U190="","",البيانات!U190)</f>
        <v>HUDA HADI OTHMAN HUFDI</v>
      </c>
      <c r="D196" s="167">
        <f>IF(البيانات!T190="","",البيانات!T190)</f>
        <v>32</v>
      </c>
      <c r="E196" s="167" t="str">
        <f>IF(البيانات!F190="","",البيانات!F190)</f>
        <v>Western Sectorالقطاع الغربي</v>
      </c>
      <c r="F196" s="167" t="str">
        <f>IF(البيانات!AD190="Yes","🔴 نعم",IF(البيانات!AD190="No","🟢 لا",""))</f>
        <v>🟢 لا</v>
      </c>
      <c r="G196" s="167">
        <f>IF(B196="","",
            (IF(D196&gt;40,5,IF(D196&gt;35,3,0)))+
            (IF(F196="🔴 نعم",5,0))+
            (IF(ISNUMBER(SEARCH("السمنة",البيانات!Z189)),2,0))+
            (IF(ISNUMBER(SEARCH("السكري",البيانات!AA189)),2,0))+
            (IF(ISNUMBER(SEARCH("ضغط",البيانات!AA189)),2,0)))</f>
        <v>0</v>
      </c>
      <c r="H196" s="167" t="str">
        <f>IF(G196="","",IF(G196&gt;=8,"🔴 حرج",IF(G196&gt;=5,"🟠 عالي",IF(G196&gt;=3,"🟡 متوسط","🟢 منخفض"))))</f>
        <v>🟢 منخفض</v>
      </c>
      <c r="I196" s="167" t="str">
        <f>IF(H196="","",IF(H196="🔴 حرج","إحالة فورية",IF(H196="🟠 عالي","إحالة تخصصية",IF(H196="🟡 متوسط","متابعة مكثفة","متابعة روتينية"))))</f>
        <v>متابعة روتينية</v>
      </c>
      <c r="J196" s="167" t="str">
        <f>IF(F196="🔴 نعم",IF(البيانات!AE189="Yes","✅ تم العلاج","⚠️ بدون علاج"),"")</f>
        <v/>
      </c>
      <c r="K196" s="167">
        <f>IF(H196="","",IF(H196="🔴 حرج",1,IF(H196="🟠 عالي",2,IF(H196="🟡 متوسط",3,4))))</f>
        <v>4</v>
      </c>
      <c r="L196" s="167" t="str">
        <f t="shared" si="0"/>
        <v>متابعة في المركز</v>
      </c>
    </row>
    <row r="197" spans="1:12">
      <c r="A197" s="167">
        <v>190</v>
      </c>
      <c r="B197" s="167" t="str">
        <f>IF(البيانات!V191="","",البيانات!V191)</f>
        <v>1086339510</v>
      </c>
      <c r="C197" s="167" t="str">
        <f>IF(البيانات!U191="","",البيانات!U191)</f>
        <v xml:space="preserve">مريم حسن المالكي </v>
      </c>
      <c r="D197" s="167">
        <f>IF(البيانات!T191="","",البيانات!T191)</f>
        <v>31</v>
      </c>
      <c r="E197" s="167" t="str">
        <f>IF(البيانات!F191="","",البيانات!F191)</f>
        <v>Central Sectorالقطاع المركزي</v>
      </c>
      <c r="F197" s="167" t="str">
        <f>IF(البيانات!AD191="Yes","🔴 نعم",IF(البيانات!AD191="No","🟢 لا",""))</f>
        <v>🟢 لا</v>
      </c>
      <c r="G197" s="167">
        <f>IF(B197="","",
            (IF(D197&gt;40,5,IF(D197&gt;35,3,0)))+
            (IF(F197="🔴 نعم",5,0))+
            (IF(ISNUMBER(SEARCH("السمنة",البيانات!Z190)),2,0))+
            (IF(ISNUMBER(SEARCH("السكري",البيانات!AA190)),2,0))+
            (IF(ISNUMBER(SEARCH("ضغط",البيانات!AA190)),2,0)))</f>
        <v>0</v>
      </c>
      <c r="H197" s="167" t="str">
        <f>IF(G197="","",IF(G197&gt;=8,"🔴 حرج",IF(G197&gt;=5,"🟠 عالي",IF(G197&gt;=3,"🟡 متوسط","🟢 منخفض"))))</f>
        <v>🟢 منخفض</v>
      </c>
      <c r="I197" s="167" t="str">
        <f>IF(H197="","",IF(H197="🔴 حرج","إحالة فورية",IF(H197="🟠 عالي","إحالة تخصصية",IF(H197="🟡 متوسط","متابعة مكثفة","متابعة روتينية"))))</f>
        <v>متابعة روتينية</v>
      </c>
      <c r="J197" s="167" t="str">
        <f>IF(F197="🔴 نعم",IF(البيانات!AE190="Yes","✅ تم العلاج","⚠️ بدون علاج"),"")</f>
        <v/>
      </c>
      <c r="K197" s="167">
        <f>IF(H197="","",IF(H197="🔴 حرج",1,IF(H197="🟠 عالي",2,IF(H197="🟡 متوسط",3,4))))</f>
        <v>4</v>
      </c>
      <c r="L197" s="167" t="str">
        <f t="shared" si="0"/>
        <v>متابعة في المركز</v>
      </c>
    </row>
    <row r="198" spans="1:12">
      <c r="A198" s="167">
        <v>191</v>
      </c>
      <c r="B198" s="167" t="str">
        <f>IF(البيانات!V192="","",البيانات!V192)</f>
        <v>1124369578</v>
      </c>
      <c r="C198" s="167" t="str">
        <f>IF(البيانات!U192="","",البيانات!U192)</f>
        <v>RANEEM ALI</v>
      </c>
      <c r="D198" s="167">
        <f>IF(البيانات!T192="","",البيانات!T192)</f>
        <v>22</v>
      </c>
      <c r="E198" s="167" t="str">
        <f>IF(البيانات!F192="","",البيانات!F192)</f>
        <v>Central Sectorالقطاع المركزي</v>
      </c>
      <c r="F198" s="167" t="str">
        <f>IF(البيانات!AD192="Yes","🔴 نعم",IF(البيانات!AD192="No","🟢 لا",""))</f>
        <v>🟢 لا</v>
      </c>
      <c r="G198" s="167">
        <f>IF(B198="","",
            (IF(D198&gt;40,5,IF(D198&gt;35,3,0)))+
            (IF(F198="🔴 نعم",5,0))+
            (IF(ISNUMBER(SEARCH("السمنة",البيانات!Z191)),2,0))+
            (IF(ISNUMBER(SEARCH("السكري",البيانات!AA191)),2,0))+
            (IF(ISNUMBER(SEARCH("ضغط",البيانات!AA191)),2,0)))</f>
        <v>0</v>
      </c>
      <c r="H198" s="167" t="str">
        <f>IF(G198="","",IF(G198&gt;=8,"🔴 حرج",IF(G198&gt;=5,"🟠 عالي",IF(G198&gt;=3,"🟡 متوسط","🟢 منخفض"))))</f>
        <v>🟢 منخفض</v>
      </c>
      <c r="I198" s="167" t="str">
        <f>IF(H198="","",IF(H198="🔴 حرج","إحالة فورية",IF(H198="🟠 عالي","إحالة تخصصية",IF(H198="🟡 متوسط","متابعة مكثفة","متابعة روتينية"))))</f>
        <v>متابعة روتينية</v>
      </c>
      <c r="J198" s="167" t="str">
        <f>IF(F198="🔴 نعم",IF(البيانات!AE191="Yes","✅ تم العلاج","⚠️ بدون علاج"),"")</f>
        <v/>
      </c>
      <c r="K198" s="167">
        <f>IF(H198="","",IF(H198="🔴 حرج",1,IF(H198="🟠 عالي",2,IF(H198="🟡 متوسط",3,4))))</f>
        <v>4</v>
      </c>
      <c r="L198" s="167" t="str">
        <f t="shared" si="0"/>
        <v>متابعة في المركز</v>
      </c>
    </row>
    <row r="199" spans="1:12">
      <c r="A199" s="167">
        <v>192</v>
      </c>
      <c r="B199" s="167" t="str">
        <f>IF(البيانات!V193="","",البيانات!V193)</f>
        <v>1072225616</v>
      </c>
      <c r="C199" s="167" t="str">
        <f>IF(البيانات!U193="","",البيانات!U193)</f>
        <v xml:space="preserve">Walla abdu awajy </v>
      </c>
      <c r="D199" s="167">
        <f>IF(البيانات!T193="","",البيانات!T193)</f>
        <v>34</v>
      </c>
      <c r="E199" s="167" t="str">
        <f>IF(البيانات!F193="","",البيانات!F193)</f>
        <v xml:space="preserve">Southern Sector القطاع الجنوبي				</v>
      </c>
      <c r="F199" s="167" t="str">
        <f>IF(البيانات!AD193="Yes","🔴 نعم",IF(البيانات!AD193="No","🟢 لا",""))</f>
        <v>🔴 نعم</v>
      </c>
      <c r="G199" s="167">
        <f>IF(B199="","",
            (IF(D199&gt;40,5,IF(D199&gt;35,3,0)))+
            (IF(F199="🔴 نعم",5,0))+
            (IF(ISNUMBER(SEARCH("السمنة",البيانات!Z192)),2,0))+
            (IF(ISNUMBER(SEARCH("السكري",البيانات!AA192)),2,0))+
            (IF(ISNUMBER(SEARCH("ضغط",البيانات!AA192)),2,0)))</f>
        <v>5</v>
      </c>
      <c r="H199" s="167" t="str">
        <f>IF(G199="","",IF(G199&gt;=8,"🔴 حرج",IF(G199&gt;=5,"🟠 عالي",IF(G199&gt;=3,"🟡 متوسط","🟢 منخفض"))))</f>
        <v>🟠 عالي</v>
      </c>
      <c r="I199" s="167" t="str">
        <f>IF(H199="","",IF(H199="🔴 حرج","إحالة فورية",IF(H199="🟠 عالي","إحالة تخصصية",IF(H199="🟡 متوسط","متابعة مكثفة","متابعة روتينية"))))</f>
        <v>إحالة تخصصية</v>
      </c>
      <c r="J199" s="167" t="str">
        <f>IF(F199="🔴 نعم",IF(البيانات!AE192="Yes","✅ تم العلاج","⚠️ بدون علاج"),"")</f>
        <v>⚠️ بدون علاج</v>
      </c>
      <c r="K199" s="167">
        <f>IF(H199="","",IF(H199="🔴 حرج",1,IF(H199="🟠 عالي",2,IF(H199="🟡 متوسط",3,4))))</f>
        <v>2</v>
      </c>
      <c r="L199" s="167" t="str">
        <f t="shared" si="0"/>
        <v>مستشفى صامطة العام</v>
      </c>
    </row>
    <row r="200" spans="1:12">
      <c r="A200" s="167">
        <v>193</v>
      </c>
      <c r="B200" s="167" t="str">
        <f>IF(البيانات!V194="","",البيانات!V194)</f>
        <v>1121850158</v>
      </c>
      <c r="C200" s="167" t="str">
        <f>IF(البيانات!U194="","",البيانات!U194)</f>
        <v>GHADEER FAHAD ESSA HAKAMI</v>
      </c>
      <c r="D200" s="167">
        <f>IF(البيانات!T194="","",البيانات!T194)</f>
        <v>28</v>
      </c>
      <c r="E200" s="167" t="str">
        <f>IF(البيانات!F194="","",البيانات!F194)</f>
        <v>Central Sectorالقطاع المركزي</v>
      </c>
      <c r="F200" s="167" t="str">
        <f>IF(البيانات!AD194="Yes","🔴 نعم",IF(البيانات!AD194="No","🟢 لا",""))</f>
        <v>🟢 لا</v>
      </c>
      <c r="G200" s="167">
        <f>IF(B200="","",
            (IF(D200&gt;40,5,IF(D200&gt;35,3,0)))+
            (IF(F200="🔴 نعم",5,0))+
            (IF(ISNUMBER(SEARCH("السمنة",البيانات!Z193)),2,0))+
            (IF(ISNUMBER(SEARCH("السكري",البيانات!AA193)),2,0))+
            (IF(ISNUMBER(SEARCH("ضغط",البيانات!AA193)),2,0)))</f>
        <v>0</v>
      </c>
      <c r="H200" s="167" t="str">
        <f>IF(G200="","",IF(G200&gt;=8,"🔴 حرج",IF(G200&gt;=5,"🟠 عالي",IF(G200&gt;=3,"🟡 متوسط","🟢 منخفض"))))</f>
        <v>🟢 منخفض</v>
      </c>
      <c r="I200" s="167" t="str">
        <f>IF(H200="","",IF(H200="🔴 حرج","إحالة فورية",IF(H200="🟠 عالي","إحالة تخصصية",IF(H200="🟡 متوسط","متابعة مكثفة","متابعة روتينية"))))</f>
        <v>متابعة روتينية</v>
      </c>
      <c r="J200" s="167" t="str">
        <f>IF(F200="🔴 نعم",IF(البيانات!AE193="Yes","✅ تم العلاج","⚠️ بدون علاج"),"")</f>
        <v/>
      </c>
      <c r="K200" s="167">
        <f>IF(H200="","",IF(H200="🔴 حرج",1,IF(H200="🟠 عالي",2,IF(H200="🟡 متوسط",3,4))))</f>
        <v>4</v>
      </c>
      <c r="L200" s="167" t="str">
        <f t="shared" si="0"/>
        <v>متابعة في المركز</v>
      </c>
    </row>
    <row r="201" spans="1:12">
      <c r="A201" s="167">
        <v>194</v>
      </c>
      <c r="B201" s="167">
        <f>IF(البيانات!V195="","",البيانات!V195)</f>
        <v>1115266841</v>
      </c>
      <c r="C201" s="167" t="str">
        <f>IF(البيانات!U195="","",البيانات!U195)</f>
        <v>SALMA ALI JABBAR</v>
      </c>
      <c r="D201" s="167">
        <f>IF(البيانات!T195="","",البيانات!T195)</f>
        <v>24</v>
      </c>
      <c r="E201" s="167" t="str">
        <f>IF(البيانات!F195="","",البيانات!F195)</f>
        <v>Northern Sectorالقطاع الشمالي</v>
      </c>
      <c r="F201" s="167" t="str">
        <f>IF(البيانات!AD195="Yes","🔴 نعم",IF(البيانات!AD195="No","🟢 لا",""))</f>
        <v>🟢 لا</v>
      </c>
      <c r="G201" s="167">
        <f>IF(B201="","",
            (IF(D201&gt;40,5,IF(D201&gt;35,3,0)))+
            (IF(F201="🔴 نعم",5,0))+
            (IF(ISNUMBER(SEARCH("السمنة",البيانات!Z194)),2,0))+
            (IF(ISNUMBER(SEARCH("السكري",البيانات!AA194)),2,0))+
            (IF(ISNUMBER(SEARCH("ضغط",البيانات!AA194)),2,0)))</f>
        <v>0</v>
      </c>
      <c r="H201" s="167" t="str">
        <f>IF(G201="","",IF(G201&gt;=8,"🔴 حرج",IF(G201&gt;=5,"🟠 عالي",IF(G201&gt;=3,"🟡 متوسط","🟢 منخفض"))))</f>
        <v>🟢 منخفض</v>
      </c>
      <c r="I201" s="167" t="str">
        <f>IF(H201="","",IF(H201="🔴 حرج","إحالة فورية",IF(H201="🟠 عالي","إحالة تخصصية",IF(H201="🟡 متوسط","متابعة مكثفة","متابعة روتينية"))))</f>
        <v>متابعة روتينية</v>
      </c>
      <c r="J201" s="167" t="str">
        <f>IF(F201="🔴 نعم",IF(البيانات!AE194="Yes","✅ تم العلاج","⚠️ بدون علاج"),"")</f>
        <v/>
      </c>
      <c r="K201" s="167">
        <f>IF(H201="","",IF(H201="🔴 حرج",1,IF(H201="🟠 عالي",2,IF(H201="🟡 متوسط",3,4))))</f>
        <v>4</v>
      </c>
      <c r="L201" s="167" t="str">
        <f t="shared" si="0"/>
        <v>متابعة في المركز</v>
      </c>
    </row>
    <row r="202" spans="1:12">
      <c r="A202" s="167">
        <v>195</v>
      </c>
      <c r="B202" s="167" t="str">
        <f>IF(البيانات!V196="","",البيانات!V196)</f>
        <v>1077583548</v>
      </c>
      <c r="C202" s="167" t="str">
        <f>IF(البيانات!U196="","",البيانات!U196)</f>
        <v>حنان احمد محمد عواجي</v>
      </c>
      <c r="D202" s="167">
        <f>IF(البيانات!T196="","",البيانات!T196)</f>
        <v>32</v>
      </c>
      <c r="E202" s="167" t="str">
        <f>IF(البيانات!F196="","",البيانات!F196)</f>
        <v xml:space="preserve">Southern Sector القطاع الجنوبي				</v>
      </c>
      <c r="F202" s="167" t="str">
        <f>IF(البيانات!AD196="Yes","🔴 نعم",IF(البيانات!AD196="No","🟢 لا",""))</f>
        <v>🟢 لا</v>
      </c>
      <c r="G202" s="167">
        <f>IF(B202="","",
            (IF(D202&gt;40,5,IF(D202&gt;35,3,0)))+
            (IF(F202="🔴 نعم",5,0))+
            (IF(ISNUMBER(SEARCH("السمنة",البيانات!Z195)),2,0))+
            (IF(ISNUMBER(SEARCH("السكري",البيانات!AA195)),2,0))+
            (IF(ISNUMBER(SEARCH("ضغط",البيانات!AA195)),2,0)))</f>
        <v>0</v>
      </c>
      <c r="H202" s="167" t="str">
        <f>IF(G202="","",IF(G202&gt;=8,"🔴 حرج",IF(G202&gt;=5,"🟠 عالي",IF(G202&gt;=3,"🟡 متوسط","🟢 منخفض"))))</f>
        <v>🟢 منخفض</v>
      </c>
      <c r="I202" s="167" t="str">
        <f>IF(H202="","",IF(H202="🔴 حرج","إحالة فورية",IF(H202="🟠 عالي","إحالة تخصصية",IF(H202="🟡 متوسط","متابعة مكثفة","متابعة روتينية"))))</f>
        <v>متابعة روتينية</v>
      </c>
      <c r="J202" s="167" t="str">
        <f>IF(F202="🔴 نعم",IF(البيانات!AE195="Yes","✅ تم العلاج","⚠️ بدون علاج"),"")</f>
        <v/>
      </c>
      <c r="K202" s="167">
        <f>IF(H202="","",IF(H202="🔴 حرج",1,IF(H202="🟠 عالي",2,IF(H202="🟡 متوسط",3,4))))</f>
        <v>4</v>
      </c>
      <c r="L202" s="167" t="str">
        <f t="shared" si="0"/>
        <v>متابعة في المركز</v>
      </c>
    </row>
    <row r="203" spans="1:12">
      <c r="A203" s="167">
        <v>196</v>
      </c>
      <c r="B203" s="167" t="str">
        <f>IF(البيانات!V197="","",البيانات!V197)</f>
        <v>1105342776</v>
      </c>
      <c r="C203" s="167" t="str">
        <f>IF(البيانات!U197="","",البيانات!U197)</f>
        <v>MASHAEL  JABER  SAWHAN</v>
      </c>
      <c r="D203" s="167">
        <f>IF(البيانات!T197="","",البيانات!T197)</f>
        <v>27</v>
      </c>
      <c r="E203" s="167" t="str">
        <f>IF(البيانات!F197="","",البيانات!F197)</f>
        <v>Northern Sectorالقطاع الشمالي</v>
      </c>
      <c r="F203" s="167" t="str">
        <f>IF(البيانات!AD197="Yes","🔴 نعم",IF(البيانات!AD197="No","🟢 لا",""))</f>
        <v>🟢 لا</v>
      </c>
      <c r="G203" s="167">
        <f>IF(B203="","",
            (IF(D203&gt;40,5,IF(D203&gt;35,3,0)))+
            (IF(F203="🔴 نعم",5,0))+
            (IF(ISNUMBER(SEARCH("السمنة",البيانات!Z196)),2,0))+
            (IF(ISNUMBER(SEARCH("السكري",البيانات!AA196)),2,0))+
            (IF(ISNUMBER(SEARCH("ضغط",البيانات!AA196)),2,0)))</f>
        <v>0</v>
      </c>
      <c r="H203" s="167" t="str">
        <f>IF(G203="","",IF(G203&gt;=8,"🔴 حرج",IF(G203&gt;=5,"🟠 عالي",IF(G203&gt;=3,"🟡 متوسط","🟢 منخفض"))))</f>
        <v>🟢 منخفض</v>
      </c>
      <c r="I203" s="167" t="str">
        <f>IF(H203="","",IF(H203="🔴 حرج","إحالة فورية",IF(H203="🟠 عالي","إحالة تخصصية",IF(H203="🟡 متوسط","متابعة مكثفة","متابعة روتينية"))))</f>
        <v>متابعة روتينية</v>
      </c>
      <c r="J203" s="167" t="str">
        <f>IF(F203="🔴 نعم",IF(البيانات!AE196="Yes","✅ تم العلاج","⚠️ بدون علاج"),"")</f>
        <v/>
      </c>
      <c r="K203" s="167">
        <f>IF(H203="","",IF(H203="🔴 حرج",1,IF(H203="🟠 عالي",2,IF(H203="🟡 متوسط",3,4))))</f>
        <v>4</v>
      </c>
      <c r="L203" s="167" t="str">
        <f t="shared" si="0"/>
        <v>متابعة في المركز</v>
      </c>
    </row>
    <row r="204" spans="1:12">
      <c r="A204" s="167">
        <v>197</v>
      </c>
      <c r="B204" s="167" t="str">
        <f>IF(البيانات!V198="","",البيانات!V198)</f>
        <v>1076142635</v>
      </c>
      <c r="C204" s="167" t="str">
        <f>IF(البيانات!U198="","",البيانات!U198)</f>
        <v>NORAH ALI TAYYASH ASHIRI (164000000004501) - نوره علي بن طياش عشيري</v>
      </c>
      <c r="D204" s="167">
        <f>IF(البيانات!T198="","",البيانات!T198)</f>
        <v>34</v>
      </c>
      <c r="E204" s="167" t="str">
        <f>IF(البيانات!F198="","",البيانات!F198)</f>
        <v>Central Sectorالقطاع المركزي</v>
      </c>
      <c r="F204" s="167" t="str">
        <f>IF(البيانات!AD198="Yes","🔴 نعم",IF(البيانات!AD198="No","🟢 لا",""))</f>
        <v>🟢 لا</v>
      </c>
      <c r="G204" s="167">
        <f>IF(B204="","",
            (IF(D204&gt;40,5,IF(D204&gt;35,3,0)))+
            (IF(F204="🔴 نعم",5,0))+
            (IF(ISNUMBER(SEARCH("السمنة",البيانات!Z197)),2,0))+
            (IF(ISNUMBER(SEARCH("السكري",البيانات!AA197)),2,0))+
            (IF(ISNUMBER(SEARCH("ضغط",البيانات!AA197)),2,0)))</f>
        <v>0</v>
      </c>
      <c r="H204" s="167" t="str">
        <f>IF(G204="","",IF(G204&gt;=8,"🔴 حرج",IF(G204&gt;=5,"🟠 عالي",IF(G204&gt;=3,"🟡 متوسط","🟢 منخفض"))))</f>
        <v>🟢 منخفض</v>
      </c>
      <c r="I204" s="167" t="str">
        <f>IF(H204="","",IF(H204="🔴 حرج","إحالة فورية",IF(H204="🟠 عالي","إحالة تخصصية",IF(H204="🟡 متوسط","متابعة مكثفة","متابعة روتينية"))))</f>
        <v>متابعة روتينية</v>
      </c>
      <c r="J204" s="167" t="str">
        <f>IF(F204="🔴 نعم",IF(البيانات!AE197="Yes","✅ تم العلاج","⚠️ بدون علاج"),"")</f>
        <v/>
      </c>
      <c r="K204" s="167">
        <f>IF(H204="","",IF(H204="🔴 حرج",1,IF(H204="🟠 عالي",2,IF(H204="🟡 متوسط",3,4))))</f>
        <v>4</v>
      </c>
      <c r="L204" s="167" t="str">
        <f t="shared" si="0"/>
        <v>متابعة في المركز</v>
      </c>
    </row>
    <row r="205" spans="1:12">
      <c r="A205" s="167">
        <v>198</v>
      </c>
      <c r="B205" s="167" t="str">
        <f>IF(البيانات!V199="","",البيانات!V199)</f>
        <v>1068046877</v>
      </c>
      <c r="C205" s="167" t="str">
        <f>IF(البيانات!U199="","",البيانات!U199)</f>
        <v>خديجة هاشم</v>
      </c>
      <c r="D205" s="167">
        <f>IF(البيانات!T199="","",البيانات!T199)</f>
        <v>35</v>
      </c>
      <c r="E205" s="167" t="str">
        <f>IF(البيانات!F199="","",البيانات!F199)</f>
        <v>Central Sectorالقطاع المركزي</v>
      </c>
      <c r="F205" s="167" t="str">
        <f>IF(البيانات!AD199="Yes","🔴 نعم",IF(البيانات!AD199="No","🟢 لا",""))</f>
        <v>🟢 لا</v>
      </c>
      <c r="G205" s="167">
        <f>IF(B205="","",
            (IF(D205&gt;40,5,IF(D205&gt;35,3,0)))+
            (IF(F205="🔴 نعم",5,0))+
            (IF(ISNUMBER(SEARCH("السمنة",البيانات!Z198)),2,0))+
            (IF(ISNUMBER(SEARCH("السكري",البيانات!AA198)),2,0))+
            (IF(ISNUMBER(SEARCH("ضغط",البيانات!AA198)),2,0)))</f>
        <v>0</v>
      </c>
      <c r="H205" s="167" t="str">
        <f>IF(G205="","",IF(G205&gt;=8,"🔴 حرج",IF(G205&gt;=5,"🟠 عالي",IF(G205&gt;=3,"🟡 متوسط","🟢 منخفض"))))</f>
        <v>🟢 منخفض</v>
      </c>
      <c r="I205" s="167" t="str">
        <f>IF(H205="","",IF(H205="🔴 حرج","إحالة فورية",IF(H205="🟠 عالي","إحالة تخصصية",IF(H205="🟡 متوسط","متابعة مكثفة","متابعة روتينية"))))</f>
        <v>متابعة روتينية</v>
      </c>
      <c r="J205" s="167" t="str">
        <f>IF(F205="🔴 نعم",IF(البيانات!AE198="Yes","✅ تم العلاج","⚠️ بدون علاج"),"")</f>
        <v/>
      </c>
      <c r="K205" s="167">
        <f>IF(H205="","",IF(H205="🔴 حرج",1,IF(H205="🟠 عالي",2,IF(H205="🟡 متوسط",3,4))))</f>
        <v>4</v>
      </c>
      <c r="L205" s="167" t="str">
        <f t="shared" si="0"/>
        <v>متابعة في المركز</v>
      </c>
    </row>
    <row r="206" spans="1:12">
      <c r="A206" s="167">
        <v>199</v>
      </c>
      <c r="B206" s="167" t="str">
        <f>IF(البيانات!V200="","",البيانات!V200)</f>
        <v>1137318042</v>
      </c>
      <c r="C206" s="167" t="str">
        <f>IF(البيانات!U200="","",البيانات!U200)</f>
        <v>ALIYAH AHMED ABDULLAH QAYSI</v>
      </c>
      <c r="D206" s="167">
        <f>IF(البيانات!T200="","",البيانات!T200)</f>
        <v>23</v>
      </c>
      <c r="E206" s="167" t="str">
        <f>IF(البيانات!F200="","",البيانات!F200)</f>
        <v>Central Sectorالقطاع المركزي</v>
      </c>
      <c r="F206" s="167" t="str">
        <f>IF(البيانات!AD200="Yes","🔴 نعم",IF(البيانات!AD200="No","🟢 لا",""))</f>
        <v>🟢 لا</v>
      </c>
      <c r="G206" s="167">
        <f>IF(B206="","",
            (IF(D206&gt;40,5,IF(D206&gt;35,3,0)))+
            (IF(F206="🔴 نعم",5,0))+
            (IF(ISNUMBER(SEARCH("السمنة",البيانات!Z199)),2,0))+
            (IF(ISNUMBER(SEARCH("السكري",البيانات!AA199)),2,0))+
            (IF(ISNUMBER(SEARCH("ضغط",البيانات!AA199)),2,0)))</f>
        <v>0</v>
      </c>
      <c r="H206" s="167" t="str">
        <f>IF(G206="","",IF(G206&gt;=8,"🔴 حرج",IF(G206&gt;=5,"🟠 عالي",IF(G206&gt;=3,"🟡 متوسط","🟢 منخفض"))))</f>
        <v>🟢 منخفض</v>
      </c>
      <c r="I206" s="167" t="str">
        <f>IF(H206="","",IF(H206="🔴 حرج","إحالة فورية",IF(H206="🟠 عالي","إحالة تخصصية",IF(H206="🟡 متوسط","متابعة مكثفة","متابعة روتينية"))))</f>
        <v>متابعة روتينية</v>
      </c>
      <c r="J206" s="167" t="str">
        <f>IF(F206="🔴 نعم",IF(البيانات!AE199="Yes","✅ تم العلاج","⚠️ بدون علاج"),"")</f>
        <v/>
      </c>
      <c r="K206" s="167">
        <f>IF(H206="","",IF(H206="🔴 حرج",1,IF(H206="🟠 عالي",2,IF(H206="🟡 متوسط",3,4))))</f>
        <v>4</v>
      </c>
      <c r="L206" s="167" t="str">
        <f t="shared" si="0"/>
        <v>متابعة في المركز</v>
      </c>
    </row>
    <row r="207" spans="1:12">
      <c r="A207" s="167">
        <v>200</v>
      </c>
      <c r="B207" s="167" t="str">
        <f>IF(البيانات!V201="","",البيانات!V201)</f>
        <v>1022258550</v>
      </c>
      <c r="C207" s="167" t="str">
        <f>IF(البيانات!U201="","",البيانات!U201)</f>
        <v>MAJIDAH SULAIMAN AHMED ALSHAHRANI</v>
      </c>
      <c r="D207" s="167">
        <f>IF(البيانات!T201="","",البيانات!T201)</f>
        <v>42</v>
      </c>
      <c r="E207" s="167" t="str">
        <f>IF(البيانات!F201="","",البيانات!F201)</f>
        <v>Central Sectorالقطاع المركزي</v>
      </c>
      <c r="F207" s="167" t="str">
        <f>IF(البيانات!AD201="Yes","🔴 نعم",IF(البيانات!AD201="No","🟢 لا",""))</f>
        <v>🟢 لا</v>
      </c>
      <c r="G207" s="167">
        <f>IF(B207="","",
            (IF(D207&gt;40,5,IF(D207&gt;35,3,0)))+
            (IF(F207="🔴 نعم",5,0))+
            (IF(ISNUMBER(SEARCH("السمنة",البيانات!Z200)),2,0))+
            (IF(ISNUMBER(SEARCH("السكري",البيانات!AA200)),2,0))+
            (IF(ISNUMBER(SEARCH("ضغط",البيانات!AA200)),2,0)))</f>
        <v>5</v>
      </c>
      <c r="H207" s="167" t="str">
        <f>IF(G207="","",IF(G207&gt;=8,"🔴 حرج",IF(G207&gt;=5,"🟠 عالي",IF(G207&gt;=3,"🟡 متوسط","🟢 منخفض"))))</f>
        <v>🟠 عالي</v>
      </c>
      <c r="I207" s="167" t="str">
        <f>IF(H207="","",IF(H207="🔴 حرج","إحالة فورية",IF(H207="🟠 عالي","إحالة تخصصية",IF(H207="🟡 متوسط","متابعة مكثفة","متابعة روتينية"))))</f>
        <v>إحالة تخصصية</v>
      </c>
      <c r="J207" s="167" t="str">
        <f>IF(F207="🔴 نعم",IF(البيانات!AE200="Yes","✅ تم العلاج","⚠️ بدون علاج"),"")</f>
        <v/>
      </c>
      <c r="K207" s="167">
        <f>IF(H207="","",IF(H207="🔴 حرج",1,IF(H207="🟠 عالي",2,IF(H207="🟡 متوسط",3,4))))</f>
        <v>2</v>
      </c>
      <c r="L207" s="167" t="str">
        <f t="shared" si="0"/>
        <v>مستشفى جازان العام</v>
      </c>
    </row>
    <row r="208" spans="1:12">
      <c r="A208" s="167">
        <v>201</v>
      </c>
      <c r="B208" s="167" t="str">
        <f>IF(البيانات!V202="","",البيانات!V202)</f>
        <v>2379722966</v>
      </c>
      <c r="C208" s="167" t="str">
        <f>IF(البيانات!U202="","",البيانات!U202)</f>
        <v>رانية عبد السلام امجاهد</v>
      </c>
      <c r="D208" s="167">
        <f>IF(البيانات!T202="","",البيانات!T202)</f>
        <v>34</v>
      </c>
      <c r="E208" s="167" t="str">
        <f>IF(البيانات!F202="","",البيانات!F202)</f>
        <v>Central Sectorالقطاع المركزي</v>
      </c>
      <c r="F208" s="167" t="str">
        <f>IF(البيانات!AD202="Yes","🔴 نعم",IF(البيانات!AD202="No","🟢 لا",""))</f>
        <v>🟢 لا</v>
      </c>
      <c r="G208" s="167">
        <f>IF(B208="","",
            (IF(D208&gt;40,5,IF(D208&gt;35,3,0)))+
            (IF(F208="🔴 نعم",5,0))+
            (IF(ISNUMBER(SEARCH("السمنة",البيانات!Z201)),2,0))+
            (IF(ISNUMBER(SEARCH("السكري",البيانات!AA201)),2,0))+
            (IF(ISNUMBER(SEARCH("ضغط",البيانات!AA201)),2,0)))</f>
        <v>0</v>
      </c>
      <c r="H208" s="167" t="str">
        <f>IF(G208="","",IF(G208&gt;=8,"🔴 حرج",IF(G208&gt;=5,"🟠 عالي",IF(G208&gt;=3,"🟡 متوسط","🟢 منخفض"))))</f>
        <v>🟢 منخفض</v>
      </c>
      <c r="I208" s="167" t="str">
        <f>IF(H208="","",IF(H208="🔴 حرج","إحالة فورية",IF(H208="🟠 عالي","إحالة تخصصية",IF(H208="🟡 متوسط","متابعة مكثفة","متابعة روتينية"))))</f>
        <v>متابعة روتينية</v>
      </c>
      <c r="J208" s="167" t="str">
        <f>IF(F208="🔴 نعم",IF(البيانات!AE201="Yes","✅ تم العلاج","⚠️ بدون علاج"),"")</f>
        <v/>
      </c>
      <c r="K208" s="167">
        <f>IF(H208="","",IF(H208="🔴 حرج",1,IF(H208="🟠 عالي",2,IF(H208="🟡 متوسط",3,4))))</f>
        <v>4</v>
      </c>
      <c r="L208" s="167" t="str">
        <f t="shared" si="0"/>
        <v>متابعة في المركز</v>
      </c>
    </row>
    <row r="209" spans="1:12">
      <c r="A209" s="167">
        <v>202</v>
      </c>
      <c r="B209" s="167" t="str">
        <f>IF(البيانات!V203="","",البيانات!V203)</f>
        <v>1068047016</v>
      </c>
      <c r="C209" s="167" t="str">
        <f>IF(البيانات!U203="","",البيانات!U203)</f>
        <v>جمعة علي يحيى غزواني</v>
      </c>
      <c r="D209" s="167">
        <f>IF(البيانات!T203="","",البيانات!T203)</f>
        <v>41</v>
      </c>
      <c r="E209" s="167" t="str">
        <f>IF(البيانات!F203="","",البيانات!F203)</f>
        <v>aljabaly sectorالقطاع الجبلي</v>
      </c>
      <c r="F209" s="167" t="str">
        <f>IF(البيانات!AD203="Yes","🔴 نعم",IF(البيانات!AD203="No","🟢 لا",""))</f>
        <v>🔴 نعم</v>
      </c>
      <c r="G209" s="167">
        <f>IF(B209="","",
            (IF(D209&gt;40,5,IF(D209&gt;35,3,0)))+
            (IF(F209="🔴 نعم",5,0))+
            (IF(ISNUMBER(SEARCH("السمنة",البيانات!Z202)),2,0))+
            (IF(ISNUMBER(SEARCH("السكري",البيانات!AA202)),2,0))+
            (IF(ISNUMBER(SEARCH("ضغط",البيانات!AA202)),2,0)))</f>
        <v>10</v>
      </c>
      <c r="H209" s="167" t="str">
        <f>IF(G209="","",IF(G209&gt;=8,"🔴 حرج",IF(G209&gt;=5,"🟠 عالي",IF(G209&gt;=3,"🟡 متوسط","🟢 منخفض"))))</f>
        <v>🔴 حرج</v>
      </c>
      <c r="I209" s="167" t="str">
        <f>IF(H209="","",IF(H209="🔴 حرج","إحالة فورية",IF(H209="🟠 عالي","إحالة تخصصية",IF(H209="🟡 متوسط","متابعة مكثفة","متابعة روتينية"))))</f>
        <v>إحالة فورية</v>
      </c>
      <c r="J209" s="167" t="str">
        <f>IF(F209="🔴 نعم",IF(البيانات!AE202="Yes","✅ تم العلاج","⚠️ بدون علاج"),"")</f>
        <v>⚠️ بدون علاج</v>
      </c>
      <c r="K209" s="167">
        <f>IF(H209="","",IF(H209="🔴 حرج",1,IF(H209="🟠 عالي",2,IF(H209="🟡 متوسط",3,4))))</f>
        <v>1</v>
      </c>
      <c r="L209" s="167" t="str">
        <f t="shared" si="0"/>
        <v>مستشفى صبيا العام</v>
      </c>
    </row>
    <row r="210" spans="1:12">
      <c r="A210" s="167">
        <v>203</v>
      </c>
      <c r="B210" s="167" t="str">
        <f>IF(البيانات!V204="","",البيانات!V204)</f>
        <v>1058861640</v>
      </c>
      <c r="C210" s="167" t="str">
        <f>IF(البيانات!U204="","",البيانات!U204)</f>
        <v>JUMAH MASHNI ABDULLAH TUMAYHI</v>
      </c>
      <c r="D210" s="167">
        <f>IF(البيانات!T204="","",البيانات!T204)</f>
        <v>38</v>
      </c>
      <c r="E210" s="167" t="str">
        <f>IF(البيانات!F204="","",البيانات!F204)</f>
        <v>Western Sectorالقطاع الغربي</v>
      </c>
      <c r="F210" s="167" t="str">
        <f>IF(البيانات!AD204="Yes","🔴 نعم",IF(البيانات!AD204="No","🟢 لا",""))</f>
        <v>🟢 لا</v>
      </c>
      <c r="G210" s="167">
        <f>IF(B210="","",
            (IF(D210&gt;40,5,IF(D210&gt;35,3,0)))+
            (IF(F210="🔴 نعم",5,0))+
            (IF(ISNUMBER(SEARCH("السمنة",البيانات!Z203)),2,0))+
            (IF(ISNUMBER(SEARCH("السكري",البيانات!AA203)),2,0))+
            (IF(ISNUMBER(SEARCH("ضغط",البيانات!AA203)),2,0)))</f>
        <v>3</v>
      </c>
      <c r="H210" s="167" t="str">
        <f>IF(G210="","",IF(G210&gt;=8,"🔴 حرج",IF(G210&gt;=5,"🟠 عالي",IF(G210&gt;=3,"🟡 متوسط","🟢 منخفض"))))</f>
        <v>🟡 متوسط</v>
      </c>
      <c r="I210" s="167" t="str">
        <f>IF(H210="","",IF(H210="🔴 حرج","إحالة فورية",IF(H210="🟠 عالي","إحالة تخصصية",IF(H210="🟡 متوسط","متابعة مكثفة","متابعة روتينية"))))</f>
        <v>متابعة مكثفة</v>
      </c>
      <c r="J210" s="167" t="str">
        <f>IF(F210="🔴 نعم",IF(البيانات!AE203="Yes","✅ تم العلاج","⚠️ بدون علاج"),"")</f>
        <v/>
      </c>
      <c r="K210" s="167">
        <f>IF(H210="","",IF(H210="🔴 حرج",1,IF(H210="🟠 عالي",2,IF(H210="🟡 متوسط",3,4))))</f>
        <v>3</v>
      </c>
      <c r="L210" s="167" t="str">
        <f t="shared" si="0"/>
        <v>مستشفى صبيا العام</v>
      </c>
    </row>
    <row r="211" spans="1:12">
      <c r="A211" s="167">
        <v>204</v>
      </c>
      <c r="B211" s="167" t="str">
        <f>IF(البيانات!V205="","",البيانات!V205)</f>
        <v>1098883562</v>
      </c>
      <c r="C211" s="167" t="str">
        <f>IF(البيانات!U205="","",البيانات!U205)</f>
        <v>ندى عبدالله ناصر يحي</v>
      </c>
      <c r="D211" s="167">
        <f>IF(البيانات!T205="","",البيانات!T205)</f>
        <v>39</v>
      </c>
      <c r="E211" s="167" t="str">
        <f>IF(البيانات!F205="","",البيانات!F205)</f>
        <v xml:space="preserve"> Middle sectorالقطاع الاوسط </v>
      </c>
      <c r="F211" s="167" t="str">
        <f>IF(البيانات!AD205="Yes","🔴 نعم",IF(البيانات!AD205="No","🟢 لا",""))</f>
        <v>🟢 لا</v>
      </c>
      <c r="G211" s="167">
        <f>IF(B211="","",
            (IF(D211&gt;40,5,IF(D211&gt;35,3,0)))+
            (IF(F211="🔴 نعم",5,0))+
            (IF(ISNUMBER(SEARCH("السمنة",البيانات!Z204)),2,0))+
            (IF(ISNUMBER(SEARCH("السكري",البيانات!AA204)),2,0))+
            (IF(ISNUMBER(SEARCH("ضغط",البيانات!AA204)),2,0)))</f>
        <v>3</v>
      </c>
      <c r="H211" s="167" t="str">
        <f>IF(G211="","",IF(G211&gt;=8,"🔴 حرج",IF(G211&gt;=5,"🟠 عالي",IF(G211&gt;=3,"🟡 متوسط","🟢 منخفض"))))</f>
        <v>🟡 متوسط</v>
      </c>
      <c r="I211" s="167" t="str">
        <f>IF(H211="","",IF(H211="🔴 حرج","إحالة فورية",IF(H211="🟠 عالي","إحالة تخصصية",IF(H211="🟡 متوسط","متابعة مكثفة","متابعة روتينية"))))</f>
        <v>متابعة مكثفة</v>
      </c>
      <c r="J211" s="167" t="str">
        <f>IF(F211="🔴 نعم",IF(البيانات!AE204="Yes","✅ تم العلاج","⚠️ بدون علاج"),"")</f>
        <v/>
      </c>
      <c r="K211" s="167">
        <f>IF(H211="","",IF(H211="🔴 حرج",1,IF(H211="🟠 عالي",2,IF(H211="🟡 متوسط",3,4))))</f>
        <v>3</v>
      </c>
      <c r="L211" s="167" t="str">
        <f t="shared" si="0"/>
        <v>مستشفى أبو عريش العام</v>
      </c>
    </row>
    <row r="212" spans="1:12">
      <c r="A212" s="167">
        <v>205</v>
      </c>
      <c r="B212" s="167" t="str">
        <f>IF(البيانات!V206="","",البيانات!V206)</f>
        <v>1083456036</v>
      </c>
      <c r="C212" s="167" t="str">
        <f>IF(البيانات!U206="","",البيانات!U206)</f>
        <v>نوف احمد علي حسن مغفوري</v>
      </c>
      <c r="D212" s="167">
        <f>IF(البيانات!T206="","",البيانات!T206)</f>
        <v>33</v>
      </c>
      <c r="E212" s="167" t="str">
        <f>IF(البيانات!F206="","",البيانات!F206)</f>
        <v>Central Sectorالقطاع المركزي</v>
      </c>
      <c r="F212" s="167" t="str">
        <f>IF(البيانات!AD206="Yes","🔴 نعم",IF(البيانات!AD206="No","🟢 لا",""))</f>
        <v>🟢 لا</v>
      </c>
      <c r="G212" s="167">
        <f>IF(B212="","",
            (IF(D212&gt;40,5,IF(D212&gt;35,3,0)))+
            (IF(F212="🔴 نعم",5,0))+
            (IF(ISNUMBER(SEARCH("السمنة",البيانات!Z205)),2,0))+
            (IF(ISNUMBER(SEARCH("السكري",البيانات!AA205)),2,0))+
            (IF(ISNUMBER(SEARCH("ضغط",البيانات!AA205)),2,0)))</f>
        <v>0</v>
      </c>
      <c r="H212" s="167" t="str">
        <f>IF(G212="","",IF(G212&gt;=8,"🔴 حرج",IF(G212&gt;=5,"🟠 عالي",IF(G212&gt;=3,"🟡 متوسط","🟢 منخفض"))))</f>
        <v>🟢 منخفض</v>
      </c>
      <c r="I212" s="167" t="str">
        <f>IF(H212="","",IF(H212="🔴 حرج","إحالة فورية",IF(H212="🟠 عالي","إحالة تخصصية",IF(H212="🟡 متوسط","متابعة مكثفة","متابعة روتينية"))))</f>
        <v>متابعة روتينية</v>
      </c>
      <c r="J212" s="167" t="str">
        <f>IF(F212="🔴 نعم",IF(البيانات!AE205="Yes","✅ تم العلاج","⚠️ بدون علاج"),"")</f>
        <v/>
      </c>
      <c r="K212" s="167">
        <f>IF(H212="","",IF(H212="🔴 حرج",1,IF(H212="🟠 عالي",2,IF(H212="🟡 متوسط",3,4))))</f>
        <v>4</v>
      </c>
      <c r="L212" s="167" t="str">
        <f t="shared" si="0"/>
        <v>متابعة في المركز</v>
      </c>
    </row>
    <row r="213" spans="1:12">
      <c r="A213" s="167">
        <v>206</v>
      </c>
      <c r="B213" s="167" t="str">
        <f>IF(البيانات!V207="","",البيانات!V207)</f>
        <v>1019938834</v>
      </c>
      <c r="C213" s="167" t="str">
        <f>IF(البيانات!U207="","",البيانات!U207)</f>
        <v xml:space="preserve">امل محسن العماري </v>
      </c>
      <c r="D213" s="167">
        <f>IF(البيانات!T207="","",البيانات!T207)</f>
        <v>41</v>
      </c>
      <c r="E213" s="167" t="str">
        <f>IF(البيانات!F207="","",البيانات!F207)</f>
        <v xml:space="preserve"> Middle sectorالقطاع الاوسط </v>
      </c>
      <c r="F213" s="167" t="str">
        <f>IF(البيانات!AD207="Yes","🔴 نعم",IF(البيانات!AD207="No","🟢 لا",""))</f>
        <v>🟢 لا</v>
      </c>
      <c r="G213" s="167">
        <f>IF(B213="","",
            (IF(D213&gt;40,5,IF(D213&gt;35,3,0)))+
            (IF(F213="🔴 نعم",5,0))+
            (IF(ISNUMBER(SEARCH("السمنة",البيانات!Z206)),2,0))+
            (IF(ISNUMBER(SEARCH("السكري",البيانات!AA206)),2,0))+
            (IF(ISNUMBER(SEARCH("ضغط",البيانات!AA206)),2,0)))</f>
        <v>5</v>
      </c>
      <c r="H213" s="167" t="str">
        <f>IF(G213="","",IF(G213&gt;=8,"🔴 حرج",IF(G213&gt;=5,"🟠 عالي",IF(G213&gt;=3,"🟡 متوسط","🟢 منخفض"))))</f>
        <v>🟠 عالي</v>
      </c>
      <c r="I213" s="167" t="str">
        <f>IF(H213="","",IF(H213="🔴 حرج","إحالة فورية",IF(H213="🟠 عالي","إحالة تخصصية",IF(H213="🟡 متوسط","متابعة مكثفة","متابعة روتينية"))))</f>
        <v>إحالة تخصصية</v>
      </c>
      <c r="J213" s="167" t="str">
        <f>IF(F213="🔴 نعم",IF(البيانات!AE206="Yes","✅ تم العلاج","⚠️ بدون علاج"),"")</f>
        <v/>
      </c>
      <c r="K213" s="167">
        <f>IF(H213="","",IF(H213="🔴 حرج",1,IF(H213="🟠 عالي",2,IF(H213="🟡 متوسط",3,4))))</f>
        <v>2</v>
      </c>
      <c r="L213" s="167" t="str">
        <f t="shared" si="0"/>
        <v>مستشفى أبو عريش العام</v>
      </c>
    </row>
    <row r="214" spans="1:12">
      <c r="A214" s="167">
        <v>207</v>
      </c>
      <c r="B214" s="167" t="str">
        <f>IF(البيانات!V208="","",البيانات!V208)</f>
        <v>1086484647</v>
      </c>
      <c r="C214" s="167" t="str">
        <f>IF(البيانات!U208="","",البيانات!U208)</f>
        <v>WIAM HASSAN OTHMAN HAKAMI</v>
      </c>
      <c r="D214" s="167">
        <f>IF(البيانات!T208="","",البيانات!T208)</f>
        <v>31</v>
      </c>
      <c r="E214" s="167" t="str">
        <f>IF(البيانات!F208="","",البيانات!F208)</f>
        <v>Central Sectorالقطاع المركزي</v>
      </c>
      <c r="F214" s="167" t="str">
        <f>IF(البيانات!AD208="Yes","🔴 نعم",IF(البيانات!AD208="No","🟢 لا",""))</f>
        <v>🟢 لا</v>
      </c>
      <c r="G214" s="167">
        <f>IF(B214="","",
            (IF(D214&gt;40,5,IF(D214&gt;35,3,0)))+
            (IF(F214="🔴 نعم",5,0))+
            (IF(ISNUMBER(SEARCH("السمنة",البيانات!Z207)),2,0))+
            (IF(ISNUMBER(SEARCH("السكري",البيانات!AA207)),2,0))+
            (IF(ISNUMBER(SEARCH("ضغط",البيانات!AA207)),2,0)))</f>
        <v>0</v>
      </c>
      <c r="H214" s="167" t="str">
        <f>IF(G214="","",IF(G214&gt;=8,"🔴 حرج",IF(G214&gt;=5,"🟠 عالي",IF(G214&gt;=3,"🟡 متوسط","🟢 منخفض"))))</f>
        <v>🟢 منخفض</v>
      </c>
      <c r="I214" s="167" t="str">
        <f>IF(H214="","",IF(H214="🔴 حرج","إحالة فورية",IF(H214="🟠 عالي","إحالة تخصصية",IF(H214="🟡 متوسط","متابعة مكثفة","متابعة روتينية"))))</f>
        <v>متابعة روتينية</v>
      </c>
      <c r="J214" s="167" t="str">
        <f>IF(F214="🔴 نعم",IF(البيانات!AE207="Yes","✅ تم العلاج","⚠️ بدون علاج"),"")</f>
        <v/>
      </c>
      <c r="K214" s="167">
        <f>IF(H214="","",IF(H214="🔴 حرج",1,IF(H214="🟠 عالي",2,IF(H214="🟡 متوسط",3,4))))</f>
        <v>4</v>
      </c>
      <c r="L214" s="167" t="str">
        <f t="shared" si="0"/>
        <v>متابعة في المركز</v>
      </c>
    </row>
    <row r="215" spans="1:12">
      <c r="A215" s="167">
        <v>208</v>
      </c>
      <c r="B215" s="167" t="str">
        <f>IF(البيانات!V209="","",البيانات!V209)</f>
        <v>1103435556</v>
      </c>
      <c r="C215" s="167" t="str">
        <f>IF(البيانات!U209="","",البيانات!U209)</f>
        <v>سميرة احمد حسن حكمي</v>
      </c>
      <c r="D215" s="167">
        <f>IF(البيانات!T209="","",البيانات!T209)</f>
        <v>30</v>
      </c>
      <c r="E215" s="167" t="str">
        <f>IF(البيانات!F209="","",البيانات!F209)</f>
        <v>Central Sectorالقطاع المركزي</v>
      </c>
      <c r="F215" s="167" t="str">
        <f>IF(البيانات!AD209="Yes","🔴 نعم",IF(البيانات!AD209="No","🟢 لا",""))</f>
        <v>🟢 لا</v>
      </c>
      <c r="G215" s="167">
        <f>IF(B215="","",
            (IF(D215&gt;40,5,IF(D215&gt;35,3,0)))+
            (IF(F215="🔴 نعم",5,0))+
            (IF(ISNUMBER(SEARCH("السمنة",البيانات!Z208)),2,0))+
            (IF(ISNUMBER(SEARCH("السكري",البيانات!AA208)),2,0))+
            (IF(ISNUMBER(SEARCH("ضغط",البيانات!AA208)),2,0)))</f>
        <v>0</v>
      </c>
      <c r="H215" s="167" t="str">
        <f>IF(G215="","",IF(G215&gt;=8,"🔴 حرج",IF(G215&gt;=5,"🟠 عالي",IF(G215&gt;=3,"🟡 متوسط","🟢 منخفض"))))</f>
        <v>🟢 منخفض</v>
      </c>
      <c r="I215" s="167" t="str">
        <f>IF(H215="","",IF(H215="🔴 حرج","إحالة فورية",IF(H215="🟠 عالي","إحالة تخصصية",IF(H215="🟡 متوسط","متابعة مكثفة","متابعة روتينية"))))</f>
        <v>متابعة روتينية</v>
      </c>
      <c r="J215" s="167" t="str">
        <f>IF(F215="🔴 نعم",IF(البيانات!AE208="Yes","✅ تم العلاج","⚠️ بدون علاج"),"")</f>
        <v/>
      </c>
      <c r="K215" s="167">
        <f>IF(H215="","",IF(H215="🔴 حرج",1,IF(H215="🟠 عالي",2,IF(H215="🟡 متوسط",3,4))))</f>
        <v>4</v>
      </c>
      <c r="L215" s="167" t="str">
        <f t="shared" si="0"/>
        <v>متابعة في المركز</v>
      </c>
    </row>
    <row r="216" spans="1:12">
      <c r="A216" s="167">
        <v>209</v>
      </c>
      <c r="B216" s="167" t="str">
        <f>IF(البيانات!V210="","",البيانات!V210)</f>
        <v>1137318042</v>
      </c>
      <c r="C216" s="167" t="str">
        <f>IF(البيانات!U210="","",البيانات!U210)</f>
        <v>ALIYAH AHMED ABDULLAH QAYSI</v>
      </c>
      <c r="D216" s="167">
        <f>IF(البيانات!T210="","",البيانات!T210)</f>
        <v>23</v>
      </c>
      <c r="E216" s="167" t="str">
        <f>IF(البيانات!F210="","",البيانات!F210)</f>
        <v>Central Sectorالقطاع المركزي</v>
      </c>
      <c r="F216" s="167" t="str">
        <f>IF(البيانات!AD210="Yes","🔴 نعم",IF(البيانات!AD210="No","🟢 لا",""))</f>
        <v>🟢 لا</v>
      </c>
      <c r="G216" s="167">
        <f>IF(B216="","",
            (IF(D216&gt;40,5,IF(D216&gt;35,3,0)))+
            (IF(F216="🔴 نعم",5,0))+
            (IF(ISNUMBER(SEARCH("السمنة",البيانات!Z209)),2,0))+
            (IF(ISNUMBER(SEARCH("السكري",البيانات!AA209)),2,0))+
            (IF(ISNUMBER(SEARCH("ضغط",البيانات!AA209)),2,0)))</f>
        <v>0</v>
      </c>
      <c r="H216" s="167" t="str">
        <f>IF(G216="","",IF(G216&gt;=8,"🔴 حرج",IF(G216&gt;=5,"🟠 عالي",IF(G216&gt;=3,"🟡 متوسط","🟢 منخفض"))))</f>
        <v>🟢 منخفض</v>
      </c>
      <c r="I216" s="167" t="str">
        <f>IF(H216="","",IF(H216="🔴 حرج","إحالة فورية",IF(H216="🟠 عالي","إحالة تخصصية",IF(H216="🟡 متوسط","متابعة مكثفة","متابعة روتينية"))))</f>
        <v>متابعة روتينية</v>
      </c>
      <c r="J216" s="167" t="str">
        <f>IF(F216="🔴 نعم",IF(البيانات!AE209="Yes","✅ تم العلاج","⚠️ بدون علاج"),"")</f>
        <v/>
      </c>
      <c r="K216" s="167">
        <f>IF(H216="","",IF(H216="🔴 حرج",1,IF(H216="🟠 عالي",2,IF(H216="🟡 متوسط",3,4))))</f>
        <v>4</v>
      </c>
      <c r="L216" s="167" t="str">
        <f t="shared" si="0"/>
        <v>متابعة في المركز</v>
      </c>
    </row>
    <row r="217" spans="1:12">
      <c r="A217" s="167">
        <v>210</v>
      </c>
      <c r="B217" s="167" t="str">
        <f>IF(البيانات!V211="","",البيانات!V211)</f>
        <v>1073753657</v>
      </c>
      <c r="C217" s="167" t="str">
        <f>IF(البيانات!U211="","",البيانات!U211)</f>
        <v xml:space="preserve">فاطمة علي علي حكمي </v>
      </c>
      <c r="D217" s="167">
        <f>IF(البيانات!T211="","",البيانات!T211)</f>
        <v>36</v>
      </c>
      <c r="E217" s="167" t="str">
        <f>IF(البيانات!F211="","",البيانات!F211)</f>
        <v>Central Sectorالقطاع المركزي</v>
      </c>
      <c r="F217" s="167" t="str">
        <f>IF(البيانات!AD211="Yes","🔴 نعم",IF(البيانات!AD211="No","🟢 لا",""))</f>
        <v>🟢 لا</v>
      </c>
      <c r="G217" s="167">
        <f>IF(B217="","",
            (IF(D217&gt;40,5,IF(D217&gt;35,3,0)))+
            (IF(F217="🔴 نعم",5,0))+
            (IF(ISNUMBER(SEARCH("السمنة",البيانات!Z210)),2,0))+
            (IF(ISNUMBER(SEARCH("السكري",البيانات!AA210)),2,0))+
            (IF(ISNUMBER(SEARCH("ضغط",البيانات!AA210)),2,0)))</f>
        <v>3</v>
      </c>
      <c r="H217" s="167" t="str">
        <f>IF(G217="","",IF(G217&gt;=8,"🔴 حرج",IF(G217&gt;=5,"🟠 عالي",IF(G217&gt;=3,"🟡 متوسط","🟢 منخفض"))))</f>
        <v>🟡 متوسط</v>
      </c>
      <c r="I217" s="167" t="str">
        <f>IF(H217="","",IF(H217="🔴 حرج","إحالة فورية",IF(H217="🟠 عالي","إحالة تخصصية",IF(H217="🟡 متوسط","متابعة مكثفة","متابعة روتينية"))))</f>
        <v>متابعة مكثفة</v>
      </c>
      <c r="J217" s="167" t="str">
        <f>IF(F217="🔴 نعم",IF(البيانات!AE210="Yes","✅ تم العلاج","⚠️ بدون علاج"),"")</f>
        <v/>
      </c>
      <c r="K217" s="167">
        <f>IF(H217="","",IF(H217="🔴 حرج",1,IF(H217="🟠 عالي",2,IF(H217="🟡 متوسط",3,4))))</f>
        <v>3</v>
      </c>
      <c r="L217" s="167" t="str">
        <f t="shared" si="0"/>
        <v>مستشفى جازان العام</v>
      </c>
    </row>
    <row r="218" spans="1:12">
      <c r="A218" s="167">
        <v>211</v>
      </c>
      <c r="B218" s="167" t="str">
        <f>IF(البيانات!V212="","",البيانات!V212)</f>
        <v>1083590982</v>
      </c>
      <c r="C218" s="167" t="str">
        <f>IF(البيانات!U212="","",البيانات!U212)</f>
        <v>Fatimah hussain taher qaysi</v>
      </c>
      <c r="D218" s="167">
        <f>IF(البيانات!T212="","",البيانات!T212)</f>
        <v>39</v>
      </c>
      <c r="E218" s="167" t="str">
        <f>IF(البيانات!F212="","",البيانات!F212)</f>
        <v>Central Sectorالقطاع المركزي</v>
      </c>
      <c r="F218" s="167" t="str">
        <f>IF(البيانات!AD212="Yes","🔴 نعم",IF(البيانات!AD212="No","🟢 لا",""))</f>
        <v>🟢 لا</v>
      </c>
      <c r="G218" s="167">
        <f>IF(B218="","",
            (IF(D218&gt;40,5,IF(D218&gt;35,3,0)))+
            (IF(F218="🔴 نعم",5,0))+
            (IF(ISNUMBER(SEARCH("السمنة",البيانات!Z211)),2,0))+
            (IF(ISNUMBER(SEARCH("السكري",البيانات!AA211)),2,0))+
            (IF(ISNUMBER(SEARCH("ضغط",البيانات!AA211)),2,0)))</f>
        <v>3</v>
      </c>
      <c r="H218" s="167" t="str">
        <f>IF(G218="","",IF(G218&gt;=8,"🔴 حرج",IF(G218&gt;=5,"🟠 عالي",IF(G218&gt;=3,"🟡 متوسط","🟢 منخفض"))))</f>
        <v>🟡 متوسط</v>
      </c>
      <c r="I218" s="167" t="str">
        <f>IF(H218="","",IF(H218="🔴 حرج","إحالة فورية",IF(H218="🟠 عالي","إحالة تخصصية",IF(H218="🟡 متوسط","متابعة مكثفة","متابعة روتينية"))))</f>
        <v>متابعة مكثفة</v>
      </c>
      <c r="J218" s="167" t="str">
        <f>IF(F218="🔴 نعم",IF(البيانات!AE211="Yes","✅ تم العلاج","⚠️ بدون علاج"),"")</f>
        <v/>
      </c>
      <c r="K218" s="167">
        <f>IF(H218="","",IF(H218="🔴 حرج",1,IF(H218="🟠 عالي",2,IF(H218="🟡 متوسط",3,4))))</f>
        <v>3</v>
      </c>
      <c r="L218" s="167" t="str">
        <f t="shared" si="0"/>
        <v>مستشفى جازان العام</v>
      </c>
    </row>
    <row r="219" spans="1:12">
      <c r="A219" s="167">
        <v>212</v>
      </c>
      <c r="B219" s="167" t="str">
        <f>IF(البيانات!V213="","",البيانات!V213)</f>
        <v>1111162556</v>
      </c>
      <c r="C219" s="167" t="str">
        <f>IF(البيانات!U213="","",البيانات!U213)</f>
        <v>HISSAH ALI BIN AHMED HIBAH</v>
      </c>
      <c r="D219" s="167">
        <f>IF(البيانات!T213="","",البيانات!T213)</f>
        <v>27</v>
      </c>
      <c r="E219" s="167" t="str">
        <f>IF(البيانات!F213="","",البيانات!F213)</f>
        <v>Central Sectorالقطاع المركزي</v>
      </c>
      <c r="F219" s="167" t="str">
        <f>IF(البيانات!AD213="Yes","🔴 نعم",IF(البيانات!AD213="No","🟢 لا",""))</f>
        <v>🟢 لا</v>
      </c>
      <c r="G219" s="167">
        <f>IF(B219="","",
            (IF(D219&gt;40,5,IF(D219&gt;35,3,0)))+
            (IF(F219="🔴 نعم",5,0))+
            (IF(ISNUMBER(SEARCH("السمنة",البيانات!Z212)),2,0))+
            (IF(ISNUMBER(SEARCH("السكري",البيانات!AA212)),2,0))+
            (IF(ISNUMBER(SEARCH("ضغط",البيانات!AA212)),2,0)))</f>
        <v>0</v>
      </c>
      <c r="H219" s="167" t="str">
        <f>IF(G219="","",IF(G219&gt;=8,"🔴 حرج",IF(G219&gt;=5,"🟠 عالي",IF(G219&gt;=3,"🟡 متوسط","🟢 منخفض"))))</f>
        <v>🟢 منخفض</v>
      </c>
      <c r="I219" s="167" t="str">
        <f>IF(H219="","",IF(H219="🔴 حرج","إحالة فورية",IF(H219="🟠 عالي","إحالة تخصصية",IF(H219="🟡 متوسط","متابعة مكثفة","متابعة روتينية"))))</f>
        <v>متابعة روتينية</v>
      </c>
      <c r="J219" s="167" t="str">
        <f>IF(F219="🔴 نعم",IF(البيانات!AE212="Yes","✅ تم العلاج","⚠️ بدون علاج"),"")</f>
        <v/>
      </c>
      <c r="K219" s="167">
        <f>IF(H219="","",IF(H219="🔴 حرج",1,IF(H219="🟠 عالي",2,IF(H219="🟡 متوسط",3,4))))</f>
        <v>4</v>
      </c>
      <c r="L219" s="167" t="str">
        <f t="shared" si="0"/>
        <v>متابعة في المركز</v>
      </c>
    </row>
    <row r="220" spans="1:12">
      <c r="A220" s="167">
        <v>213</v>
      </c>
      <c r="B220" s="167" t="str">
        <f>IF(البيانات!V214="","",البيانات!V214)</f>
        <v>1047808629</v>
      </c>
      <c r="C220" s="167" t="str">
        <f>IF(البيانات!U214="","",البيانات!U214)</f>
        <v>مروة خميس</v>
      </c>
      <c r="D220" s="167">
        <f>IF(البيانات!T214="","",البيانات!T214)</f>
        <v>38</v>
      </c>
      <c r="E220" s="167" t="str">
        <f>IF(البيانات!F214="","",البيانات!F214)</f>
        <v>Central Sectorالقطاع المركزي</v>
      </c>
      <c r="F220" s="167" t="str">
        <f>IF(البيانات!AD214="Yes","🔴 نعم",IF(البيانات!AD214="No","🟢 لا",""))</f>
        <v>🔴 نعم</v>
      </c>
      <c r="G220" s="167">
        <f>IF(B220="","",
            (IF(D220&gt;40,5,IF(D220&gt;35,3,0)))+
            (IF(F220="🔴 نعم",5,0))+
            (IF(ISNUMBER(SEARCH("السمنة",البيانات!Z213)),2,0))+
            (IF(ISNUMBER(SEARCH("السكري",البيانات!AA213)),2,0))+
            (IF(ISNUMBER(SEARCH("ضغط",البيانات!AA213)),2,0)))</f>
        <v>8</v>
      </c>
      <c r="H220" s="167" t="str">
        <f>IF(G220="","",IF(G220&gt;=8,"🔴 حرج",IF(G220&gt;=5,"🟠 عالي",IF(G220&gt;=3,"🟡 متوسط","🟢 منخفض"))))</f>
        <v>🔴 حرج</v>
      </c>
      <c r="I220" s="167" t="str">
        <f>IF(H220="","",IF(H220="🔴 حرج","إحالة فورية",IF(H220="🟠 عالي","إحالة تخصصية",IF(H220="🟡 متوسط","متابعة مكثفة","متابعة روتينية"))))</f>
        <v>إحالة فورية</v>
      </c>
      <c r="J220" s="167" t="str">
        <f>IF(F220="🔴 نعم",IF(البيانات!AE213="Yes","✅ تم العلاج","⚠️ بدون علاج"),"")</f>
        <v>⚠️ بدون علاج</v>
      </c>
      <c r="K220" s="167">
        <f>IF(H220="","",IF(H220="🔴 حرج",1,IF(H220="🟠 عالي",2,IF(H220="🟡 متوسط",3,4))))</f>
        <v>1</v>
      </c>
      <c r="L220" s="167" t="str">
        <f t="shared" si="0"/>
        <v>مستشفى جازان العام</v>
      </c>
    </row>
    <row r="221" spans="1:12">
      <c r="A221" s="167">
        <v>214</v>
      </c>
      <c r="B221" s="167" t="str">
        <f>IF(البيانات!V215="","",البيانات!V215)</f>
        <v>1125692911</v>
      </c>
      <c r="C221" s="167" t="str">
        <f>IF(البيانات!U215="","",البيانات!U215)</f>
        <v>SALMA ABDULLAH  HASSAN</v>
      </c>
      <c r="D221" s="167">
        <f>IF(البيانات!T215="","",البيانات!T215)</f>
        <v>21</v>
      </c>
      <c r="E221" s="167" t="str">
        <f>IF(البيانات!F215="","",البيانات!F215)</f>
        <v>Northern Sectorالقطاع الشمالي</v>
      </c>
      <c r="F221" s="167" t="str">
        <f>IF(البيانات!AD215="Yes","🔴 نعم",IF(البيانات!AD215="No","🟢 لا",""))</f>
        <v>🟢 لا</v>
      </c>
      <c r="G221" s="167">
        <f>IF(B221="","",
            (IF(D221&gt;40,5,IF(D221&gt;35,3,0)))+
            (IF(F221="🔴 نعم",5,0))+
            (IF(ISNUMBER(SEARCH("السمنة",البيانات!Z214)),2,0))+
            (IF(ISNUMBER(SEARCH("السكري",البيانات!AA214)),2,0))+
            (IF(ISNUMBER(SEARCH("ضغط",البيانات!AA214)),2,0)))</f>
        <v>0</v>
      </c>
      <c r="H221" s="167" t="str">
        <f>IF(G221="","",IF(G221&gt;=8,"🔴 حرج",IF(G221&gt;=5,"🟠 عالي",IF(G221&gt;=3,"🟡 متوسط","🟢 منخفض"))))</f>
        <v>🟢 منخفض</v>
      </c>
      <c r="I221" s="167" t="str">
        <f>IF(H221="","",IF(H221="🔴 حرج","إحالة فورية",IF(H221="🟠 عالي","إحالة تخصصية",IF(H221="🟡 متوسط","متابعة مكثفة","متابعة روتينية"))))</f>
        <v>متابعة روتينية</v>
      </c>
      <c r="J221" s="167" t="str">
        <f>IF(F221="🔴 نعم",IF(البيانات!AE214="Yes","✅ تم العلاج","⚠️ بدون علاج"),"")</f>
        <v/>
      </c>
      <c r="K221" s="167">
        <f>IF(H221="","",IF(H221="🔴 حرج",1,IF(H221="🟠 عالي",2,IF(H221="🟡 متوسط",3,4))))</f>
        <v>4</v>
      </c>
      <c r="L221" s="167" t="str">
        <f t="shared" si="0"/>
        <v>متابعة في المركز</v>
      </c>
    </row>
    <row r="222" spans="1:12">
      <c r="A222" s="167">
        <v>215</v>
      </c>
      <c r="B222" s="167" t="str">
        <f>IF(البيانات!V216="","",البيانات!V216)</f>
        <v>1063902868</v>
      </c>
      <c r="C222" s="167" t="str">
        <f>IF(البيانات!U216="","",البيانات!U216)</f>
        <v>مريم يحي محمد شاجري</v>
      </c>
      <c r="D222" s="167">
        <f>IF(البيانات!T216="","",البيانات!T216)</f>
        <v>39</v>
      </c>
      <c r="E222" s="167" t="str">
        <f>IF(البيانات!F216="","",البيانات!F216)</f>
        <v>Western Sectorالقطاع الغربي</v>
      </c>
      <c r="F222" s="167" t="str">
        <f>IF(البيانات!AD216="Yes","🔴 نعم",IF(البيانات!AD216="No","🟢 لا",""))</f>
        <v>🟢 لا</v>
      </c>
      <c r="G222" s="167">
        <f>IF(B222="","",
            (IF(D222&gt;40,5,IF(D222&gt;35,3,0)))+
            (IF(F222="🔴 نعم",5,0))+
            (IF(ISNUMBER(SEARCH("السمنة",البيانات!Z215)),2,0))+
            (IF(ISNUMBER(SEARCH("السكري",البيانات!AA215)),2,0))+
            (IF(ISNUMBER(SEARCH("ضغط",البيانات!AA215)),2,0)))</f>
        <v>3</v>
      </c>
      <c r="H222" s="167" t="str">
        <f>IF(G222="","",IF(G222&gt;=8,"🔴 حرج",IF(G222&gt;=5,"🟠 عالي",IF(G222&gt;=3,"🟡 متوسط","🟢 منخفض"))))</f>
        <v>🟡 متوسط</v>
      </c>
      <c r="I222" s="167" t="str">
        <f>IF(H222="","",IF(H222="🔴 حرج","إحالة فورية",IF(H222="🟠 عالي","إحالة تخصصية",IF(H222="🟡 متوسط","متابعة مكثفة","متابعة روتينية"))))</f>
        <v>متابعة مكثفة</v>
      </c>
      <c r="J222" s="167" t="str">
        <f>IF(F222="🔴 نعم",IF(البيانات!AE215="Yes","✅ تم العلاج","⚠️ بدون علاج"),"")</f>
        <v/>
      </c>
      <c r="K222" s="167">
        <f>IF(H222="","",IF(H222="🔴 حرج",1,IF(H222="🟠 عالي",2,IF(H222="🟡 متوسط",3,4))))</f>
        <v>3</v>
      </c>
      <c r="L222" s="167" t="str">
        <f t="shared" si="0"/>
        <v>مستشفى صبيا العام</v>
      </c>
    </row>
    <row r="223" spans="1:12">
      <c r="A223" s="167">
        <v>216</v>
      </c>
      <c r="B223" s="167" t="str">
        <f>IF(البيانات!V217="","",البيانات!V217)</f>
        <v>1056724717</v>
      </c>
      <c r="C223" s="167" t="str">
        <f>IF(البيانات!U217="","",البيانات!U217)</f>
        <v xml:space="preserve">ليلى محمد ابراهيم عقيل </v>
      </c>
      <c r="D223" s="167">
        <f>IF(البيانات!T217="","",البيانات!T217)</f>
        <v>43</v>
      </c>
      <c r="E223" s="167" t="str">
        <f>IF(البيانات!F217="","",البيانات!F217)</f>
        <v>Central Sectorالقطاع المركزي</v>
      </c>
      <c r="F223" s="167" t="str">
        <f>IF(البيانات!AD217="Yes","🔴 نعم",IF(البيانات!AD217="No","🟢 لا",""))</f>
        <v>🟢 لا</v>
      </c>
      <c r="G223" s="167">
        <f>IF(B223="","",
            (IF(D223&gt;40,5,IF(D223&gt;35,3,0)))+
            (IF(F223="🔴 نعم",5,0))+
            (IF(ISNUMBER(SEARCH("السمنة",البيانات!Z216)),2,0))+
            (IF(ISNUMBER(SEARCH("السكري",البيانات!AA216)),2,0))+
            (IF(ISNUMBER(SEARCH("ضغط",البيانات!AA216)),2,0)))</f>
        <v>5</v>
      </c>
      <c r="H223" s="167" t="str">
        <f>IF(G223="","",IF(G223&gt;=8,"🔴 حرج",IF(G223&gt;=5,"🟠 عالي",IF(G223&gt;=3,"🟡 متوسط","🟢 منخفض"))))</f>
        <v>🟠 عالي</v>
      </c>
      <c r="I223" s="167" t="str">
        <f>IF(H223="","",IF(H223="🔴 حرج","إحالة فورية",IF(H223="🟠 عالي","إحالة تخصصية",IF(H223="🟡 متوسط","متابعة مكثفة","متابعة روتينية"))))</f>
        <v>إحالة تخصصية</v>
      </c>
      <c r="J223" s="167" t="str">
        <f>IF(F223="🔴 نعم",IF(البيانات!AE216="Yes","✅ تم العلاج","⚠️ بدون علاج"),"")</f>
        <v/>
      </c>
      <c r="K223" s="167">
        <f>IF(H223="","",IF(H223="🔴 حرج",1,IF(H223="🟠 عالي",2,IF(H223="🟡 متوسط",3,4))))</f>
        <v>2</v>
      </c>
      <c r="L223" s="167" t="str">
        <f t="shared" si="0"/>
        <v>مستشفى جازان العام</v>
      </c>
    </row>
    <row r="224" spans="1:12">
      <c r="A224" s="167">
        <v>217</v>
      </c>
      <c r="B224" s="167" t="str">
        <f>IF(البيانات!V218="","",البيانات!V218)</f>
        <v>1048063380</v>
      </c>
      <c r="C224" s="167" t="str">
        <f>IF(البيانات!U218="","",البيانات!U218)</f>
        <v>MATRAH MOHAMMED ALI MASHYAKHI</v>
      </c>
      <c r="D224" s="167">
        <f>IF(البيانات!T218="","",البيانات!T218)</f>
        <v>39</v>
      </c>
      <c r="E224" s="167" t="str">
        <f>IF(البيانات!F218="","",البيانات!F218)</f>
        <v xml:space="preserve"> Middle sectorالقطاع الاوسط </v>
      </c>
      <c r="F224" s="167" t="str">
        <f>IF(البيانات!AD218="Yes","🔴 نعم",IF(البيانات!AD218="No","🟢 لا",""))</f>
        <v>🟢 لا</v>
      </c>
      <c r="G224" s="167">
        <f>IF(B224="","",
            (IF(D224&gt;40,5,IF(D224&gt;35,3,0)))+
            (IF(F224="🔴 نعم",5,0))+
            (IF(ISNUMBER(SEARCH("السمنة",البيانات!Z217)),2,0))+
            (IF(ISNUMBER(SEARCH("السكري",البيانات!AA217)),2,0))+
            (IF(ISNUMBER(SEARCH("ضغط",البيانات!AA217)),2,0)))</f>
        <v>3</v>
      </c>
      <c r="H224" s="167" t="str">
        <f>IF(G224="","",IF(G224&gt;=8,"🔴 حرج",IF(G224&gt;=5,"🟠 عالي",IF(G224&gt;=3,"🟡 متوسط","🟢 منخفض"))))</f>
        <v>🟡 متوسط</v>
      </c>
      <c r="I224" s="167" t="str">
        <f>IF(H224="","",IF(H224="🔴 حرج","إحالة فورية",IF(H224="🟠 عالي","إحالة تخصصية",IF(H224="🟡 متوسط","متابعة مكثفة","متابعة روتينية"))))</f>
        <v>متابعة مكثفة</v>
      </c>
      <c r="J224" s="167" t="str">
        <f>IF(F224="🔴 نعم",IF(البيانات!AE217="Yes","✅ تم العلاج","⚠️ بدون علاج"),"")</f>
        <v/>
      </c>
      <c r="K224" s="167">
        <f>IF(H224="","",IF(H224="🔴 حرج",1,IF(H224="🟠 عالي",2,IF(H224="🟡 متوسط",3,4))))</f>
        <v>3</v>
      </c>
      <c r="L224" s="167" t="str">
        <f t="shared" si="0"/>
        <v>مستشفى أبو عريش العام</v>
      </c>
    </row>
    <row r="225" spans="1:12">
      <c r="A225" s="167">
        <v>218</v>
      </c>
      <c r="B225" s="167" t="str">
        <f>IF(البيانات!V219="","",البيانات!V219)</f>
        <v>1067878585</v>
      </c>
      <c r="C225" s="167" t="str">
        <f>IF(البيانات!U219="","",البيانات!U219)</f>
        <v>هاشميه الحسن محمد مجرشي</v>
      </c>
      <c r="D225" s="167">
        <f>IF(البيانات!T219="","",البيانات!T219)</f>
        <v>42</v>
      </c>
      <c r="E225" s="167" t="str">
        <f>IF(البيانات!F219="","",البيانات!F219)</f>
        <v xml:space="preserve">Southern Sector القطاع الجنوبي				</v>
      </c>
      <c r="F225" s="167" t="str">
        <f>IF(البيانات!AD219="Yes","🔴 نعم",IF(البيانات!AD219="No","🟢 لا",""))</f>
        <v>🔴 نعم</v>
      </c>
      <c r="G225" s="167">
        <f>IF(B225="","",
            (IF(D225&gt;40,5,IF(D225&gt;35,3,0)))+
            (IF(F225="🔴 نعم",5,0))+
            (IF(ISNUMBER(SEARCH("السمنة",البيانات!Z218)),2,0))+
            (IF(ISNUMBER(SEARCH("السكري",البيانات!AA218)),2,0))+
            (IF(ISNUMBER(SEARCH("ضغط",البيانات!AA218)),2,0)))</f>
        <v>10</v>
      </c>
      <c r="H225" s="167" t="str">
        <f>IF(G225="","",IF(G225&gt;=8,"🔴 حرج",IF(G225&gt;=5,"🟠 عالي",IF(G225&gt;=3,"🟡 متوسط","🟢 منخفض"))))</f>
        <v>🔴 حرج</v>
      </c>
      <c r="I225" s="167" t="str">
        <f>IF(H225="","",IF(H225="🔴 حرج","إحالة فورية",IF(H225="🟠 عالي","إحالة تخصصية",IF(H225="🟡 متوسط","متابعة مكثفة","متابعة روتينية"))))</f>
        <v>إحالة فورية</v>
      </c>
      <c r="J225" s="167" t="str">
        <f>IF(F225="🔴 نعم",IF(البيانات!AE218="Yes","✅ تم العلاج","⚠️ بدون علاج"),"")</f>
        <v>⚠️ بدون علاج</v>
      </c>
      <c r="K225" s="167">
        <f>IF(H225="","",IF(H225="🔴 حرج",1,IF(H225="🟠 عالي",2,IF(H225="🟡 متوسط",3,4))))</f>
        <v>1</v>
      </c>
      <c r="L225" s="167" t="str">
        <f t="shared" si="0"/>
        <v>مستشفى صامطة العام</v>
      </c>
    </row>
    <row r="226" spans="1:12">
      <c r="A226" s="167">
        <v>219</v>
      </c>
      <c r="B226" s="167" t="str">
        <f>IF(البيانات!V220="","",البيانات!V220)</f>
        <v>1070041080</v>
      </c>
      <c r="C226" s="167" t="str">
        <f>IF(البيانات!U220="","",البيانات!U220)</f>
        <v>FAWZIAH HADI AMRI</v>
      </c>
      <c r="D226" s="167">
        <f>IF(البيانات!T220="","",البيانات!T220)</f>
        <v>41</v>
      </c>
      <c r="E226" s="167" t="str">
        <f>IF(البيانات!F220="","",البيانات!F220)</f>
        <v xml:space="preserve"> Middle sectorالقطاع الاوسط </v>
      </c>
      <c r="F226" s="167" t="str">
        <f>IF(البيانات!AD220="Yes","🔴 نعم",IF(البيانات!AD220="No","🟢 لا",""))</f>
        <v>🟢 لا</v>
      </c>
      <c r="G226" s="167">
        <f>IF(B226="","",
            (IF(D226&gt;40,5,IF(D226&gt;35,3,0)))+
            (IF(F226="🔴 نعم",5,0))+
            (IF(ISNUMBER(SEARCH("السمنة",البيانات!Z219)),2,0))+
            (IF(ISNUMBER(SEARCH("السكري",البيانات!AA219)),2,0))+
            (IF(ISNUMBER(SEARCH("ضغط",البيانات!AA219)),2,0)))</f>
        <v>5</v>
      </c>
      <c r="H226" s="167" t="str">
        <f>IF(G226="","",IF(G226&gt;=8,"🔴 حرج",IF(G226&gt;=5,"🟠 عالي",IF(G226&gt;=3,"🟡 متوسط","🟢 منخفض"))))</f>
        <v>🟠 عالي</v>
      </c>
      <c r="I226" s="167" t="str">
        <f>IF(H226="","",IF(H226="🔴 حرج","إحالة فورية",IF(H226="🟠 عالي","إحالة تخصصية",IF(H226="🟡 متوسط","متابعة مكثفة","متابعة روتينية"))))</f>
        <v>إحالة تخصصية</v>
      </c>
      <c r="J226" s="167" t="str">
        <f>IF(F226="🔴 نعم",IF(البيانات!AE219="Yes","✅ تم العلاج","⚠️ بدون علاج"),"")</f>
        <v/>
      </c>
      <c r="K226" s="167">
        <f>IF(H226="","",IF(H226="🔴 حرج",1,IF(H226="🟠 عالي",2,IF(H226="🟡 متوسط",3,4))))</f>
        <v>2</v>
      </c>
      <c r="L226" s="167" t="str">
        <f t="shared" si="0"/>
        <v>مستشفى أبو عريش العام</v>
      </c>
    </row>
    <row r="227" spans="1:12">
      <c r="A227" s="167">
        <v>220</v>
      </c>
      <c r="B227" s="167" t="str">
        <f>IF(البيانات!V221="","",البيانات!V221)</f>
        <v>2493426882</v>
      </c>
      <c r="C227" s="167" t="str">
        <f>IF(البيانات!U221="","",البيانات!U221)</f>
        <v>MUIDHAH ABDU ABDULLAH WAHHAN</v>
      </c>
      <c r="D227" s="167">
        <f>IF(البيانات!T221="","",البيانات!T221)</f>
        <v>41</v>
      </c>
      <c r="E227" s="167" t="str">
        <f>IF(البيانات!F221="","",البيانات!F221)</f>
        <v>Northern Sectorالقطاع الشمالي</v>
      </c>
      <c r="F227" s="167" t="str">
        <f>IF(البيانات!AD221="Yes","🔴 نعم",IF(البيانات!AD221="No","🟢 لا",""))</f>
        <v>🔴 نعم</v>
      </c>
      <c r="G227" s="167">
        <f>IF(B227="","",
            (IF(D227&gt;40,5,IF(D227&gt;35,3,0)))+
            (IF(F227="🔴 نعم",5,0))+
            (IF(ISNUMBER(SEARCH("السمنة",البيانات!Z220)),2,0))+
            (IF(ISNUMBER(SEARCH("السكري",البيانات!AA220)),2,0))+
            (IF(ISNUMBER(SEARCH("ضغط",البيانات!AA220)),2,0)))</f>
        <v>10</v>
      </c>
      <c r="H227" s="167" t="str">
        <f>IF(G227="","",IF(G227&gt;=8,"🔴 حرج",IF(G227&gt;=5,"🟠 عالي",IF(G227&gt;=3,"🟡 متوسط","🟢 منخفض"))))</f>
        <v>🔴 حرج</v>
      </c>
      <c r="I227" s="167" t="str">
        <f>IF(H227="","",IF(H227="🔴 حرج","إحالة فورية",IF(H227="🟠 عالي","إحالة تخصصية",IF(H227="🟡 متوسط","متابعة مكثفة","متابعة روتينية"))))</f>
        <v>إحالة فورية</v>
      </c>
      <c r="J227" s="167" t="str">
        <f>IF(F227="🔴 نعم",IF(البيانات!AE220="Yes","✅ تم العلاج","⚠️ بدون علاج"),"")</f>
        <v>⚠️ بدون علاج</v>
      </c>
      <c r="K227" s="167">
        <f>IF(H227="","",IF(H227="🔴 حرج",1,IF(H227="🟠 عالي",2,IF(H227="🟡 متوسط",3,4))))</f>
        <v>1</v>
      </c>
      <c r="L227" s="167" t="str">
        <f t="shared" si="0"/>
        <v>مستشفى بيش العام</v>
      </c>
    </row>
    <row r="228" spans="1:12">
      <c r="A228" s="167">
        <v>221</v>
      </c>
      <c r="B228" s="167" t="str">
        <f>IF(البيانات!V222="","",البيانات!V222)</f>
        <v>1073882753</v>
      </c>
      <c r="C228" s="167" t="str">
        <f>IF(البيانات!U222="","",البيانات!U222)</f>
        <v>AREEJ AHMED MOHAMMED ZUGHAIBI</v>
      </c>
      <c r="D228" s="167">
        <f>IF(البيانات!T222="","",البيانات!T222)</f>
        <v>34</v>
      </c>
      <c r="E228" s="167" t="str">
        <f>IF(البيانات!F222="","",البيانات!F222)</f>
        <v>Central Sectorالقطاع المركزي</v>
      </c>
      <c r="F228" s="167" t="str">
        <f>IF(البيانات!AD222="Yes","🔴 نعم",IF(البيانات!AD222="No","🟢 لا",""))</f>
        <v>🟢 لا</v>
      </c>
      <c r="G228" s="167">
        <f>IF(B228="","",
            (IF(D228&gt;40,5,IF(D228&gt;35,3,0)))+
            (IF(F228="🔴 نعم",5,0))+
            (IF(ISNUMBER(SEARCH("السمنة",البيانات!Z221)),2,0))+
            (IF(ISNUMBER(SEARCH("السكري",البيانات!AA221)),2,0))+
            (IF(ISNUMBER(SEARCH("ضغط",البيانات!AA221)),2,0)))</f>
        <v>0</v>
      </c>
      <c r="H228" s="167" t="str">
        <f>IF(G228="","",IF(G228&gt;=8,"🔴 حرج",IF(G228&gt;=5,"🟠 عالي",IF(G228&gt;=3,"🟡 متوسط","🟢 منخفض"))))</f>
        <v>🟢 منخفض</v>
      </c>
      <c r="I228" s="167" t="str">
        <f>IF(H228="","",IF(H228="🔴 حرج","إحالة فورية",IF(H228="🟠 عالي","إحالة تخصصية",IF(H228="🟡 متوسط","متابعة مكثفة","متابعة روتينية"))))</f>
        <v>متابعة روتينية</v>
      </c>
      <c r="J228" s="167" t="str">
        <f>IF(F228="🔴 نعم",IF(البيانات!AE221="Yes","✅ تم العلاج","⚠️ بدون علاج"),"")</f>
        <v/>
      </c>
      <c r="K228" s="167">
        <f>IF(H228="","",IF(H228="🔴 حرج",1,IF(H228="🟠 عالي",2,IF(H228="🟡 متوسط",3,4))))</f>
        <v>4</v>
      </c>
      <c r="L228" s="167" t="str">
        <f t="shared" si="0"/>
        <v>متابعة في المركز</v>
      </c>
    </row>
    <row r="229" spans="1:12">
      <c r="A229" s="167">
        <v>222</v>
      </c>
      <c r="B229" s="167" t="str">
        <f>IF(البيانات!V223="","",البيانات!V223)</f>
        <v>1058400746</v>
      </c>
      <c r="C229" s="167" t="str">
        <f>IF(البيانات!U223="","",البيانات!U223)</f>
        <v>jubarah hassan yhia mashi</v>
      </c>
      <c r="D229" s="167">
        <f>IF(البيانات!T223="","",البيانات!T223)</f>
        <v>43</v>
      </c>
      <c r="E229" s="167" t="str">
        <f>IF(البيانات!F223="","",البيانات!F223)</f>
        <v xml:space="preserve"> Middle sectorالقطاع الاوسط </v>
      </c>
      <c r="F229" s="167" t="str">
        <f>IF(البيانات!AD223="Yes","🔴 نعم",IF(البيانات!AD223="No","🟢 لا",""))</f>
        <v>🔴 نعم</v>
      </c>
      <c r="G229" s="167">
        <f>IF(B229="","",
            (IF(D229&gt;40,5,IF(D229&gt;35,3,0)))+
            (IF(F229="🔴 نعم",5,0))+
            (IF(ISNUMBER(SEARCH("السمنة",البيانات!Z222)),2,0))+
            (IF(ISNUMBER(SEARCH("السكري",البيانات!AA222)),2,0))+
            (IF(ISNUMBER(SEARCH("ضغط",البيانات!AA222)),2,0)))</f>
        <v>10</v>
      </c>
      <c r="H229" s="167" t="str">
        <f>IF(G229="","",IF(G229&gt;=8,"🔴 حرج",IF(G229&gt;=5,"🟠 عالي",IF(G229&gt;=3,"🟡 متوسط","🟢 منخفض"))))</f>
        <v>🔴 حرج</v>
      </c>
      <c r="I229" s="167" t="str">
        <f>IF(H229="","",IF(H229="🔴 حرج","إحالة فورية",IF(H229="🟠 عالي","إحالة تخصصية",IF(H229="🟡 متوسط","متابعة مكثفة","متابعة روتينية"))))</f>
        <v>إحالة فورية</v>
      </c>
      <c r="J229" s="167" t="str">
        <f>IF(F229="🔴 نعم",IF(البيانات!AE222="Yes","✅ تم العلاج","⚠️ بدون علاج"),"")</f>
        <v>⚠️ بدون علاج</v>
      </c>
      <c r="K229" s="167">
        <f>IF(H229="","",IF(H229="🔴 حرج",1,IF(H229="🟠 عالي",2,IF(H229="🟡 متوسط",3,4))))</f>
        <v>1</v>
      </c>
      <c r="L229" s="167" t="str">
        <f t="shared" si="0"/>
        <v>مستشفى أبو عريش العام</v>
      </c>
    </row>
    <row r="230" spans="1:12">
      <c r="A230" s="167">
        <v>223</v>
      </c>
      <c r="B230" s="167" t="str">
        <f>IF(البيانات!V224="","",البيانات!V224)</f>
        <v>1076270410</v>
      </c>
      <c r="C230" s="167" t="str">
        <f>IF(البيانات!U224="","",البيانات!U224)</f>
        <v>SHAHAD DUHDUH ABDULLAH DUHDUH</v>
      </c>
      <c r="D230" s="167">
        <f>IF(البيانات!T224="","",البيانات!T224)</f>
        <v>33</v>
      </c>
      <c r="E230" s="167" t="str">
        <f>IF(البيانات!F224="","",البيانات!F224)</f>
        <v>Central Sectorالقطاع المركزي</v>
      </c>
      <c r="F230" s="167" t="str">
        <f>IF(البيانات!AD224="Yes","🔴 نعم",IF(البيانات!AD224="No","🟢 لا",""))</f>
        <v>🟢 لا</v>
      </c>
      <c r="G230" s="167">
        <f>IF(B230="","",
            (IF(D230&gt;40,5,IF(D230&gt;35,3,0)))+
            (IF(F230="🔴 نعم",5,0))+
            (IF(ISNUMBER(SEARCH("السمنة",البيانات!Z223)),2,0))+
            (IF(ISNUMBER(SEARCH("السكري",البيانات!AA223)),2,0))+
            (IF(ISNUMBER(SEARCH("ضغط",البيانات!AA223)),2,0)))</f>
        <v>0</v>
      </c>
      <c r="H230" s="167" t="str">
        <f>IF(G230="","",IF(G230&gt;=8,"🔴 حرج",IF(G230&gt;=5,"🟠 عالي",IF(G230&gt;=3,"🟡 متوسط","🟢 منخفض"))))</f>
        <v>🟢 منخفض</v>
      </c>
      <c r="I230" s="167" t="str">
        <f>IF(H230="","",IF(H230="🔴 حرج","إحالة فورية",IF(H230="🟠 عالي","إحالة تخصصية",IF(H230="🟡 متوسط","متابعة مكثفة","متابعة روتينية"))))</f>
        <v>متابعة روتينية</v>
      </c>
      <c r="J230" s="167" t="str">
        <f>IF(F230="🔴 نعم",IF(البيانات!AE223="Yes","✅ تم العلاج","⚠️ بدون علاج"),"")</f>
        <v/>
      </c>
      <c r="K230" s="167">
        <f>IF(H230="","",IF(H230="🔴 حرج",1,IF(H230="🟠 عالي",2,IF(H230="🟡 متوسط",3,4))))</f>
        <v>4</v>
      </c>
      <c r="L230" s="167" t="str">
        <f t="shared" si="0"/>
        <v>متابعة في المركز</v>
      </c>
    </row>
    <row r="231" spans="1:12">
      <c r="A231" s="167">
        <v>224</v>
      </c>
      <c r="B231" s="167" t="str">
        <f>IF(البيانات!V225="","",البيانات!V225)</f>
        <v>1094993407</v>
      </c>
      <c r="C231" s="167" t="str">
        <f>IF(البيانات!U225="","",البيانات!U225)</f>
        <v>ZAHRAH OTHMAN ABDU ABDALI</v>
      </c>
      <c r="D231" s="167">
        <f>IF(البيانات!T225="","",البيانات!T225)</f>
        <v>35</v>
      </c>
      <c r="E231" s="167" t="str">
        <f>IF(البيانات!F225="","",البيانات!F225)</f>
        <v>Central Sectorالقطاع المركزي</v>
      </c>
      <c r="F231" s="167" t="str">
        <f>IF(البيانات!AD225="Yes","🔴 نعم",IF(البيانات!AD225="No","🟢 لا",""))</f>
        <v>🔴 نعم</v>
      </c>
      <c r="G231" s="167">
        <f>IF(B231="","",
            (IF(D231&gt;40,5,IF(D231&gt;35,3,0)))+
            (IF(F231="🔴 نعم",5,0))+
            (IF(ISNUMBER(SEARCH("السمنة",البيانات!Z224)),2,0))+
            (IF(ISNUMBER(SEARCH("السكري",البيانات!AA224)),2,0))+
            (IF(ISNUMBER(SEARCH("ضغط",البيانات!AA224)),2,0)))</f>
        <v>5</v>
      </c>
      <c r="H231" s="167" t="str">
        <f>IF(G231="","",IF(G231&gt;=8,"🔴 حرج",IF(G231&gt;=5,"🟠 عالي",IF(G231&gt;=3,"🟡 متوسط","🟢 منخفض"))))</f>
        <v>🟠 عالي</v>
      </c>
      <c r="I231" s="167" t="str">
        <f>IF(H231="","",IF(H231="🔴 حرج","إحالة فورية",IF(H231="🟠 عالي","إحالة تخصصية",IF(H231="🟡 متوسط","متابعة مكثفة","متابعة روتينية"))))</f>
        <v>إحالة تخصصية</v>
      </c>
      <c r="J231" s="167" t="str">
        <f>IF(F231="🔴 نعم",IF(البيانات!AE224="Yes","✅ تم العلاج","⚠️ بدون علاج"),"")</f>
        <v>⚠️ بدون علاج</v>
      </c>
      <c r="K231" s="167">
        <f>IF(H231="","",IF(H231="🔴 حرج",1,IF(H231="🟠 عالي",2,IF(H231="🟡 متوسط",3,4))))</f>
        <v>2</v>
      </c>
      <c r="L231" s="167" t="str">
        <f t="shared" si="0"/>
        <v>مستشفى جازان العام</v>
      </c>
    </row>
    <row r="232" spans="1:12">
      <c r="A232" s="167">
        <v>225</v>
      </c>
      <c r="B232" s="167" t="str">
        <f>IF(البيانات!V226="","",البيانات!V226)</f>
        <v>1127860573</v>
      </c>
      <c r="C232" s="167" t="str">
        <f>IF(البيانات!U226="","",البيانات!U226)</f>
        <v>SARAH HAMAD EISI NUHI</v>
      </c>
      <c r="D232" s="167">
        <f>IF(البيانات!T226="","",البيانات!T226)</f>
        <v>21</v>
      </c>
      <c r="E232" s="167" t="str">
        <f>IF(البيانات!F226="","",البيانات!F226)</f>
        <v>Central Sectorالقطاع المركزي</v>
      </c>
      <c r="F232" s="167" t="str">
        <f>IF(البيانات!AD226="Yes","🔴 نعم",IF(البيانات!AD226="No","🟢 لا",""))</f>
        <v>🟢 لا</v>
      </c>
      <c r="G232" s="167">
        <f>IF(B232="","",
            (IF(D232&gt;40,5,IF(D232&gt;35,3,0)))+
            (IF(F232="🔴 نعم",5,0))+
            (IF(ISNUMBER(SEARCH("السمنة",البيانات!Z225)),2,0))+
            (IF(ISNUMBER(SEARCH("السكري",البيانات!AA225)),2,0))+
            (IF(ISNUMBER(SEARCH("ضغط",البيانات!AA225)),2,0)))</f>
        <v>0</v>
      </c>
      <c r="H232" s="167" t="str">
        <f>IF(G232="","",IF(G232&gt;=8,"🔴 حرج",IF(G232&gt;=5,"🟠 عالي",IF(G232&gt;=3,"🟡 متوسط","🟢 منخفض"))))</f>
        <v>🟢 منخفض</v>
      </c>
      <c r="I232" s="167" t="str">
        <f>IF(H232="","",IF(H232="🔴 حرج","إحالة فورية",IF(H232="🟠 عالي","إحالة تخصصية",IF(H232="🟡 متوسط","متابعة مكثفة","متابعة روتينية"))))</f>
        <v>متابعة روتينية</v>
      </c>
      <c r="J232" s="167" t="str">
        <f>IF(F232="🔴 نعم",IF(البيانات!AE225="Yes","✅ تم العلاج","⚠️ بدون علاج"),"")</f>
        <v/>
      </c>
      <c r="K232" s="167">
        <f>IF(H232="","",IF(H232="🔴 حرج",1,IF(H232="🟠 عالي",2,IF(H232="🟡 متوسط",3,4))))</f>
        <v>4</v>
      </c>
      <c r="L232" s="167" t="str">
        <f t="shared" ref="L232:L273" si="1">IF(B232="","",IF(I232="متابعة روتينية","متابعة في المركز",IF(OR(ISNUMBER(SEARCH("المركزي",E232)),ISNUMBER(SEARCH("Central",E232))),"مستشفى جازان العام",IF(OR(ISNUMBER(SEARCH("الغربي",E232)),ISNUMBER(SEARCH("Western",E232)),ISNUMBER(SEARCH("الجبلي",E232)),ISNUMBER(SEARCH("jabaly",E232))),"مستشفى صبيا العام",IF(OR(ISNUMBER(SEARCH("الأوسط",E232)),ISNUMBER(SEARCH("الاوسط",E232)),ISNUMBER(SEARCH("Middle",E232)),ISNUMBER(SEARCH("بني مالك",E232))),"مستشفى أبو عريش العام",IF(OR(ISNUMBER(SEARCH("الجنوبي",E232)),ISNUMBER(SEARCH("Southern",E232))),"مستشفى صامطة العام",IF(OR(ISNUMBER(SEARCH("الشمالي",E232)),ISNUMBER(SEARCH("Northern",E232))),"مستشفى بيش العام","غير محدد")))))))</f>
        <v>متابعة في المركز</v>
      </c>
    </row>
    <row r="233" spans="1:12">
      <c r="A233" s="167">
        <v>226</v>
      </c>
      <c r="B233" s="167" t="str">
        <f>IF(البيانات!V227="","",البيانات!V227)</f>
        <v>1084966348</v>
      </c>
      <c r="C233" s="167" t="str">
        <f>IF(البيانات!U227="","",البيانات!U227)</f>
        <v xml:space="preserve">نعمة احمد محمد هروبي </v>
      </c>
      <c r="D233" s="167">
        <f>IF(البيانات!T227="","",البيانات!T227)</f>
        <v>38</v>
      </c>
      <c r="E233" s="167" t="str">
        <f>IF(البيانات!F227="","",البيانات!F227)</f>
        <v>Central Sectorالقطاع المركزي</v>
      </c>
      <c r="F233" s="167" t="str">
        <f>IF(البيانات!AD227="Yes","🔴 نعم",IF(البيانات!AD227="No","🟢 لا",""))</f>
        <v>🟢 لا</v>
      </c>
      <c r="G233" s="167">
        <f>IF(B233="","",
            (IF(D233&gt;40,5,IF(D233&gt;35,3,0)))+
            (IF(F233="🔴 نعم",5,0))+
            (IF(ISNUMBER(SEARCH("السمنة",البيانات!Z226)),2,0))+
            (IF(ISNUMBER(SEARCH("السكري",البيانات!AA226)),2,0))+
            (IF(ISNUMBER(SEARCH("ضغط",البيانات!AA226)),2,0)))</f>
        <v>3</v>
      </c>
      <c r="H233" s="167" t="str">
        <f>IF(G233="","",IF(G233&gt;=8,"🔴 حرج",IF(G233&gt;=5,"🟠 عالي",IF(G233&gt;=3,"🟡 متوسط","🟢 منخفض"))))</f>
        <v>🟡 متوسط</v>
      </c>
      <c r="I233" s="167" t="str">
        <f>IF(H233="","",IF(H233="🔴 حرج","إحالة فورية",IF(H233="🟠 عالي","إحالة تخصصية",IF(H233="🟡 متوسط","متابعة مكثفة","متابعة روتينية"))))</f>
        <v>متابعة مكثفة</v>
      </c>
      <c r="J233" s="167" t="str">
        <f>IF(F233="🔴 نعم",IF(البيانات!AE226="Yes","✅ تم العلاج","⚠️ بدون علاج"),"")</f>
        <v/>
      </c>
      <c r="K233" s="167">
        <f>IF(H233="","",IF(H233="🔴 حرج",1,IF(H233="🟠 عالي",2,IF(H233="🟡 متوسط",3,4))))</f>
        <v>3</v>
      </c>
      <c r="L233" s="167" t="str">
        <f t="shared" si="1"/>
        <v>مستشفى جازان العام</v>
      </c>
    </row>
    <row r="234" spans="1:12">
      <c r="A234" s="167">
        <v>227</v>
      </c>
      <c r="B234" s="167" t="str">
        <f>IF(البيانات!V228="","",البيانات!V228)</f>
        <v>1097084121</v>
      </c>
      <c r="C234" s="167" t="str">
        <f>IF(البيانات!U228="","",البيانات!U228)</f>
        <v xml:space="preserve">ميلاف محمد جميل </v>
      </c>
      <c r="D234" s="167">
        <f>IF(البيانات!T228="","",البيانات!T228)</f>
        <v>28</v>
      </c>
      <c r="E234" s="167" t="str">
        <f>IF(البيانات!F228="","",البيانات!F228)</f>
        <v>Central Sectorالقطاع المركزي</v>
      </c>
      <c r="F234" s="167" t="str">
        <f>IF(البيانات!AD228="Yes","🔴 نعم",IF(البيانات!AD228="No","🟢 لا",""))</f>
        <v>🟢 لا</v>
      </c>
      <c r="G234" s="167">
        <f>IF(B234="","",
            (IF(D234&gt;40,5,IF(D234&gt;35,3,0)))+
            (IF(F234="🔴 نعم",5,0))+
            (IF(ISNUMBER(SEARCH("السمنة",البيانات!Z227)),2,0))+
            (IF(ISNUMBER(SEARCH("السكري",البيانات!AA227)),2,0))+
            (IF(ISNUMBER(SEARCH("ضغط",البيانات!AA227)),2,0)))</f>
        <v>0</v>
      </c>
      <c r="H234" s="167" t="str">
        <f>IF(G234="","",IF(G234&gt;=8,"🔴 حرج",IF(G234&gt;=5,"🟠 عالي",IF(G234&gt;=3,"🟡 متوسط","🟢 منخفض"))))</f>
        <v>🟢 منخفض</v>
      </c>
      <c r="I234" s="167" t="str">
        <f>IF(H234="","",IF(H234="🔴 حرج","إحالة فورية",IF(H234="🟠 عالي","إحالة تخصصية",IF(H234="🟡 متوسط","متابعة مكثفة","متابعة روتينية"))))</f>
        <v>متابعة روتينية</v>
      </c>
      <c r="J234" s="167" t="str">
        <f>IF(F234="🔴 نعم",IF(البيانات!AE227="Yes","✅ تم العلاج","⚠️ بدون علاج"),"")</f>
        <v/>
      </c>
      <c r="K234" s="167">
        <f>IF(H234="","",IF(H234="🔴 حرج",1,IF(H234="🟠 عالي",2,IF(H234="🟡 متوسط",3,4))))</f>
        <v>4</v>
      </c>
      <c r="L234" s="167" t="str">
        <f t="shared" si="1"/>
        <v>متابعة في المركز</v>
      </c>
    </row>
    <row r="235" spans="1:12">
      <c r="A235" s="167">
        <v>228</v>
      </c>
      <c r="B235" s="167" t="str">
        <f>IF(البيانات!V229="","",البيانات!V229)</f>
        <v>2620053716</v>
      </c>
      <c r="C235" s="167" t="str">
        <f>IF(البيانات!U229="","",البيانات!U229)</f>
        <v>حاجة احمد محمد حدادي</v>
      </c>
      <c r="D235" s="167">
        <f>IF(البيانات!T229="","",البيانات!T229)</f>
        <v>30</v>
      </c>
      <c r="E235" s="167" t="str">
        <f>IF(البيانات!F229="","",البيانات!F229)</f>
        <v xml:space="preserve">Southern Sector القطاع الجنوبي				</v>
      </c>
      <c r="F235" s="167" t="str">
        <f>IF(البيانات!AD229="Yes","🔴 نعم",IF(البيانات!AD229="No","🟢 لا",""))</f>
        <v>🟢 لا</v>
      </c>
      <c r="G235" s="167">
        <f>IF(B235="","",
            (IF(D235&gt;40,5,IF(D235&gt;35,3,0)))+
            (IF(F235="🔴 نعم",5,0))+
            (IF(ISNUMBER(SEARCH("السمنة",البيانات!Z228)),2,0))+
            (IF(ISNUMBER(SEARCH("السكري",البيانات!AA228)),2,0))+
            (IF(ISNUMBER(SEARCH("ضغط",البيانات!AA228)),2,0)))</f>
        <v>0</v>
      </c>
      <c r="H235" s="167" t="str">
        <f>IF(G235="","",IF(G235&gt;=8,"🔴 حرج",IF(G235&gt;=5,"🟠 عالي",IF(G235&gt;=3,"🟡 متوسط","🟢 منخفض"))))</f>
        <v>🟢 منخفض</v>
      </c>
      <c r="I235" s="167" t="str">
        <f>IF(H235="","",IF(H235="🔴 حرج","إحالة فورية",IF(H235="🟠 عالي","إحالة تخصصية",IF(H235="🟡 متوسط","متابعة مكثفة","متابعة روتينية"))))</f>
        <v>متابعة روتينية</v>
      </c>
      <c r="J235" s="167" t="str">
        <f>IF(F235="🔴 نعم",IF(البيانات!AE228="Yes","✅ تم العلاج","⚠️ بدون علاج"),"")</f>
        <v/>
      </c>
      <c r="K235" s="167">
        <f>IF(H235="","",IF(H235="🔴 حرج",1,IF(H235="🟠 عالي",2,IF(H235="🟡 متوسط",3,4))))</f>
        <v>4</v>
      </c>
      <c r="L235" s="167" t="str">
        <f t="shared" si="1"/>
        <v>متابعة في المركز</v>
      </c>
    </row>
    <row r="236" spans="1:12">
      <c r="A236" s="167">
        <v>229</v>
      </c>
      <c r="B236" s="167" t="str">
        <f>IF(البيانات!V230="","",البيانات!V230)</f>
        <v>1025204346</v>
      </c>
      <c r="C236" s="167" t="str">
        <f>IF(البيانات!U230="","",البيانات!U230)</f>
        <v xml:space="preserve">تغريد علي سالم ال عبدالله </v>
      </c>
      <c r="D236" s="167">
        <f>IF(البيانات!T230="","",البيانات!T230)</f>
        <v>41</v>
      </c>
      <c r="E236" s="167" t="str">
        <f>IF(البيانات!F230="","",البيانات!F230)</f>
        <v>Central Sectorالقطاع المركزي</v>
      </c>
      <c r="F236" s="167" t="str">
        <f>IF(البيانات!AD230="Yes","🔴 نعم",IF(البيانات!AD230="No","🟢 لا",""))</f>
        <v>🟢 لا</v>
      </c>
      <c r="G236" s="167">
        <f>IF(B236="","",
            (IF(D236&gt;40,5,IF(D236&gt;35,3,0)))+
            (IF(F236="🔴 نعم",5,0))+
            (IF(ISNUMBER(SEARCH("السمنة",البيانات!Z229)),2,0))+
            (IF(ISNUMBER(SEARCH("السكري",البيانات!AA229)),2,0))+
            (IF(ISNUMBER(SEARCH("ضغط",البيانات!AA229)),2,0)))</f>
        <v>5</v>
      </c>
      <c r="H236" s="167" t="str">
        <f>IF(G236="","",IF(G236&gt;=8,"🔴 حرج",IF(G236&gt;=5,"🟠 عالي",IF(G236&gt;=3,"🟡 متوسط","🟢 منخفض"))))</f>
        <v>🟠 عالي</v>
      </c>
      <c r="I236" s="167" t="str">
        <f>IF(H236="","",IF(H236="🔴 حرج","إحالة فورية",IF(H236="🟠 عالي","إحالة تخصصية",IF(H236="🟡 متوسط","متابعة مكثفة","متابعة روتينية"))))</f>
        <v>إحالة تخصصية</v>
      </c>
      <c r="J236" s="167" t="str">
        <f>IF(F236="🔴 نعم",IF(البيانات!AE229="Yes","✅ تم العلاج","⚠️ بدون علاج"),"")</f>
        <v/>
      </c>
      <c r="K236" s="167">
        <f>IF(H236="","",IF(H236="🔴 حرج",1,IF(H236="🟠 عالي",2,IF(H236="🟡 متوسط",3,4))))</f>
        <v>2</v>
      </c>
      <c r="L236" s="167" t="str">
        <f t="shared" si="1"/>
        <v>مستشفى جازان العام</v>
      </c>
    </row>
    <row r="237" spans="1:12">
      <c r="A237" s="167">
        <v>230</v>
      </c>
      <c r="B237" s="167" t="str">
        <f>IF(البيانات!V231="","",البيانات!V231)</f>
        <v>1153311335</v>
      </c>
      <c r="C237" s="167" t="str">
        <f>IF(البيانات!U231="","",البيانات!U231)</f>
        <v xml:space="preserve">fatma ali  masoud  </v>
      </c>
      <c r="D237" s="167">
        <f>IF(البيانات!T231="","",البيانات!T231)</f>
        <v>15</v>
      </c>
      <c r="E237" s="167" t="str">
        <f>IF(البيانات!F231="","",البيانات!F231)</f>
        <v>Northern Sectorالقطاع الشمالي</v>
      </c>
      <c r="F237" s="167" t="str">
        <f>IF(البيانات!AD231="Yes","🔴 نعم",IF(البيانات!AD231="No","🟢 لا",""))</f>
        <v>🔴 نعم</v>
      </c>
      <c r="G237" s="167">
        <f>IF(B237="","",
            (IF(D237&gt;40,5,IF(D237&gt;35,3,0)))+
            (IF(F237="🔴 نعم",5,0))+
            (IF(ISNUMBER(SEARCH("السمنة",البيانات!Z230)),2,0))+
            (IF(ISNUMBER(SEARCH("السكري",البيانات!AA230)),2,0))+
            (IF(ISNUMBER(SEARCH("ضغط",البيانات!AA230)),2,0)))</f>
        <v>5</v>
      </c>
      <c r="H237" s="167" t="str">
        <f>IF(G237="","",IF(G237&gt;=8,"🔴 حرج",IF(G237&gt;=5,"🟠 عالي",IF(G237&gt;=3,"🟡 متوسط","🟢 منخفض"))))</f>
        <v>🟠 عالي</v>
      </c>
      <c r="I237" s="167" t="str">
        <f>IF(H237="","",IF(H237="🔴 حرج","إحالة فورية",IF(H237="🟠 عالي","إحالة تخصصية",IF(H237="🟡 متوسط","متابعة مكثفة","متابعة روتينية"))))</f>
        <v>إحالة تخصصية</v>
      </c>
      <c r="J237" s="167" t="str">
        <f>IF(F237="🔴 نعم",IF(البيانات!AE230="Yes","✅ تم العلاج","⚠️ بدون علاج"),"")</f>
        <v>⚠️ بدون علاج</v>
      </c>
      <c r="K237" s="167">
        <f>IF(H237="","",IF(H237="🔴 حرج",1,IF(H237="🟠 عالي",2,IF(H237="🟡 متوسط",3,4))))</f>
        <v>2</v>
      </c>
      <c r="L237" s="167" t="str">
        <f t="shared" si="1"/>
        <v>مستشفى بيش العام</v>
      </c>
    </row>
    <row r="238" spans="1:12">
      <c r="A238" s="167">
        <v>231</v>
      </c>
      <c r="B238" s="167" t="str">
        <f>IF(البيانات!V232="","",البيانات!V232)</f>
        <v>1082813427</v>
      </c>
      <c r="C238" s="167" t="str">
        <f>IF(البيانات!U232="","",البيانات!U232)</f>
        <v>FATIMAH AHMED ALI GHUNAYMI</v>
      </c>
      <c r="D238" s="167">
        <f>IF(البيانات!T232="","",البيانات!T232)</f>
        <v>32</v>
      </c>
      <c r="E238" s="167" t="str">
        <f>IF(البيانات!F232="","",البيانات!F232)</f>
        <v>Central Sectorالقطاع المركزي</v>
      </c>
      <c r="F238" s="167" t="str">
        <f>IF(البيانات!AD232="Yes","🔴 نعم",IF(البيانات!AD232="No","🟢 لا",""))</f>
        <v>🟢 لا</v>
      </c>
      <c r="G238" s="167">
        <f>IF(B238="","",
            (IF(D238&gt;40,5,IF(D238&gt;35,3,0)))+
            (IF(F238="🔴 نعم",5,0))+
            (IF(ISNUMBER(SEARCH("السمنة",البيانات!Z231)),2,0))+
            (IF(ISNUMBER(SEARCH("السكري",البيانات!AA231)),2,0))+
            (IF(ISNUMBER(SEARCH("ضغط",البيانات!AA231)),2,0)))</f>
        <v>0</v>
      </c>
      <c r="H238" s="167" t="str">
        <f>IF(G238="","",IF(G238&gt;=8,"🔴 حرج",IF(G238&gt;=5,"🟠 عالي",IF(G238&gt;=3,"🟡 متوسط","🟢 منخفض"))))</f>
        <v>🟢 منخفض</v>
      </c>
      <c r="I238" s="167" t="str">
        <f>IF(H238="","",IF(H238="🔴 حرج","إحالة فورية",IF(H238="🟠 عالي","إحالة تخصصية",IF(H238="🟡 متوسط","متابعة مكثفة","متابعة روتينية"))))</f>
        <v>متابعة روتينية</v>
      </c>
      <c r="J238" s="167" t="str">
        <f>IF(F238="🔴 نعم",IF(البيانات!AE231="Yes","✅ تم العلاج","⚠️ بدون علاج"),"")</f>
        <v/>
      </c>
      <c r="K238" s="167">
        <f>IF(H238="","",IF(H238="🔴 حرج",1,IF(H238="🟠 عالي",2,IF(H238="🟡 متوسط",3,4))))</f>
        <v>4</v>
      </c>
      <c r="L238" s="167" t="str">
        <f t="shared" si="1"/>
        <v>متابعة في المركز</v>
      </c>
    </row>
    <row r="239" spans="1:12">
      <c r="A239" s="167">
        <v>232</v>
      </c>
      <c r="B239" s="167" t="str">
        <f>IF(البيانات!V233="","",البيانات!V233)</f>
        <v>1072361312</v>
      </c>
      <c r="C239" s="167" t="str">
        <f>IF(البيانات!U233="","",البيانات!U233)</f>
        <v>ربوعة يزيد حسن دوران</v>
      </c>
      <c r="D239" s="167">
        <f>IF(البيانات!T233="","",البيانات!T233)</f>
        <v>40</v>
      </c>
      <c r="E239" s="167" t="str">
        <f>IF(البيانات!F233="","",البيانات!F233)</f>
        <v>aljabaly sectorالقطاع الجبلي</v>
      </c>
      <c r="F239" s="167" t="str">
        <f>IF(البيانات!AD233="Yes","🔴 نعم",IF(البيانات!AD233="No","🟢 لا",""))</f>
        <v>🟢 لا</v>
      </c>
      <c r="G239" s="167">
        <f>IF(B239="","",
            (IF(D239&gt;40,5,IF(D239&gt;35,3,0)))+
            (IF(F239="🔴 نعم",5,0))+
            (IF(ISNUMBER(SEARCH("السمنة",البيانات!Z232)),2,0))+
            (IF(ISNUMBER(SEARCH("السكري",البيانات!AA232)),2,0))+
            (IF(ISNUMBER(SEARCH("ضغط",البيانات!AA232)),2,0)))</f>
        <v>3</v>
      </c>
      <c r="H239" s="167" t="str">
        <f>IF(G239="","",IF(G239&gt;=8,"🔴 حرج",IF(G239&gt;=5,"🟠 عالي",IF(G239&gt;=3,"🟡 متوسط","🟢 منخفض"))))</f>
        <v>🟡 متوسط</v>
      </c>
      <c r="I239" s="167" t="str">
        <f>IF(H239="","",IF(H239="🔴 حرج","إحالة فورية",IF(H239="🟠 عالي","إحالة تخصصية",IF(H239="🟡 متوسط","متابعة مكثفة","متابعة روتينية"))))</f>
        <v>متابعة مكثفة</v>
      </c>
      <c r="J239" s="167" t="str">
        <f>IF(F239="🔴 نعم",IF(البيانات!AE232="Yes","✅ تم العلاج","⚠️ بدون علاج"),"")</f>
        <v/>
      </c>
      <c r="K239" s="167">
        <f>IF(H239="","",IF(H239="🔴 حرج",1,IF(H239="🟠 عالي",2,IF(H239="🟡 متوسط",3,4))))</f>
        <v>3</v>
      </c>
      <c r="L239" s="167" t="str">
        <f t="shared" si="1"/>
        <v>مستشفى صبيا العام</v>
      </c>
    </row>
    <row r="240" spans="1:12">
      <c r="A240" s="167">
        <v>233</v>
      </c>
      <c r="B240" s="167" t="str">
        <f>IF(البيانات!V234="","",البيانات!V234)</f>
        <v>1098279878</v>
      </c>
      <c r="C240" s="167" t="str">
        <f>IF(البيانات!U234="","",البيانات!U234)</f>
        <v>SAHAR HASSAN Q SHARAHILI</v>
      </c>
      <c r="D240" s="167">
        <f>IF(البيانات!T234="","",البيانات!T234)</f>
        <v>32</v>
      </c>
      <c r="E240" s="167" t="str">
        <f>IF(البيانات!F234="","",البيانات!F234)</f>
        <v>Central Sectorالقطاع المركزي</v>
      </c>
      <c r="F240" s="167" t="str">
        <f>IF(البيانات!AD234="Yes","🔴 نعم",IF(البيانات!AD234="No","🟢 لا",""))</f>
        <v>🟢 لا</v>
      </c>
      <c r="G240" s="167">
        <f>IF(B240="","",
            (IF(D240&gt;40,5,IF(D240&gt;35,3,0)))+
            (IF(F240="🔴 نعم",5,0))+
            (IF(ISNUMBER(SEARCH("السمنة",البيانات!Z233)),2,0))+
            (IF(ISNUMBER(SEARCH("السكري",البيانات!AA233)),2,0))+
            (IF(ISNUMBER(SEARCH("ضغط",البيانات!AA233)),2,0)))</f>
        <v>0</v>
      </c>
      <c r="H240" s="167" t="str">
        <f>IF(G240="","",IF(G240&gt;=8,"🔴 حرج",IF(G240&gt;=5,"🟠 عالي",IF(G240&gt;=3,"🟡 متوسط","🟢 منخفض"))))</f>
        <v>🟢 منخفض</v>
      </c>
      <c r="I240" s="167" t="str">
        <f>IF(H240="","",IF(H240="🔴 حرج","إحالة فورية",IF(H240="🟠 عالي","إحالة تخصصية",IF(H240="🟡 متوسط","متابعة مكثفة","متابعة روتينية"))))</f>
        <v>متابعة روتينية</v>
      </c>
      <c r="J240" s="167" t="str">
        <f>IF(F240="🔴 نعم",IF(البيانات!AE233="Yes","✅ تم العلاج","⚠️ بدون علاج"),"")</f>
        <v/>
      </c>
      <c r="K240" s="167">
        <f>IF(H240="","",IF(H240="🔴 حرج",1,IF(H240="🟠 عالي",2,IF(H240="🟡 متوسط",3,4))))</f>
        <v>4</v>
      </c>
      <c r="L240" s="167" t="str">
        <f t="shared" si="1"/>
        <v>متابعة في المركز</v>
      </c>
    </row>
    <row r="241" spans="1:12">
      <c r="A241" s="167">
        <v>234</v>
      </c>
      <c r="B241" s="167" t="str">
        <f>IF(البيانات!V235="","",البيانات!V235)</f>
        <v>1108810936</v>
      </c>
      <c r="C241" s="167" t="str">
        <f>IF(البيانات!U235="","",البيانات!U235)</f>
        <v>HAJAR ABDU MOHSEN HARBAN</v>
      </c>
      <c r="D241" s="167">
        <f>IF(البيانات!T235="","",البيانات!T235)</f>
        <v>31</v>
      </c>
      <c r="E241" s="167" t="str">
        <f>IF(البيانات!F235="","",البيانات!F235)</f>
        <v>Central Sectorالقطاع المركزي</v>
      </c>
      <c r="F241" s="167" t="str">
        <f>IF(البيانات!AD235="Yes","🔴 نعم",IF(البيانات!AD235="No","🟢 لا",""))</f>
        <v>🟢 لا</v>
      </c>
      <c r="G241" s="167">
        <f>IF(B241="","",
            (IF(D241&gt;40,5,IF(D241&gt;35,3,0)))+
            (IF(F241="🔴 نعم",5,0))+
            (IF(ISNUMBER(SEARCH("السمنة",البيانات!Z234)),2,0))+
            (IF(ISNUMBER(SEARCH("السكري",البيانات!AA234)),2,0))+
            (IF(ISNUMBER(SEARCH("ضغط",البيانات!AA234)),2,0)))</f>
        <v>0</v>
      </c>
      <c r="H241" s="167" t="str">
        <f>IF(G241="","",IF(G241&gt;=8,"🔴 حرج",IF(G241&gt;=5,"🟠 عالي",IF(G241&gt;=3,"🟡 متوسط","🟢 منخفض"))))</f>
        <v>🟢 منخفض</v>
      </c>
      <c r="I241" s="167" t="str">
        <f>IF(H241="","",IF(H241="🔴 حرج","إحالة فورية",IF(H241="🟠 عالي","إحالة تخصصية",IF(H241="🟡 متوسط","متابعة مكثفة","متابعة روتينية"))))</f>
        <v>متابعة روتينية</v>
      </c>
      <c r="J241" s="167" t="str">
        <f>IF(F241="🔴 نعم",IF(البيانات!AE234="Yes","✅ تم العلاج","⚠️ بدون علاج"),"")</f>
        <v/>
      </c>
      <c r="K241" s="167">
        <f>IF(H241="","",IF(H241="🔴 حرج",1,IF(H241="🟠 عالي",2,IF(H241="🟡 متوسط",3,4))))</f>
        <v>4</v>
      </c>
      <c r="L241" s="167" t="str">
        <f t="shared" si="1"/>
        <v>متابعة في المركز</v>
      </c>
    </row>
    <row r="242" spans="1:12">
      <c r="A242" s="167">
        <v>235</v>
      </c>
      <c r="B242" s="167" t="str">
        <f>IF(البيانات!V236="","",البيانات!V236)</f>
        <v>1111453955</v>
      </c>
      <c r="C242" s="167" t="str">
        <f>IF(البيانات!U236="","",البيانات!U236)</f>
        <v>SHAHAD NASSER MOHAMMED JABRIL</v>
      </c>
      <c r="D242" s="167">
        <f>IF(البيانات!T236="","",البيانات!T236)</f>
        <v>25</v>
      </c>
      <c r="E242" s="167" t="str">
        <f>IF(البيانات!F236="","",البيانات!F236)</f>
        <v>Central Sectorالقطاع المركزي</v>
      </c>
      <c r="F242" s="167" t="str">
        <f>IF(البيانات!AD236="Yes","🔴 نعم",IF(البيانات!AD236="No","🟢 لا",""))</f>
        <v>🟢 لا</v>
      </c>
      <c r="G242" s="167">
        <f>IF(B242="","",
            (IF(D242&gt;40,5,IF(D242&gt;35,3,0)))+
            (IF(F242="🔴 نعم",5,0))+
            (IF(ISNUMBER(SEARCH("السمنة",البيانات!Z235)),2,0))+
            (IF(ISNUMBER(SEARCH("السكري",البيانات!AA235)),2,0))+
            (IF(ISNUMBER(SEARCH("ضغط",البيانات!AA235)),2,0)))</f>
        <v>0</v>
      </c>
      <c r="H242" s="167" t="str">
        <f>IF(G242="","",IF(G242&gt;=8,"🔴 حرج",IF(G242&gt;=5,"🟠 عالي",IF(G242&gt;=3,"🟡 متوسط","🟢 منخفض"))))</f>
        <v>🟢 منخفض</v>
      </c>
      <c r="I242" s="167" t="str">
        <f>IF(H242="","",IF(H242="🔴 حرج","إحالة فورية",IF(H242="🟠 عالي","إحالة تخصصية",IF(H242="🟡 متوسط","متابعة مكثفة","متابعة روتينية"))))</f>
        <v>متابعة روتينية</v>
      </c>
      <c r="J242" s="167" t="str">
        <f>IF(F242="🔴 نعم",IF(البيانات!AE235="Yes","✅ تم العلاج","⚠️ بدون علاج"),"")</f>
        <v/>
      </c>
      <c r="K242" s="167">
        <f>IF(H242="","",IF(H242="🔴 حرج",1,IF(H242="🟠 عالي",2,IF(H242="🟡 متوسط",3,4))))</f>
        <v>4</v>
      </c>
      <c r="L242" s="167" t="str">
        <f t="shared" si="1"/>
        <v>متابعة في المركز</v>
      </c>
    </row>
    <row r="243" spans="1:12">
      <c r="A243" s="167">
        <v>236</v>
      </c>
      <c r="B243" s="167">
        <f>IF(البيانات!V237="","",البيانات!V237)</f>
        <v>1123199612</v>
      </c>
      <c r="C243" s="167" t="str">
        <f>IF(البيانات!U237="","",البيانات!U237)</f>
        <v>SALHA JABBAR  ALI</v>
      </c>
      <c r="D243" s="167">
        <f>IF(البيانات!T237="","",البيانات!T237)</f>
        <v>29</v>
      </c>
      <c r="E243" s="167" t="str">
        <f>IF(البيانات!F237="","",البيانات!F237)</f>
        <v>Northern Sectorالقطاع الشمالي</v>
      </c>
      <c r="F243" s="167" t="str">
        <f>IF(البيانات!AD237="Yes","🔴 نعم",IF(البيانات!AD237="No","🟢 لا",""))</f>
        <v>🟢 لا</v>
      </c>
      <c r="G243" s="167">
        <f>IF(B243="","",
            (IF(D243&gt;40,5,IF(D243&gt;35,3,0)))+
            (IF(F243="🔴 نعم",5,0))+
            (IF(ISNUMBER(SEARCH("السمنة",البيانات!Z236)),2,0))+
            (IF(ISNUMBER(SEARCH("السكري",البيانات!AA236)),2,0))+
            (IF(ISNUMBER(SEARCH("ضغط",البيانات!AA236)),2,0)))</f>
        <v>0</v>
      </c>
      <c r="H243" s="167" t="str">
        <f>IF(G243="","",IF(G243&gt;=8,"🔴 حرج",IF(G243&gt;=5,"🟠 عالي",IF(G243&gt;=3,"🟡 متوسط","🟢 منخفض"))))</f>
        <v>🟢 منخفض</v>
      </c>
      <c r="I243" s="167" t="str">
        <f>IF(H243="","",IF(H243="🔴 حرج","إحالة فورية",IF(H243="🟠 عالي","إحالة تخصصية",IF(H243="🟡 متوسط","متابعة مكثفة","متابعة روتينية"))))</f>
        <v>متابعة روتينية</v>
      </c>
      <c r="J243" s="167" t="str">
        <f>IF(F243="🔴 نعم",IF(البيانات!AE236="Yes","✅ تم العلاج","⚠️ بدون علاج"),"")</f>
        <v/>
      </c>
      <c r="K243" s="167">
        <f>IF(H243="","",IF(H243="🔴 حرج",1,IF(H243="🟠 عالي",2,IF(H243="🟡 متوسط",3,4))))</f>
        <v>4</v>
      </c>
      <c r="L243" s="167" t="str">
        <f t="shared" si="1"/>
        <v>متابعة في المركز</v>
      </c>
    </row>
    <row r="244" spans="1:12">
      <c r="A244" s="167">
        <v>237</v>
      </c>
      <c r="B244" s="167" t="str">
        <f>IF(البيانات!V238="","",البيانات!V238)</f>
        <v>1089023319</v>
      </c>
      <c r="C244" s="167" t="str">
        <f>IF(البيانات!U238="","",البيانات!U238)</f>
        <v>SALIHAH JABER QASEM GHAZWANI</v>
      </c>
      <c r="D244" s="167">
        <f>IF(البيانات!T238="","",البيانات!T238)</f>
        <v>34</v>
      </c>
      <c r="E244" s="167" t="str">
        <f>IF(البيانات!F238="","",البيانات!F238)</f>
        <v>aljabaly sectorالقطاع الجبلي</v>
      </c>
      <c r="F244" s="167" t="str">
        <f>IF(البيانات!AD238="Yes","🔴 نعم",IF(البيانات!AD238="No","🟢 لا",""))</f>
        <v>🟢 لا</v>
      </c>
      <c r="G244" s="167">
        <f>IF(B244="","",
            (IF(D244&gt;40,5,IF(D244&gt;35,3,0)))+
            (IF(F244="🔴 نعم",5,0))+
            (IF(ISNUMBER(SEARCH("السمنة",البيانات!Z237)),2,0))+
            (IF(ISNUMBER(SEARCH("السكري",البيانات!AA237)),2,0))+
            (IF(ISNUMBER(SEARCH("ضغط",البيانات!AA237)),2,0)))</f>
        <v>0</v>
      </c>
      <c r="H244" s="167" t="str">
        <f>IF(G244="","",IF(G244&gt;=8,"🔴 حرج",IF(G244&gt;=5,"🟠 عالي",IF(G244&gt;=3,"🟡 متوسط","🟢 منخفض"))))</f>
        <v>🟢 منخفض</v>
      </c>
      <c r="I244" s="167" t="str">
        <f>IF(H244="","",IF(H244="🔴 حرج","إحالة فورية",IF(H244="🟠 عالي","إحالة تخصصية",IF(H244="🟡 متوسط","متابعة مكثفة","متابعة روتينية"))))</f>
        <v>متابعة روتينية</v>
      </c>
      <c r="J244" s="167" t="str">
        <f>IF(F244="🔴 نعم",IF(البيانات!AE237="Yes","✅ تم العلاج","⚠️ بدون علاج"),"")</f>
        <v/>
      </c>
      <c r="K244" s="167">
        <f>IF(H244="","",IF(H244="🔴 حرج",1,IF(H244="🟠 عالي",2,IF(H244="🟡 متوسط",3,4))))</f>
        <v>4</v>
      </c>
      <c r="L244" s="167" t="str">
        <f t="shared" si="1"/>
        <v>متابعة في المركز</v>
      </c>
    </row>
    <row r="245" spans="1:12">
      <c r="A245" s="167">
        <v>238</v>
      </c>
      <c r="B245" s="167" t="str">
        <f>IF(البيانات!V239="","",البيانات!V239)</f>
        <v>1079159784</v>
      </c>
      <c r="C245" s="167" t="str">
        <f>IF(البيانات!U239="","",البيانات!U239)</f>
        <v>تغريد أحمد فتحي جريبي</v>
      </c>
      <c r="D245" s="167">
        <f>IF(البيانات!T239="","",البيانات!T239)</f>
        <v>37</v>
      </c>
      <c r="E245" s="167" t="str">
        <f>IF(البيانات!F239="","",البيانات!F239)</f>
        <v>Central Sectorالقطاع المركزي</v>
      </c>
      <c r="F245" s="167" t="str">
        <f>IF(البيانات!AD239="Yes","🔴 نعم",IF(البيانات!AD239="No","🟢 لا",""))</f>
        <v>🟢 لا</v>
      </c>
      <c r="G245" s="167">
        <f>IF(B245="","",
            (IF(D245&gt;40,5,IF(D245&gt;35,3,0)))+
            (IF(F245="🔴 نعم",5,0))+
            (IF(ISNUMBER(SEARCH("السمنة",البيانات!Z238)),2,0))+
            (IF(ISNUMBER(SEARCH("السكري",البيانات!AA238)),2,0))+
            (IF(ISNUMBER(SEARCH("ضغط",البيانات!AA238)),2,0)))</f>
        <v>3</v>
      </c>
      <c r="H245" s="167" t="str">
        <f>IF(G245="","",IF(G245&gt;=8,"🔴 حرج",IF(G245&gt;=5,"🟠 عالي",IF(G245&gt;=3,"🟡 متوسط","🟢 منخفض"))))</f>
        <v>🟡 متوسط</v>
      </c>
      <c r="I245" s="167" t="str">
        <f>IF(H245="","",IF(H245="🔴 حرج","إحالة فورية",IF(H245="🟠 عالي","إحالة تخصصية",IF(H245="🟡 متوسط","متابعة مكثفة","متابعة روتينية"))))</f>
        <v>متابعة مكثفة</v>
      </c>
      <c r="J245" s="167" t="str">
        <f>IF(F245="🔴 نعم",IF(البيانات!AE238="Yes","✅ تم العلاج","⚠️ بدون علاج"),"")</f>
        <v/>
      </c>
      <c r="K245" s="167">
        <f>IF(H245="","",IF(H245="🔴 حرج",1,IF(H245="🟠 عالي",2,IF(H245="🟡 متوسط",3,4))))</f>
        <v>3</v>
      </c>
      <c r="L245" s="167" t="str">
        <f t="shared" si="1"/>
        <v>مستشفى جازان العام</v>
      </c>
    </row>
    <row r="246" spans="1:12">
      <c r="A246" s="167">
        <v>239</v>
      </c>
      <c r="B246" s="167" t="str">
        <f>IF(البيانات!V240="","",البيانات!V240)</f>
        <v>1076725777</v>
      </c>
      <c r="C246" s="167" t="str">
        <f>IF(البيانات!U240="","",البيانات!U240)</f>
        <v>Huda hussein najmi</v>
      </c>
      <c r="D246" s="167">
        <f>IF(البيانات!T240="","",البيانات!T240)</f>
        <v>33</v>
      </c>
      <c r="E246" s="167" t="str">
        <f>IF(البيانات!F240="","",البيانات!F240)</f>
        <v xml:space="preserve">Southern Sector القطاع الجنوبي				</v>
      </c>
      <c r="F246" s="167" t="str">
        <f>IF(البيانات!AD240="Yes","🔴 نعم",IF(البيانات!AD240="No","🟢 لا",""))</f>
        <v>🟢 لا</v>
      </c>
      <c r="G246" s="167">
        <f>IF(B246="","",
            (IF(D246&gt;40,5,IF(D246&gt;35,3,0)))+
            (IF(F246="🔴 نعم",5,0))+
            (IF(ISNUMBER(SEARCH("السمنة",البيانات!Z239)),2,0))+
            (IF(ISNUMBER(SEARCH("السكري",البيانات!AA239)),2,0))+
            (IF(ISNUMBER(SEARCH("ضغط",البيانات!AA239)),2,0)))</f>
        <v>0</v>
      </c>
      <c r="H246" s="167" t="str">
        <f>IF(G246="","",IF(G246&gt;=8,"🔴 حرج",IF(G246&gt;=5,"🟠 عالي",IF(G246&gt;=3,"🟡 متوسط","🟢 منخفض"))))</f>
        <v>🟢 منخفض</v>
      </c>
      <c r="I246" s="167" t="str">
        <f>IF(H246="","",IF(H246="🔴 حرج","إحالة فورية",IF(H246="🟠 عالي","إحالة تخصصية",IF(H246="🟡 متوسط","متابعة مكثفة","متابعة روتينية"))))</f>
        <v>متابعة روتينية</v>
      </c>
      <c r="J246" s="167" t="str">
        <f>IF(F246="🔴 نعم",IF(البيانات!AE239="Yes","✅ تم العلاج","⚠️ بدون علاج"),"")</f>
        <v/>
      </c>
      <c r="K246" s="167">
        <f>IF(H246="","",IF(H246="🔴 حرج",1,IF(H246="🟠 عالي",2,IF(H246="🟡 متوسط",3,4))))</f>
        <v>4</v>
      </c>
      <c r="L246" s="167" t="str">
        <f t="shared" si="1"/>
        <v>متابعة في المركز</v>
      </c>
    </row>
    <row r="247" spans="1:12">
      <c r="A247" s="167">
        <v>240</v>
      </c>
      <c r="B247" s="167" t="str">
        <f>IF(البيانات!V241="","",البيانات!V241)</f>
        <v>1060023981</v>
      </c>
      <c r="C247" s="167" t="str">
        <f>IF(البيانات!U241="","",البيانات!U241)</f>
        <v xml:space="preserve">MITIBA  FAYE MOHAMMED </v>
      </c>
      <c r="D247" s="167">
        <f>IF(البيانات!T241="","",البيانات!T241)</f>
        <v>39</v>
      </c>
      <c r="E247" s="167" t="str">
        <f>IF(البيانات!F241="","",البيانات!F241)</f>
        <v>Northern Sectorالقطاع الشمالي</v>
      </c>
      <c r="F247" s="167" t="str">
        <f>IF(البيانات!AD241="Yes","🔴 نعم",IF(البيانات!AD241="No","🟢 لا",""))</f>
        <v>🟢 لا</v>
      </c>
      <c r="G247" s="167">
        <f>IF(B247="","",
            (IF(D247&gt;40,5,IF(D247&gt;35,3,0)))+
            (IF(F247="🔴 نعم",5,0))+
            (IF(ISNUMBER(SEARCH("السمنة",البيانات!Z240)),2,0))+
            (IF(ISNUMBER(SEARCH("السكري",البيانات!AA240)),2,0))+
            (IF(ISNUMBER(SEARCH("ضغط",البيانات!AA240)),2,0)))</f>
        <v>3</v>
      </c>
      <c r="H247" s="167" t="str">
        <f>IF(G247="","",IF(G247&gt;=8,"🔴 حرج",IF(G247&gt;=5,"🟠 عالي",IF(G247&gt;=3,"🟡 متوسط","🟢 منخفض"))))</f>
        <v>🟡 متوسط</v>
      </c>
      <c r="I247" s="167" t="str">
        <f>IF(H247="","",IF(H247="🔴 حرج","إحالة فورية",IF(H247="🟠 عالي","إحالة تخصصية",IF(H247="🟡 متوسط","متابعة مكثفة","متابعة روتينية"))))</f>
        <v>متابعة مكثفة</v>
      </c>
      <c r="J247" s="167" t="str">
        <f>IF(F247="🔴 نعم",IF(البيانات!AE240="Yes","✅ تم العلاج","⚠️ بدون علاج"),"")</f>
        <v/>
      </c>
      <c r="K247" s="167">
        <f>IF(H247="","",IF(H247="🔴 حرج",1,IF(H247="🟠 عالي",2,IF(H247="🟡 متوسط",3,4))))</f>
        <v>3</v>
      </c>
      <c r="L247" s="167" t="str">
        <f t="shared" si="1"/>
        <v>مستشفى بيش العام</v>
      </c>
    </row>
    <row r="248" spans="1:12">
      <c r="A248" s="167">
        <v>241</v>
      </c>
      <c r="B248" s="167" t="str">
        <f>IF(البيانات!V242="","",البيانات!V242)</f>
        <v>1103378632</v>
      </c>
      <c r="C248" s="167" t="str">
        <f>IF(البيانات!U242="","",البيانات!U242)</f>
        <v>اسماء احمد الشهري</v>
      </c>
      <c r="D248" s="167">
        <f>IF(البيانات!T242="","",البيانات!T242)</f>
        <v>26</v>
      </c>
      <c r="E248" s="167" t="str">
        <f>IF(البيانات!F242="","",البيانات!F242)</f>
        <v>Central Sectorالقطاع المركزي</v>
      </c>
      <c r="F248" s="167" t="str">
        <f>IF(البيانات!AD242="Yes","🔴 نعم",IF(البيانات!AD242="No","🟢 لا",""))</f>
        <v>🟢 لا</v>
      </c>
      <c r="G248" s="167">
        <f>IF(B248="","",
            (IF(D248&gt;40,5,IF(D248&gt;35,3,0)))+
            (IF(F248="🔴 نعم",5,0))+
            (IF(ISNUMBER(SEARCH("السمنة",البيانات!Z241)),2,0))+
            (IF(ISNUMBER(SEARCH("السكري",البيانات!AA241)),2,0))+
            (IF(ISNUMBER(SEARCH("ضغط",البيانات!AA241)),2,0)))</f>
        <v>0</v>
      </c>
      <c r="H248" s="167" t="str">
        <f>IF(G248="","",IF(G248&gt;=8,"🔴 حرج",IF(G248&gt;=5,"🟠 عالي",IF(G248&gt;=3,"🟡 متوسط","🟢 منخفض"))))</f>
        <v>🟢 منخفض</v>
      </c>
      <c r="I248" s="167" t="str">
        <f>IF(H248="","",IF(H248="🔴 حرج","إحالة فورية",IF(H248="🟠 عالي","إحالة تخصصية",IF(H248="🟡 متوسط","متابعة مكثفة","متابعة روتينية"))))</f>
        <v>متابعة روتينية</v>
      </c>
      <c r="J248" s="167" t="str">
        <f>IF(F248="🔴 نعم",IF(البيانات!AE241="Yes","✅ تم العلاج","⚠️ بدون علاج"),"")</f>
        <v/>
      </c>
      <c r="K248" s="167">
        <f>IF(H248="","",IF(H248="🔴 حرج",1,IF(H248="🟠 عالي",2,IF(H248="🟡 متوسط",3,4))))</f>
        <v>4</v>
      </c>
      <c r="L248" s="167" t="str">
        <f t="shared" si="1"/>
        <v>متابعة في المركز</v>
      </c>
    </row>
    <row r="249" spans="1:12">
      <c r="A249" s="167">
        <v>242</v>
      </c>
      <c r="B249" s="167" t="str">
        <f>IF(البيانات!V243="","",البيانات!V243)</f>
        <v>1068070133</v>
      </c>
      <c r="C249" s="167" t="str">
        <f>IF(البيانات!U243="","",البيانات!U243)</f>
        <v>معالي علي شعبي</v>
      </c>
      <c r="D249" s="167">
        <f>IF(البيانات!T243="","",البيانات!T243)</f>
        <v>37</v>
      </c>
      <c r="E249" s="167" t="str">
        <f>IF(البيانات!F243="","",البيانات!F243)</f>
        <v xml:space="preserve">Southern Sector القطاع الجنوبي				</v>
      </c>
      <c r="F249" s="167" t="str">
        <f>IF(البيانات!AD243="Yes","🔴 نعم",IF(البيانات!AD243="No","🟢 لا",""))</f>
        <v>🔴 نعم</v>
      </c>
      <c r="G249" s="167">
        <f>IF(B249="","",
            (IF(D249&gt;40,5,IF(D249&gt;35,3,0)))+
            (IF(F249="🔴 نعم",5,0))+
            (IF(ISNUMBER(SEARCH("السمنة",البيانات!Z242)),2,0))+
            (IF(ISNUMBER(SEARCH("السكري",البيانات!AA242)),2,0))+
            (IF(ISNUMBER(SEARCH("ضغط",البيانات!AA242)),2,0)))</f>
        <v>8</v>
      </c>
      <c r="H249" s="167" t="str">
        <f>IF(G249="","",IF(G249&gt;=8,"🔴 حرج",IF(G249&gt;=5,"🟠 عالي",IF(G249&gt;=3,"🟡 متوسط","🟢 منخفض"))))</f>
        <v>🔴 حرج</v>
      </c>
      <c r="I249" s="167" t="str">
        <f>IF(H249="","",IF(H249="🔴 حرج","إحالة فورية",IF(H249="🟠 عالي","إحالة تخصصية",IF(H249="🟡 متوسط","متابعة مكثفة","متابعة روتينية"))))</f>
        <v>إحالة فورية</v>
      </c>
      <c r="J249" s="167" t="str">
        <f>IF(F249="🔴 نعم",IF(البيانات!AE242="Yes","✅ تم العلاج","⚠️ بدون علاج"),"")</f>
        <v>⚠️ بدون علاج</v>
      </c>
      <c r="K249" s="167">
        <f>IF(H249="","",IF(H249="🔴 حرج",1,IF(H249="🟠 عالي",2,IF(H249="🟡 متوسط",3,4))))</f>
        <v>1</v>
      </c>
      <c r="L249" s="167" t="str">
        <f t="shared" si="1"/>
        <v>مستشفى صامطة العام</v>
      </c>
    </row>
    <row r="250" spans="1:12">
      <c r="A250" s="167">
        <v>243</v>
      </c>
      <c r="B250" s="167" t="str">
        <f>IF(البيانات!V244="","",البيانات!V244)</f>
        <v>1109735785</v>
      </c>
      <c r="C250" s="167" t="str">
        <f>IF(البيانات!U244="","",البيانات!U244)</f>
        <v>رجاء عبدالله محمد ربيع</v>
      </c>
      <c r="D250" s="167">
        <f>IF(البيانات!T244="","",البيانات!T244)</f>
        <v>41</v>
      </c>
      <c r="E250" s="167" t="str">
        <f>IF(البيانات!F244="","",البيانات!F244)</f>
        <v xml:space="preserve">Southern Sector القطاع الجنوبي				</v>
      </c>
      <c r="F250" s="167" t="str">
        <f>IF(البيانات!AD244="Yes","🔴 نعم",IF(البيانات!AD244="No","🟢 لا",""))</f>
        <v>🔴 نعم</v>
      </c>
      <c r="G250" s="167">
        <f>IF(B250="","",
            (IF(D250&gt;40,5,IF(D250&gt;35,3,0)))+
            (IF(F250="🔴 نعم",5,0))+
            (IF(ISNUMBER(SEARCH("السمنة",البيانات!Z243)),2,0))+
            (IF(ISNUMBER(SEARCH("السكري",البيانات!AA243)),2,0))+
            (IF(ISNUMBER(SEARCH("ضغط",البيانات!AA243)),2,0)))</f>
        <v>10</v>
      </c>
      <c r="H250" s="167" t="str">
        <f>IF(G250="","",IF(G250&gt;=8,"🔴 حرج",IF(G250&gt;=5,"🟠 عالي",IF(G250&gt;=3,"🟡 متوسط","🟢 منخفض"))))</f>
        <v>🔴 حرج</v>
      </c>
      <c r="I250" s="167" t="str">
        <f>IF(H250="","",IF(H250="🔴 حرج","إحالة فورية",IF(H250="🟠 عالي","إحالة تخصصية",IF(H250="🟡 متوسط","متابعة مكثفة","متابعة روتينية"))))</f>
        <v>إحالة فورية</v>
      </c>
      <c r="J250" s="167" t="str">
        <f>IF(F250="🔴 نعم",IF(البيانات!AE243="Yes","✅ تم العلاج","⚠️ بدون علاج"),"")</f>
        <v>⚠️ بدون علاج</v>
      </c>
      <c r="K250" s="167">
        <f>IF(H250="","",IF(H250="🔴 حرج",1,IF(H250="🟠 عالي",2,IF(H250="🟡 متوسط",3,4))))</f>
        <v>1</v>
      </c>
      <c r="L250" s="167" t="str">
        <f t="shared" si="1"/>
        <v>مستشفى صامطة العام</v>
      </c>
    </row>
    <row r="251" spans="1:12">
      <c r="A251" s="167">
        <v>244</v>
      </c>
      <c r="B251" s="167" t="str">
        <f>IF(البيانات!V245="","",البيانات!V245)</f>
        <v>1099762732</v>
      </c>
      <c r="C251" s="167" t="str">
        <f>IF(البيانات!U245="","",البيانات!U245)</f>
        <v>سراب علي يحي</v>
      </c>
      <c r="D251" s="167">
        <f>IF(البيانات!T245="","",البيانات!T245)</f>
        <v>36</v>
      </c>
      <c r="E251" s="167" t="str">
        <f>IF(البيانات!F245="","",البيانات!F245)</f>
        <v>Central Sectorالقطاع المركزي</v>
      </c>
      <c r="F251" s="167" t="str">
        <f>IF(البيانات!AD245="Yes","🔴 نعم",IF(البيانات!AD245="No","🟢 لا",""))</f>
        <v>🟢 لا</v>
      </c>
      <c r="G251" s="167">
        <f>IF(B251="","",
            (IF(D251&gt;40,5,IF(D251&gt;35,3,0)))+
            (IF(F251="🔴 نعم",5,0))+
            (IF(ISNUMBER(SEARCH("السمنة",البيانات!Z244)),2,0))+
            (IF(ISNUMBER(SEARCH("السكري",البيانات!AA244)),2,0))+
            (IF(ISNUMBER(SEARCH("ضغط",البيانات!AA244)),2,0)))</f>
        <v>3</v>
      </c>
      <c r="H251" s="167" t="str">
        <f>IF(G251="","",IF(G251&gt;=8,"🔴 حرج",IF(G251&gt;=5,"🟠 عالي",IF(G251&gt;=3,"🟡 متوسط","🟢 منخفض"))))</f>
        <v>🟡 متوسط</v>
      </c>
      <c r="I251" s="167" t="str">
        <f>IF(H251="","",IF(H251="🔴 حرج","إحالة فورية",IF(H251="🟠 عالي","إحالة تخصصية",IF(H251="🟡 متوسط","متابعة مكثفة","متابعة روتينية"))))</f>
        <v>متابعة مكثفة</v>
      </c>
      <c r="J251" s="167" t="str">
        <f>IF(F251="🔴 نعم",IF(البيانات!AE244="Yes","✅ تم العلاج","⚠️ بدون علاج"),"")</f>
        <v/>
      </c>
      <c r="K251" s="167">
        <f>IF(H251="","",IF(H251="🔴 حرج",1,IF(H251="🟠 عالي",2,IF(H251="🟡 متوسط",3,4))))</f>
        <v>3</v>
      </c>
      <c r="L251" s="167" t="str">
        <f t="shared" si="1"/>
        <v>مستشفى جازان العام</v>
      </c>
    </row>
    <row r="252" spans="1:12">
      <c r="A252" s="167">
        <v>245</v>
      </c>
      <c r="B252" s="167" t="str">
        <f>IF(البيانات!V246="","",البيانات!V246)</f>
        <v>1071841736</v>
      </c>
      <c r="C252" s="167" t="str">
        <f>IF(البيانات!U246="","",البيانات!U246)</f>
        <v>الهنوف احمد</v>
      </c>
      <c r="D252" s="167">
        <f>IF(البيانات!T246="","",البيانات!T246)</f>
        <v>35</v>
      </c>
      <c r="E252" s="167" t="str">
        <f>IF(البيانات!F246="","",البيانات!F246)</f>
        <v>Central Sectorالقطاع المركزي</v>
      </c>
      <c r="F252" s="167" t="str">
        <f>IF(البيانات!AD246="Yes","🔴 نعم",IF(البيانات!AD246="No","🟢 لا",""))</f>
        <v>🟢 لا</v>
      </c>
      <c r="G252" s="167">
        <f>IF(B252="","",
            (IF(D252&gt;40,5,IF(D252&gt;35,3,0)))+
            (IF(F252="🔴 نعم",5,0))+
            (IF(ISNUMBER(SEARCH("السمنة",البيانات!Z245)),2,0))+
            (IF(ISNUMBER(SEARCH("السكري",البيانات!AA245)),2,0))+
            (IF(ISNUMBER(SEARCH("ضغط",البيانات!AA245)),2,0)))</f>
        <v>0</v>
      </c>
      <c r="H252" s="167" t="str">
        <f>IF(G252="","",IF(G252&gt;=8,"🔴 حرج",IF(G252&gt;=5,"🟠 عالي",IF(G252&gt;=3,"🟡 متوسط","🟢 منخفض"))))</f>
        <v>🟢 منخفض</v>
      </c>
      <c r="I252" s="167" t="str">
        <f>IF(H252="","",IF(H252="🔴 حرج","إحالة فورية",IF(H252="🟠 عالي","إحالة تخصصية",IF(H252="🟡 متوسط","متابعة مكثفة","متابعة روتينية"))))</f>
        <v>متابعة روتينية</v>
      </c>
      <c r="J252" s="167" t="str">
        <f>IF(F252="🔴 نعم",IF(البيانات!AE245="Yes","✅ تم العلاج","⚠️ بدون علاج"),"")</f>
        <v/>
      </c>
      <c r="K252" s="167">
        <f>IF(H252="","",IF(H252="🔴 حرج",1,IF(H252="🟠 عالي",2,IF(H252="🟡 متوسط",3,4))))</f>
        <v>4</v>
      </c>
      <c r="L252" s="167" t="str">
        <f t="shared" si="1"/>
        <v>متابعة في المركز</v>
      </c>
    </row>
    <row r="253" spans="1:12">
      <c r="A253" s="167">
        <v>246</v>
      </c>
      <c r="B253" s="167" t="str">
        <f>IF(البيانات!V247="","",البيانات!V247)</f>
        <v>1088255359</v>
      </c>
      <c r="C253" s="167" t="str">
        <f>IF(البيانات!U247="","",البيانات!U247)</f>
        <v>عائشة حسين</v>
      </c>
      <c r="D253" s="167">
        <f>IF(البيانات!T247="","",البيانات!T247)</f>
        <v>31</v>
      </c>
      <c r="E253" s="167" t="str">
        <f>IF(البيانات!F247="","",البيانات!F247)</f>
        <v>Central Sectorالقطاع المركزي</v>
      </c>
      <c r="F253" s="167" t="str">
        <f>IF(البيانات!AD247="Yes","🔴 نعم",IF(البيانات!AD247="No","🟢 لا",""))</f>
        <v>🟢 لا</v>
      </c>
      <c r="G253" s="167">
        <f>IF(B253="","",
            (IF(D253&gt;40,5,IF(D253&gt;35,3,0)))+
            (IF(F253="🔴 نعم",5,0))+
            (IF(ISNUMBER(SEARCH("السمنة",البيانات!Z246)),2,0))+
            (IF(ISNUMBER(SEARCH("السكري",البيانات!AA246)),2,0))+
            (IF(ISNUMBER(SEARCH("ضغط",البيانات!AA246)),2,0)))</f>
        <v>0</v>
      </c>
      <c r="H253" s="167" t="str">
        <f>IF(G253="","",IF(G253&gt;=8,"🔴 حرج",IF(G253&gt;=5,"🟠 عالي",IF(G253&gt;=3,"🟡 متوسط","🟢 منخفض"))))</f>
        <v>🟢 منخفض</v>
      </c>
      <c r="I253" s="167" t="str">
        <f>IF(H253="","",IF(H253="🔴 حرج","إحالة فورية",IF(H253="🟠 عالي","إحالة تخصصية",IF(H253="🟡 متوسط","متابعة مكثفة","متابعة روتينية"))))</f>
        <v>متابعة روتينية</v>
      </c>
      <c r="J253" s="167" t="str">
        <f>IF(F253="🔴 نعم",IF(البيانات!AE246="Yes","✅ تم العلاج","⚠️ بدون علاج"),"")</f>
        <v/>
      </c>
      <c r="K253" s="167">
        <f>IF(H253="","",IF(H253="🔴 حرج",1,IF(H253="🟠 عالي",2,IF(H253="🟡 متوسط",3,4))))</f>
        <v>4</v>
      </c>
      <c r="L253" s="167" t="str">
        <f t="shared" si="1"/>
        <v>متابعة في المركز</v>
      </c>
    </row>
    <row r="254" spans="1:12">
      <c r="A254" s="167">
        <v>247</v>
      </c>
      <c r="B254" s="167" t="str">
        <f>IF(البيانات!V248="","",البيانات!V248)</f>
        <v>1054765548</v>
      </c>
      <c r="C254" s="167" t="str">
        <f>IF(البيانات!U248="","",البيانات!U248)</f>
        <v>ZAHRA DHAIFALLAH SHOEI JAAFARI</v>
      </c>
      <c r="D254" s="167">
        <f>IF(البيانات!T248="","",البيانات!T248)</f>
        <v>40</v>
      </c>
      <c r="E254" s="167" t="str">
        <f>IF(البيانات!F248="","",البيانات!F248)</f>
        <v>Central Sectorالقطاع المركزي</v>
      </c>
      <c r="F254" s="167" t="str">
        <f>IF(البيانات!AD248="Yes","🔴 نعم",IF(البيانات!AD248="No","🟢 لا",""))</f>
        <v>🟢 لا</v>
      </c>
      <c r="G254" s="167">
        <f>IF(B254="","",
            (IF(D254&gt;40,5,IF(D254&gt;35,3,0)))+
            (IF(F254="🔴 نعم",5,0))+
            (IF(ISNUMBER(SEARCH("السمنة",البيانات!Z247)),2,0))+
            (IF(ISNUMBER(SEARCH("السكري",البيانات!AA247)),2,0))+
            (IF(ISNUMBER(SEARCH("ضغط",البيانات!AA247)),2,0)))</f>
        <v>3</v>
      </c>
      <c r="H254" s="167" t="str">
        <f>IF(G254="","",IF(G254&gt;=8,"🔴 حرج",IF(G254&gt;=5,"🟠 عالي",IF(G254&gt;=3,"🟡 متوسط","🟢 منخفض"))))</f>
        <v>🟡 متوسط</v>
      </c>
      <c r="I254" s="167" t="str">
        <f>IF(H254="","",IF(H254="🔴 حرج","إحالة فورية",IF(H254="🟠 عالي","إحالة تخصصية",IF(H254="🟡 متوسط","متابعة مكثفة","متابعة روتينية"))))</f>
        <v>متابعة مكثفة</v>
      </c>
      <c r="J254" s="167" t="str">
        <f>IF(F254="🔴 نعم",IF(البيانات!AE247="Yes","✅ تم العلاج","⚠️ بدون علاج"),"")</f>
        <v/>
      </c>
      <c r="K254" s="167">
        <f>IF(H254="","",IF(H254="🔴 حرج",1,IF(H254="🟠 عالي",2,IF(H254="🟡 متوسط",3,4))))</f>
        <v>3</v>
      </c>
      <c r="L254" s="167" t="str">
        <f t="shared" si="1"/>
        <v>مستشفى جازان العام</v>
      </c>
    </row>
    <row r="255" spans="1:12">
      <c r="A255" s="167">
        <v>248</v>
      </c>
      <c r="B255" s="167" t="str">
        <f>IF(البيانات!V249="","",البيانات!V249)</f>
        <v>1098229618</v>
      </c>
      <c r="C255" s="167" t="str">
        <f>IF(البيانات!U249="","",البيانات!U249)</f>
        <v>بدور مسعود</v>
      </c>
      <c r="D255" s="167">
        <f>IF(البيانات!T249="","",البيانات!T249)</f>
        <v>29</v>
      </c>
      <c r="E255" s="167" t="str">
        <f>IF(البيانات!F249="","",البيانات!F249)</f>
        <v>Central Sectorالقطاع المركزي</v>
      </c>
      <c r="F255" s="167" t="str">
        <f>IF(البيانات!AD249="Yes","🔴 نعم",IF(البيانات!AD249="No","🟢 لا",""))</f>
        <v>🟢 لا</v>
      </c>
      <c r="G255" s="167">
        <f>IF(B255="","",
            (IF(D255&gt;40,5,IF(D255&gt;35,3,0)))+
            (IF(F255="🔴 نعم",5,0))+
            (IF(ISNUMBER(SEARCH("السمنة",البيانات!Z248)),2,0))+
            (IF(ISNUMBER(SEARCH("السكري",البيانات!AA248)),2,0))+
            (IF(ISNUMBER(SEARCH("ضغط",البيانات!AA248)),2,0)))</f>
        <v>0</v>
      </c>
      <c r="H255" s="167" t="str">
        <f>IF(G255="","",IF(G255&gt;=8,"🔴 حرج",IF(G255&gt;=5,"🟠 عالي",IF(G255&gt;=3,"🟡 متوسط","🟢 منخفض"))))</f>
        <v>🟢 منخفض</v>
      </c>
      <c r="I255" s="167" t="str">
        <f>IF(H255="","",IF(H255="🔴 حرج","إحالة فورية",IF(H255="🟠 عالي","إحالة تخصصية",IF(H255="🟡 متوسط","متابعة مكثفة","متابعة روتينية"))))</f>
        <v>متابعة روتينية</v>
      </c>
      <c r="J255" s="167" t="str">
        <f>IF(F255="🔴 نعم",IF(البيانات!AE248="Yes","✅ تم العلاج","⚠️ بدون علاج"),"")</f>
        <v/>
      </c>
      <c r="K255" s="167">
        <f>IF(H255="","",IF(H255="🔴 حرج",1,IF(H255="🟠 عالي",2,IF(H255="🟡 متوسط",3,4))))</f>
        <v>4</v>
      </c>
      <c r="L255" s="167" t="str">
        <f t="shared" si="1"/>
        <v>متابعة في المركز</v>
      </c>
    </row>
    <row r="256" spans="1:12">
      <c r="A256" s="167">
        <v>249</v>
      </c>
      <c r="B256" s="167" t="str">
        <f>IF(البيانات!V250="","",البيانات!V250)</f>
        <v>1066377167</v>
      </c>
      <c r="C256" s="167" t="str">
        <f>IF(البيانات!U250="","",البيانات!U250)</f>
        <v>NADA AYIDH SAEED AL</v>
      </c>
      <c r="D256" s="167">
        <f>IF(البيانات!T250="","",البيانات!T250)</f>
        <v>36</v>
      </c>
      <c r="E256" s="167" t="str">
        <f>IF(البيانات!F250="","",البيانات!F250)</f>
        <v>Central Sectorالقطاع المركزي</v>
      </c>
      <c r="F256" s="167" t="str">
        <f>IF(البيانات!AD250="Yes","🔴 نعم",IF(البيانات!AD250="No","🟢 لا",""))</f>
        <v>🟢 لا</v>
      </c>
      <c r="G256" s="167">
        <f>IF(B256="","",
            (IF(D256&gt;40,5,IF(D256&gt;35,3,0)))+
            (IF(F256="🔴 نعم",5,0))+
            (IF(ISNUMBER(SEARCH("السمنة",البيانات!Z249)),2,0))+
            (IF(ISNUMBER(SEARCH("السكري",البيانات!AA249)),2,0))+
            (IF(ISNUMBER(SEARCH("ضغط",البيانات!AA249)),2,0)))</f>
        <v>3</v>
      </c>
      <c r="H256" s="167" t="str">
        <f>IF(G256="","",IF(G256&gt;=8,"🔴 حرج",IF(G256&gt;=5,"🟠 عالي",IF(G256&gt;=3,"🟡 متوسط","🟢 منخفض"))))</f>
        <v>🟡 متوسط</v>
      </c>
      <c r="I256" s="167" t="str">
        <f>IF(H256="","",IF(H256="🔴 حرج","إحالة فورية",IF(H256="🟠 عالي","إحالة تخصصية",IF(H256="🟡 متوسط","متابعة مكثفة","متابعة روتينية"))))</f>
        <v>متابعة مكثفة</v>
      </c>
      <c r="J256" s="167" t="str">
        <f>IF(F256="🔴 نعم",IF(البيانات!AE249="Yes","✅ تم العلاج","⚠️ بدون علاج"),"")</f>
        <v/>
      </c>
      <c r="K256" s="167">
        <f>IF(H256="","",IF(H256="🔴 حرج",1,IF(H256="🟠 عالي",2,IF(H256="🟡 متوسط",3,4))))</f>
        <v>3</v>
      </c>
      <c r="L256" s="167" t="str">
        <f t="shared" si="1"/>
        <v>مستشفى جازان العام</v>
      </c>
    </row>
    <row r="257" spans="1:12">
      <c r="A257" s="167">
        <v>250</v>
      </c>
      <c r="B257" s="167" t="str">
        <f>IF(البيانات!V251="","",البيانات!V251)</f>
        <v>1080028523</v>
      </c>
      <c r="C257" s="167" t="str">
        <f>IF(البيانات!U251="","",البيانات!U251)</f>
        <v>WEJDAN HADI HASSAN ALAAULLAH</v>
      </c>
      <c r="D257" s="167">
        <f>IF(البيانات!T251="","",البيانات!T251)</f>
        <v>34</v>
      </c>
      <c r="E257" s="167" t="str">
        <f>IF(البيانات!F251="","",البيانات!F251)</f>
        <v>Central Sectorالقطاع المركزي</v>
      </c>
      <c r="F257" s="167" t="str">
        <f>IF(البيانات!AD251="Yes","🔴 نعم",IF(البيانات!AD251="No","🟢 لا",""))</f>
        <v>🟢 لا</v>
      </c>
      <c r="G257" s="167">
        <f>IF(B257="","",
            (IF(D257&gt;40,5,IF(D257&gt;35,3,0)))+
            (IF(F257="🔴 نعم",5,0))+
            (IF(ISNUMBER(SEARCH("السمنة",البيانات!Z250)),2,0))+
            (IF(ISNUMBER(SEARCH("السكري",البيانات!AA250)),2,0))+
            (IF(ISNUMBER(SEARCH("ضغط",البيانات!AA250)),2,0)))</f>
        <v>0</v>
      </c>
      <c r="H257" s="167" t="str">
        <f>IF(G257="","",IF(G257&gt;=8,"🔴 حرج",IF(G257&gt;=5,"🟠 عالي",IF(G257&gt;=3,"🟡 متوسط","🟢 منخفض"))))</f>
        <v>🟢 منخفض</v>
      </c>
      <c r="I257" s="167" t="str">
        <f>IF(H257="","",IF(H257="🔴 حرج","إحالة فورية",IF(H257="🟠 عالي","إحالة تخصصية",IF(H257="🟡 متوسط","متابعة مكثفة","متابعة روتينية"))))</f>
        <v>متابعة روتينية</v>
      </c>
      <c r="J257" s="167" t="str">
        <f>IF(F257="🔴 نعم",IF(البيانات!AE250="Yes","✅ تم العلاج","⚠️ بدون علاج"),"")</f>
        <v/>
      </c>
      <c r="K257" s="167">
        <f>IF(H257="","",IF(H257="🔴 حرج",1,IF(H257="🟠 عالي",2,IF(H257="🟡 متوسط",3,4))))</f>
        <v>4</v>
      </c>
      <c r="L257" s="167" t="str">
        <f t="shared" si="1"/>
        <v>متابعة في المركز</v>
      </c>
    </row>
    <row r="258" spans="1:12">
      <c r="A258" s="167">
        <v>251</v>
      </c>
      <c r="B258" s="167" t="str">
        <f>IF(البيانات!V252="","",البيانات!V252)</f>
        <v>1063001646</v>
      </c>
      <c r="C258" s="167" t="str">
        <f>IF(البيانات!U252="","",البيانات!U252)</f>
        <v>فوزيه عبدالله علي مقري</v>
      </c>
      <c r="D258" s="167">
        <f>IF(البيانات!T252="","",البيانات!T252)</f>
        <v>42</v>
      </c>
      <c r="E258" s="167" t="str">
        <f>IF(البيانات!F252="","",البيانات!F252)</f>
        <v xml:space="preserve"> Middle sectorالقطاع الاوسط </v>
      </c>
      <c r="F258" s="167" t="str">
        <f>IF(البيانات!AD252="Yes","🔴 نعم",IF(البيانات!AD252="No","🟢 لا",""))</f>
        <v>🔴 نعم</v>
      </c>
      <c r="G258" s="167">
        <f>IF(B258="","",
            (IF(D258&gt;40,5,IF(D258&gt;35,3,0)))+
            (IF(F258="🔴 نعم",5,0))+
            (IF(ISNUMBER(SEARCH("السمنة",البيانات!Z251)),2,0))+
            (IF(ISNUMBER(SEARCH("السكري",البيانات!AA251)),2,0))+
            (IF(ISNUMBER(SEARCH("ضغط",البيانات!AA251)),2,0)))</f>
        <v>10</v>
      </c>
      <c r="H258" s="167" t="str">
        <f>IF(G258="","",IF(G258&gt;=8,"🔴 حرج",IF(G258&gt;=5,"🟠 عالي",IF(G258&gt;=3,"🟡 متوسط","🟢 منخفض"))))</f>
        <v>🔴 حرج</v>
      </c>
      <c r="I258" s="167" t="str">
        <f>IF(H258="","",IF(H258="🔴 حرج","إحالة فورية",IF(H258="🟠 عالي","إحالة تخصصية",IF(H258="🟡 متوسط","متابعة مكثفة","متابعة روتينية"))))</f>
        <v>إحالة فورية</v>
      </c>
      <c r="J258" s="167" t="str">
        <f>IF(F258="🔴 نعم",IF(البيانات!AE251="Yes","✅ تم العلاج","⚠️ بدون علاج"),"")</f>
        <v>⚠️ بدون علاج</v>
      </c>
      <c r="K258" s="167">
        <f>IF(H258="","",IF(H258="🔴 حرج",1,IF(H258="🟠 عالي",2,IF(H258="🟡 متوسط",3,4))))</f>
        <v>1</v>
      </c>
      <c r="L258" s="167" t="str">
        <f t="shared" si="1"/>
        <v>مستشفى أبو عريش العام</v>
      </c>
    </row>
    <row r="259" spans="1:12">
      <c r="A259" s="167">
        <v>252</v>
      </c>
      <c r="B259" s="167" t="str">
        <f>IF(البيانات!V253="","",البيانات!V253)</f>
        <v>1117976108</v>
      </c>
      <c r="C259" s="167" t="str">
        <f>IF(البيانات!U253="","",البيانات!U253)</f>
        <v>FADIYAH HASSAN AHMED SAHLI</v>
      </c>
      <c r="D259" s="167">
        <f>IF(البيانات!T253="","",البيانات!T253)</f>
        <v>24</v>
      </c>
      <c r="E259" s="167" t="str">
        <f>IF(البيانات!F253="","",البيانات!F253)</f>
        <v>Central Sectorالقطاع المركزي</v>
      </c>
      <c r="F259" s="167" t="str">
        <f>IF(البيانات!AD253="Yes","🔴 نعم",IF(البيانات!AD253="No","🟢 لا",""))</f>
        <v>🟢 لا</v>
      </c>
      <c r="G259" s="167">
        <f>IF(B259="","",
            (IF(D259&gt;40,5,IF(D259&gt;35,3,0)))+
            (IF(F259="🔴 نعم",5,0))+
            (IF(ISNUMBER(SEARCH("السمنة",البيانات!Z252)),2,0))+
            (IF(ISNUMBER(SEARCH("السكري",البيانات!AA252)),2,0))+
            (IF(ISNUMBER(SEARCH("ضغط",البيانات!AA252)),2,0)))</f>
        <v>0</v>
      </c>
      <c r="H259" s="167" t="str">
        <f>IF(G259="","",IF(G259&gt;=8,"🔴 حرج",IF(G259&gt;=5,"🟠 عالي",IF(G259&gt;=3,"🟡 متوسط","🟢 منخفض"))))</f>
        <v>🟢 منخفض</v>
      </c>
      <c r="I259" s="167" t="str">
        <f>IF(H259="","",IF(H259="🔴 حرج","إحالة فورية",IF(H259="🟠 عالي","إحالة تخصصية",IF(H259="🟡 متوسط","متابعة مكثفة","متابعة روتينية"))))</f>
        <v>متابعة روتينية</v>
      </c>
      <c r="J259" s="167" t="str">
        <f>IF(F259="🔴 نعم",IF(البيانات!AE252="Yes","✅ تم العلاج","⚠️ بدون علاج"),"")</f>
        <v/>
      </c>
      <c r="K259" s="167">
        <f>IF(H259="","",IF(H259="🔴 حرج",1,IF(H259="🟠 عالي",2,IF(H259="🟡 متوسط",3,4))))</f>
        <v>4</v>
      </c>
      <c r="L259" s="167" t="str">
        <f t="shared" si="1"/>
        <v>متابعة في المركز</v>
      </c>
    </row>
    <row r="260" spans="1:12">
      <c r="A260" s="167">
        <v>253</v>
      </c>
      <c r="B260" s="167" t="str">
        <f>IF(البيانات!V254="","",البيانات!V254)</f>
        <v>1070562390</v>
      </c>
      <c r="C260" s="167" t="str">
        <f>IF(البيانات!U254="","",البيانات!U254)</f>
        <v>NASEEM NASSER AHMED ALSHARIF</v>
      </c>
      <c r="D260" s="167">
        <f>IF(البيانات!T254="","",البيانات!T254)</f>
        <v>35</v>
      </c>
      <c r="E260" s="167" t="str">
        <f>IF(البيانات!F254="","",البيانات!F254)</f>
        <v>Central Sectorالقطاع المركزي</v>
      </c>
      <c r="F260" s="167" t="str">
        <f>IF(البيانات!AD254="Yes","🔴 نعم",IF(البيانات!AD254="No","🟢 لا",""))</f>
        <v>🟢 لا</v>
      </c>
      <c r="G260" s="167">
        <f>IF(B260="","",
            (IF(D260&gt;40,5,IF(D260&gt;35,3,0)))+
            (IF(F260="🔴 نعم",5,0))+
            (IF(ISNUMBER(SEARCH("السمنة",البيانات!Z253)),2,0))+
            (IF(ISNUMBER(SEARCH("السكري",البيانات!AA253)),2,0))+
            (IF(ISNUMBER(SEARCH("ضغط",البيانات!AA253)),2,0)))</f>
        <v>0</v>
      </c>
      <c r="H260" s="167" t="str">
        <f>IF(G260="","",IF(G260&gt;=8,"🔴 حرج",IF(G260&gt;=5,"🟠 عالي",IF(G260&gt;=3,"🟡 متوسط","🟢 منخفض"))))</f>
        <v>🟢 منخفض</v>
      </c>
      <c r="I260" s="167" t="str">
        <f>IF(H260="","",IF(H260="🔴 حرج","إحالة فورية",IF(H260="🟠 عالي","إحالة تخصصية",IF(H260="🟡 متوسط","متابعة مكثفة","متابعة روتينية"))))</f>
        <v>متابعة روتينية</v>
      </c>
      <c r="J260" s="167" t="str">
        <f>IF(F260="🔴 نعم",IF(البيانات!AE253="Yes","✅ تم العلاج","⚠️ بدون علاج"),"")</f>
        <v/>
      </c>
      <c r="K260" s="167">
        <f>IF(H260="","",IF(H260="🔴 حرج",1,IF(H260="🟠 عالي",2,IF(H260="🟡 متوسط",3,4))))</f>
        <v>4</v>
      </c>
      <c r="L260" s="167" t="str">
        <f t="shared" si="1"/>
        <v>متابعة في المركز</v>
      </c>
    </row>
    <row r="261" spans="1:12">
      <c r="A261" s="167">
        <v>254</v>
      </c>
      <c r="B261" s="167" t="str">
        <f>IF(البيانات!V255="","",البيانات!V255)</f>
        <v>1151857883</v>
      </c>
      <c r="C261" s="167" t="str">
        <f>IF(البيانات!U255="","",البيانات!U255)</f>
        <v>AHLAM YAHIA SALMAN ALFAIFI</v>
      </c>
      <c r="D261" s="167">
        <f>IF(البيانات!T255="","",البيانات!T255)</f>
        <v>15</v>
      </c>
      <c r="E261" s="167" t="str">
        <f>IF(البيانات!F255="","",البيانات!F255)</f>
        <v>Central Sectorالقطاع المركزي</v>
      </c>
      <c r="F261" s="167" t="str">
        <f>IF(البيانات!AD255="Yes","🔴 نعم",IF(البيانات!AD255="No","🟢 لا",""))</f>
        <v>🟢 لا</v>
      </c>
      <c r="G261" s="167">
        <f>IF(B261="","",
            (IF(D261&gt;40,5,IF(D261&gt;35,3,0)))+
            (IF(F261="🔴 نعم",5,0))+
            (IF(ISNUMBER(SEARCH("السمنة",البيانات!Z254)),2,0))+
            (IF(ISNUMBER(SEARCH("السكري",البيانات!AA254)),2,0))+
            (IF(ISNUMBER(SEARCH("ضغط",البيانات!AA254)),2,0)))</f>
        <v>0</v>
      </c>
      <c r="H261" s="167" t="str">
        <f>IF(G261="","",IF(G261&gt;=8,"🔴 حرج",IF(G261&gt;=5,"🟠 عالي",IF(G261&gt;=3,"🟡 متوسط","🟢 منخفض"))))</f>
        <v>🟢 منخفض</v>
      </c>
      <c r="I261" s="167" t="str">
        <f>IF(H261="","",IF(H261="🔴 حرج","إحالة فورية",IF(H261="🟠 عالي","إحالة تخصصية",IF(H261="🟡 متوسط","متابعة مكثفة","متابعة روتينية"))))</f>
        <v>متابعة روتينية</v>
      </c>
      <c r="J261" s="167" t="str">
        <f>IF(F261="🔴 نعم",IF(البيانات!AE254="Yes","✅ تم العلاج","⚠️ بدون علاج"),"")</f>
        <v/>
      </c>
      <c r="K261" s="167">
        <f>IF(H261="","",IF(H261="🔴 حرج",1,IF(H261="🟠 عالي",2,IF(H261="🟡 متوسط",3,4))))</f>
        <v>4</v>
      </c>
      <c r="L261" s="167" t="str">
        <f t="shared" si="1"/>
        <v>متابعة في المركز</v>
      </c>
    </row>
    <row r="262" spans="1:12">
      <c r="A262" s="167">
        <v>255</v>
      </c>
      <c r="B262" s="167" t="str">
        <f>IF(البيانات!V256="","",البيانات!V256)</f>
        <v>1122700816</v>
      </c>
      <c r="C262" s="167" t="str">
        <f>IF(البيانات!U256="","",البيانات!U256)</f>
        <v>AMAL MOHAMMED ALI GHATHI</v>
      </c>
      <c r="D262" s="167">
        <f>IF(البيانات!T256="","",البيانات!T256)</f>
        <v>22</v>
      </c>
      <c r="E262" s="167" t="str">
        <f>IF(البيانات!F256="","",البيانات!F256)</f>
        <v>Central Sectorالقطاع المركزي</v>
      </c>
      <c r="F262" s="167" t="str">
        <f>IF(البيانات!AD256="Yes","🔴 نعم",IF(البيانات!AD256="No","🟢 لا",""))</f>
        <v>🟢 لا</v>
      </c>
      <c r="G262" s="167">
        <f>IF(B262="","",
            (IF(D262&gt;40,5,IF(D262&gt;35,3,0)))+
            (IF(F262="🔴 نعم",5,0))+
            (IF(ISNUMBER(SEARCH("السمنة",البيانات!Z255)),2,0))+
            (IF(ISNUMBER(SEARCH("السكري",البيانات!AA255)),2,0))+
            (IF(ISNUMBER(SEARCH("ضغط",البيانات!AA255)),2,0)))</f>
        <v>0</v>
      </c>
      <c r="H262" s="167" t="str">
        <f>IF(G262="","",IF(G262&gt;=8,"🔴 حرج",IF(G262&gt;=5,"🟠 عالي",IF(G262&gt;=3,"🟡 متوسط","🟢 منخفض"))))</f>
        <v>🟢 منخفض</v>
      </c>
      <c r="I262" s="167" t="str">
        <f>IF(H262="","",IF(H262="🔴 حرج","إحالة فورية",IF(H262="🟠 عالي","إحالة تخصصية",IF(H262="🟡 متوسط","متابعة مكثفة","متابعة روتينية"))))</f>
        <v>متابعة روتينية</v>
      </c>
      <c r="J262" s="167" t="str">
        <f>IF(F262="🔴 نعم",IF(البيانات!AE255="Yes","✅ تم العلاج","⚠️ بدون علاج"),"")</f>
        <v/>
      </c>
      <c r="K262" s="167">
        <f>IF(H262="","",IF(H262="🔴 حرج",1,IF(H262="🟠 عالي",2,IF(H262="🟡 متوسط",3,4))))</f>
        <v>4</v>
      </c>
      <c r="L262" s="167" t="str">
        <f t="shared" si="1"/>
        <v>متابعة في المركز</v>
      </c>
    </row>
    <row r="263" spans="1:12">
      <c r="A263" s="167">
        <v>256</v>
      </c>
      <c r="B263" s="167" t="str">
        <f>IF(البيانات!V257="","",البيانات!V257)</f>
        <v>1070754567</v>
      </c>
      <c r="C263" s="167" t="str">
        <f>IF(البيانات!U257="","",البيانات!U257)</f>
        <v>SARAH ALI AHMED JAHFALI</v>
      </c>
      <c r="D263" s="167">
        <f>IF(البيانات!T257="","",البيانات!T257)</f>
        <v>35</v>
      </c>
      <c r="E263" s="167" t="str">
        <f>IF(البيانات!F257="","",البيانات!F257)</f>
        <v>Central Sectorالقطاع المركزي</v>
      </c>
      <c r="F263" s="167" t="str">
        <f>IF(البيانات!AD257="Yes","🔴 نعم",IF(البيانات!AD257="No","🟢 لا",""))</f>
        <v>🟢 لا</v>
      </c>
      <c r="G263" s="167">
        <f>IF(B263="","",
            (IF(D263&gt;40,5,IF(D263&gt;35,3,0)))+
            (IF(F263="🔴 نعم",5,0))+
            (IF(ISNUMBER(SEARCH("السمنة",البيانات!Z256)),2,0))+
            (IF(ISNUMBER(SEARCH("السكري",البيانات!AA256)),2,0))+
            (IF(ISNUMBER(SEARCH("ضغط",البيانات!AA256)),2,0)))</f>
        <v>0</v>
      </c>
      <c r="H263" s="167" t="str">
        <f>IF(G263="","",IF(G263&gt;=8,"🔴 حرج",IF(G263&gt;=5,"🟠 عالي",IF(G263&gt;=3,"🟡 متوسط","🟢 منخفض"))))</f>
        <v>🟢 منخفض</v>
      </c>
      <c r="I263" s="167" t="str">
        <f>IF(H263="","",IF(H263="🔴 حرج","إحالة فورية",IF(H263="🟠 عالي","إحالة تخصصية",IF(H263="🟡 متوسط","متابعة مكثفة","متابعة روتينية"))))</f>
        <v>متابعة روتينية</v>
      </c>
      <c r="J263" s="167" t="str">
        <f>IF(F263="🔴 نعم",IF(البيانات!AE256="Yes","✅ تم العلاج","⚠️ بدون علاج"),"")</f>
        <v/>
      </c>
      <c r="K263" s="167">
        <f>IF(H263="","",IF(H263="🔴 حرج",1,IF(H263="🟠 عالي",2,IF(H263="🟡 متوسط",3,4))))</f>
        <v>4</v>
      </c>
      <c r="L263" s="167" t="str">
        <f t="shared" si="1"/>
        <v>متابعة في المركز</v>
      </c>
    </row>
    <row r="264" spans="1:12">
      <c r="A264" s="167">
        <v>257</v>
      </c>
      <c r="B264" s="167" t="str">
        <f>IF(البيانات!V258="","",البيانات!V258)</f>
        <v>1069692869</v>
      </c>
      <c r="C264" s="167" t="str">
        <f>IF(البيانات!U258="","",البيانات!U258)</f>
        <v>حنان علي حسين ازيبي</v>
      </c>
      <c r="D264" s="167">
        <f>IF(البيانات!T258="","",البيانات!T258)</f>
        <v>36</v>
      </c>
      <c r="E264" s="167" t="str">
        <f>IF(البيانات!F258="","",البيانات!F258)</f>
        <v xml:space="preserve">Southern Sector القطاع الجنوبي				</v>
      </c>
      <c r="F264" s="167" t="str">
        <f>IF(البيانات!AD258="Yes","🔴 نعم",IF(البيانات!AD258="No","🟢 لا",""))</f>
        <v>🟢 لا</v>
      </c>
      <c r="G264" s="167">
        <f>IF(B264="","",
            (IF(D264&gt;40,5,IF(D264&gt;35,3,0)))+
            (IF(F264="🔴 نعم",5,0))+
            (IF(ISNUMBER(SEARCH("السمنة",البيانات!Z257)),2,0))+
            (IF(ISNUMBER(SEARCH("السكري",البيانات!AA257)),2,0))+
            (IF(ISNUMBER(SEARCH("ضغط",البيانات!AA257)),2,0)))</f>
        <v>3</v>
      </c>
      <c r="H264" s="167" t="str">
        <f>IF(G264="","",IF(G264&gt;=8,"🔴 حرج",IF(G264&gt;=5,"🟠 عالي",IF(G264&gt;=3,"🟡 متوسط","🟢 منخفض"))))</f>
        <v>🟡 متوسط</v>
      </c>
      <c r="I264" s="167" t="str">
        <f>IF(H264="","",IF(H264="🔴 حرج","إحالة فورية",IF(H264="🟠 عالي","إحالة تخصصية",IF(H264="🟡 متوسط","متابعة مكثفة","متابعة روتينية"))))</f>
        <v>متابعة مكثفة</v>
      </c>
      <c r="J264" s="167" t="str">
        <f>IF(F264="🔴 نعم",IF(البيانات!AE257="Yes","✅ تم العلاج","⚠️ بدون علاج"),"")</f>
        <v/>
      </c>
      <c r="K264" s="167">
        <f>IF(H264="","",IF(H264="🔴 حرج",1,IF(H264="🟠 عالي",2,IF(H264="🟡 متوسط",3,4))))</f>
        <v>3</v>
      </c>
      <c r="L264" s="167" t="str">
        <f t="shared" si="1"/>
        <v>مستشفى صامطة العام</v>
      </c>
    </row>
    <row r="265" spans="1:12">
      <c r="A265" s="167">
        <v>258</v>
      </c>
      <c r="B265" s="167" t="str">
        <f>IF(البيانات!V259="","",البيانات!V259)</f>
        <v>1062488224</v>
      </c>
      <c r="C265" s="167" t="str">
        <f>IF(البيانات!U259="","",البيانات!U259)</f>
        <v>خديجه عجلان جابر الريفي</v>
      </c>
      <c r="D265" s="167">
        <f>IF(البيانات!T259="","",البيانات!T259)</f>
        <v>40</v>
      </c>
      <c r="E265" s="167" t="str">
        <f>IF(البيانات!F259="","",البيانات!F259)</f>
        <v>Central Sectorالقطاع المركزي</v>
      </c>
      <c r="F265" s="167" t="str">
        <f>IF(البيانات!AD259="Yes","🔴 نعم",IF(البيانات!AD259="No","🟢 لا",""))</f>
        <v>🟢 لا</v>
      </c>
      <c r="G265" s="167">
        <f>IF(B265="","",
            (IF(D265&gt;40,5,IF(D265&gt;35,3,0)))+
            (IF(F265="🔴 نعم",5,0))+
            (IF(ISNUMBER(SEARCH("السمنة",البيانات!Z258)),2,0))+
            (IF(ISNUMBER(SEARCH("السكري",البيانات!AA258)),2,0))+
            (IF(ISNUMBER(SEARCH("ضغط",البيانات!AA258)),2,0)))</f>
        <v>3</v>
      </c>
      <c r="H265" s="167" t="str">
        <f>IF(G265="","",IF(G265&gt;=8,"🔴 حرج",IF(G265&gt;=5,"🟠 عالي",IF(G265&gt;=3,"🟡 متوسط","🟢 منخفض"))))</f>
        <v>🟡 متوسط</v>
      </c>
      <c r="I265" s="167" t="str">
        <f>IF(H265="","",IF(H265="🔴 حرج","إحالة فورية",IF(H265="🟠 عالي","إحالة تخصصية",IF(H265="🟡 متوسط","متابعة مكثفة","متابعة روتينية"))))</f>
        <v>متابعة مكثفة</v>
      </c>
      <c r="J265" s="167" t="str">
        <f>IF(F265="🔴 نعم",IF(البيانات!AE258="Yes","✅ تم العلاج","⚠️ بدون علاج"),"")</f>
        <v/>
      </c>
      <c r="K265" s="167">
        <f>IF(H265="","",IF(H265="🔴 حرج",1,IF(H265="🟠 عالي",2,IF(H265="🟡 متوسط",3,4))))</f>
        <v>3</v>
      </c>
      <c r="L265" s="167" t="str">
        <f t="shared" si="1"/>
        <v>مستشفى جازان العام</v>
      </c>
    </row>
    <row r="266" spans="1:12">
      <c r="A266" s="167">
        <v>259</v>
      </c>
      <c r="B266" s="167" t="str">
        <f>IF(البيانات!V260="","",البيانات!V260)</f>
        <v>2501622324</v>
      </c>
      <c r="C266" s="167" t="str">
        <f>IF(البيانات!U260="","",البيانات!U260)</f>
        <v>wafa abkar hazazi</v>
      </c>
      <c r="D266" s="167">
        <f>IF(البيانات!T260="","",البيانات!T260)</f>
        <v>36</v>
      </c>
      <c r="E266" s="167" t="str">
        <f>IF(البيانات!F260="","",البيانات!F260)</f>
        <v xml:space="preserve">Southern Sector القطاع الجنوبي				</v>
      </c>
      <c r="F266" s="167" t="str">
        <f>IF(البيانات!AD260="Yes","🔴 نعم",IF(البيانات!AD260="No","🟢 لا",""))</f>
        <v>🟢 لا</v>
      </c>
      <c r="G266" s="167">
        <f>IF(B266="","",
            (IF(D266&gt;40,5,IF(D266&gt;35,3,0)))+
            (IF(F266="🔴 نعم",5,0))+
            (IF(ISNUMBER(SEARCH("السمنة",البيانات!Z259)),2,0))+
            (IF(ISNUMBER(SEARCH("السكري",البيانات!AA259)),2,0))+
            (IF(ISNUMBER(SEARCH("ضغط",البيانات!AA259)),2,0)))</f>
        <v>3</v>
      </c>
      <c r="H266" s="167" t="str">
        <f>IF(G266="","",IF(G266&gt;=8,"🔴 حرج",IF(G266&gt;=5,"🟠 عالي",IF(G266&gt;=3,"🟡 متوسط","🟢 منخفض"))))</f>
        <v>🟡 متوسط</v>
      </c>
      <c r="I266" s="167" t="str">
        <f>IF(H266="","",IF(H266="🔴 حرج","إحالة فورية",IF(H266="🟠 عالي","إحالة تخصصية",IF(H266="🟡 متوسط","متابعة مكثفة","متابعة روتينية"))))</f>
        <v>متابعة مكثفة</v>
      </c>
      <c r="J266" s="167" t="str">
        <f>IF(F266="🔴 نعم",IF(البيانات!AE259="Yes","✅ تم العلاج","⚠️ بدون علاج"),"")</f>
        <v/>
      </c>
      <c r="K266" s="167">
        <f>IF(H266="","",IF(H266="🔴 حرج",1,IF(H266="🟠 عالي",2,IF(H266="🟡 متوسط",3,4))))</f>
        <v>3</v>
      </c>
      <c r="L266" s="167" t="str">
        <f t="shared" si="1"/>
        <v>مستشفى صامطة العام</v>
      </c>
    </row>
    <row r="267" spans="1:12">
      <c r="A267" s="167">
        <v>260</v>
      </c>
      <c r="B267" s="167" t="str">
        <f>IF(البيانات!V261="","",البيانات!V261)</f>
        <v>1122677964</v>
      </c>
      <c r="C267" s="167" t="str">
        <f>IF(البيانات!U261="","",البيانات!U261)</f>
        <v>خلود عبدالله محمد مرير</v>
      </c>
      <c r="D267" s="167">
        <f>IF(البيانات!T261="","",البيانات!T261)</f>
        <v>23</v>
      </c>
      <c r="E267" s="167" t="str">
        <f>IF(البيانات!F261="","",البيانات!F261)</f>
        <v xml:space="preserve">Southern Sector القطاع الجنوبي				</v>
      </c>
      <c r="F267" s="167" t="str">
        <f>IF(البيانات!AD261="Yes","🔴 نعم",IF(البيانات!AD261="No","🟢 لا",""))</f>
        <v>🔴 نعم</v>
      </c>
      <c r="G267" s="167">
        <f>IF(B267="","",
            (IF(D267&gt;40,5,IF(D267&gt;35,3,0)))+
            (IF(F267="🔴 نعم",5,0))+
            (IF(ISNUMBER(SEARCH("السمنة",البيانات!Z260)),2,0))+
            (IF(ISNUMBER(SEARCH("السكري",البيانات!AA260)),2,0))+
            (IF(ISNUMBER(SEARCH("ضغط",البيانات!AA260)),2,0)))</f>
        <v>5</v>
      </c>
      <c r="H267" s="167" t="str">
        <f>IF(G267="","",IF(G267&gt;=8,"🔴 حرج",IF(G267&gt;=5,"🟠 عالي",IF(G267&gt;=3,"🟡 متوسط","🟢 منخفض"))))</f>
        <v>🟠 عالي</v>
      </c>
      <c r="I267" s="167" t="str">
        <f>IF(H267="","",IF(H267="🔴 حرج","إحالة فورية",IF(H267="🟠 عالي","إحالة تخصصية",IF(H267="🟡 متوسط","متابعة مكثفة","متابعة روتينية"))))</f>
        <v>إحالة تخصصية</v>
      </c>
      <c r="J267" s="167" t="str">
        <f>IF(F267="🔴 نعم",IF(البيانات!AE260="Yes","✅ تم العلاج","⚠️ بدون علاج"),"")</f>
        <v>⚠️ بدون علاج</v>
      </c>
      <c r="K267" s="167">
        <f>IF(H267="","",IF(H267="🔴 حرج",1,IF(H267="🟠 عالي",2,IF(H267="🟡 متوسط",3,4))))</f>
        <v>2</v>
      </c>
      <c r="L267" s="167" t="str">
        <f t="shared" si="1"/>
        <v>مستشفى صامطة العام</v>
      </c>
    </row>
    <row r="268" spans="1:12">
      <c r="A268" s="167">
        <v>261</v>
      </c>
      <c r="B268" s="167" t="str">
        <f>IF(البيانات!V262="","",البيانات!V262)</f>
        <v>1046497705</v>
      </c>
      <c r="C268" s="167" t="str">
        <f>IF(البيانات!U262="","",البيانات!U262)</f>
        <v>tabah jubran salim</v>
      </c>
      <c r="D268" s="167">
        <f>IF(البيانات!T262="","",البيانات!T262)</f>
        <v>38</v>
      </c>
      <c r="E268" s="167" t="str">
        <f>IF(البيانات!F262="","",البيانات!F262)</f>
        <v> bany malik sectorقطاع بني مالك</v>
      </c>
      <c r="F268" s="167" t="str">
        <f>IF(البيانات!AD262="Yes","🔴 نعم",IF(البيانات!AD262="No","🟢 لا",""))</f>
        <v>🟢 لا</v>
      </c>
      <c r="G268" s="167">
        <f>IF(B268="","",
            (IF(D268&gt;40,5,IF(D268&gt;35,3,0)))+
            (IF(F268="🔴 نعم",5,0))+
            (IF(ISNUMBER(SEARCH("السمنة",البيانات!Z261)),2,0))+
            (IF(ISNUMBER(SEARCH("السكري",البيانات!AA261)),2,0))+
            (IF(ISNUMBER(SEARCH("ضغط",البيانات!AA261)),2,0)))</f>
        <v>3</v>
      </c>
      <c r="H268" s="167" t="str">
        <f>IF(G268="","",IF(G268&gt;=8,"🔴 حرج",IF(G268&gt;=5,"🟠 عالي",IF(G268&gt;=3,"🟡 متوسط","🟢 منخفض"))))</f>
        <v>🟡 متوسط</v>
      </c>
      <c r="I268" s="167" t="str">
        <f>IF(H268="","",IF(H268="🔴 حرج","إحالة فورية",IF(H268="🟠 عالي","إحالة تخصصية",IF(H268="🟡 متوسط","متابعة مكثفة","متابعة روتينية"))))</f>
        <v>متابعة مكثفة</v>
      </c>
      <c r="J268" s="167" t="str">
        <f>IF(F268="🔴 نعم",IF(البيانات!AE261="Yes","✅ تم العلاج","⚠️ بدون علاج"),"")</f>
        <v/>
      </c>
      <c r="K268" s="167">
        <f>IF(H268="","",IF(H268="🔴 حرج",1,IF(H268="🟠 عالي",2,IF(H268="🟡 متوسط",3,4))))</f>
        <v>3</v>
      </c>
      <c r="L268" s="167" t="str">
        <f t="shared" si="1"/>
        <v>مستشفى أبو عريش العام</v>
      </c>
    </row>
    <row r="269" spans="1:12">
      <c r="A269" s="167">
        <v>262</v>
      </c>
      <c r="B269" s="167" t="str">
        <f>IF(البيانات!V263="","",البيانات!V263)</f>
        <v>1053242747</v>
      </c>
      <c r="C269" s="167" t="str">
        <f>IF(البيانات!U263="","",البيانات!U263)</f>
        <v>LOBNA YAHYA MARUI HAMLAN</v>
      </c>
      <c r="D269" s="167">
        <f>IF(البيانات!T263="","",البيانات!T263)</f>
        <v>41</v>
      </c>
      <c r="E269" s="167" t="str">
        <f>IF(البيانات!F263="","",البيانات!F263)</f>
        <v>Northern Sectorالقطاع الشمالي</v>
      </c>
      <c r="F269" s="167" t="str">
        <f>IF(البيانات!AD263="Yes","🔴 نعم",IF(البيانات!AD263="No","🟢 لا",""))</f>
        <v>🟢 لا</v>
      </c>
      <c r="G269" s="167">
        <f>IF(B269="","",
            (IF(D269&gt;40,5,IF(D269&gt;35,3,0)))+
            (IF(F269="🔴 نعم",5,0))+
            (IF(ISNUMBER(SEARCH("السمنة",البيانات!Z262)),2,0))+
            (IF(ISNUMBER(SEARCH("السكري",البيانات!AA262)),2,0))+
            (IF(ISNUMBER(SEARCH("ضغط",البيانات!AA262)),2,0)))</f>
        <v>5</v>
      </c>
      <c r="H269" s="167" t="str">
        <f>IF(G269="","",IF(G269&gt;=8,"🔴 حرج",IF(G269&gt;=5,"🟠 عالي",IF(G269&gt;=3,"🟡 متوسط","🟢 منخفض"))))</f>
        <v>🟠 عالي</v>
      </c>
      <c r="I269" s="167" t="str">
        <f>IF(H269="","",IF(H269="🔴 حرج","إحالة فورية",IF(H269="🟠 عالي","إحالة تخصصية",IF(H269="🟡 متوسط","متابعة مكثفة","متابعة روتينية"))))</f>
        <v>إحالة تخصصية</v>
      </c>
      <c r="J269" s="167" t="str">
        <f>IF(F269="🔴 نعم",IF(البيانات!AE262="Yes","✅ تم العلاج","⚠️ بدون علاج"),"")</f>
        <v/>
      </c>
      <c r="K269" s="167">
        <f>IF(H269="","",IF(H269="🔴 حرج",1,IF(H269="🟠 عالي",2,IF(H269="🟡 متوسط",3,4))))</f>
        <v>2</v>
      </c>
      <c r="L269" s="167" t="str">
        <f t="shared" si="1"/>
        <v>مستشفى بيش العام</v>
      </c>
    </row>
    <row r="270" spans="1:12">
      <c r="A270" s="167">
        <v>263</v>
      </c>
      <c r="B270" s="167" t="str">
        <f>IF(البيانات!V264="","",البيانات!V264)</f>
        <v>1063743288</v>
      </c>
      <c r="C270" s="167" t="str">
        <f>IF(البيانات!U264="","",البيانات!U264)</f>
        <v>عائشه يحي معشي</v>
      </c>
      <c r="D270" s="167">
        <f>IF(البيانات!T264="","",البيانات!T264)</f>
        <v>36</v>
      </c>
      <c r="E270" s="167" t="str">
        <f>IF(البيانات!F264="","",البيانات!F264)</f>
        <v xml:space="preserve"> Middle sectorالقطاع الاوسط </v>
      </c>
      <c r="F270" s="167" t="str">
        <f>IF(البيانات!AD264="Yes","🔴 نعم",IF(البيانات!AD264="No","🟢 لا",""))</f>
        <v>🟢 لا</v>
      </c>
      <c r="G270" s="167">
        <f>IF(B270="","",
            (IF(D270&gt;40,5,IF(D270&gt;35,3,0)))+
            (IF(F270="🔴 نعم",5,0))+
            (IF(ISNUMBER(SEARCH("السمنة",البيانات!Z263)),2,0))+
            (IF(ISNUMBER(SEARCH("السكري",البيانات!AA263)),2,0))+
            (IF(ISNUMBER(SEARCH("ضغط",البيانات!AA263)),2,0)))</f>
        <v>3</v>
      </c>
      <c r="H270" s="167" t="str">
        <f>IF(G270="","",IF(G270&gt;=8,"🔴 حرج",IF(G270&gt;=5,"🟠 عالي",IF(G270&gt;=3,"🟡 متوسط","🟢 منخفض"))))</f>
        <v>🟡 متوسط</v>
      </c>
      <c r="I270" s="167" t="str">
        <f>IF(H270="","",IF(H270="🔴 حرج","إحالة فورية",IF(H270="🟠 عالي","إحالة تخصصية",IF(H270="🟡 متوسط","متابعة مكثفة","متابعة روتينية"))))</f>
        <v>متابعة مكثفة</v>
      </c>
      <c r="J270" s="167" t="str">
        <f>IF(F270="🔴 نعم",IF(البيانات!AE263="Yes","✅ تم العلاج","⚠️ بدون علاج"),"")</f>
        <v/>
      </c>
      <c r="K270" s="167">
        <f>IF(H270="","",IF(H270="🔴 حرج",1,IF(H270="🟠 عالي",2,IF(H270="🟡 متوسط",3,4))))</f>
        <v>3</v>
      </c>
      <c r="L270" s="167" t="str">
        <f t="shared" si="1"/>
        <v>مستشفى أبو عريش العام</v>
      </c>
    </row>
    <row r="271" spans="1:12">
      <c r="A271" s="167">
        <v>264</v>
      </c>
      <c r="B271" s="167" t="str">
        <f>IF(البيانات!V265="","",البيانات!V265)</f>
        <v>1043528536</v>
      </c>
      <c r="C271" s="167" t="str">
        <f>IF(البيانات!U265="","",البيانات!U265)</f>
        <v>فوزيه شوعي مقبول</v>
      </c>
      <c r="D271" s="167">
        <f>IF(البيانات!T265="","",البيانات!T265)</f>
        <v>41</v>
      </c>
      <c r="E271" s="167" t="str">
        <f>IF(البيانات!F265="","",البيانات!F265)</f>
        <v xml:space="preserve">Southern Sector القطاع الجنوبي				</v>
      </c>
      <c r="F271" s="167" t="str">
        <f>IF(البيانات!AD265="Yes","🔴 نعم",IF(البيانات!AD265="No","🟢 لا",""))</f>
        <v>🔴 نعم</v>
      </c>
      <c r="G271" s="167">
        <f>IF(B271="","",
            (IF(D271&gt;40,5,IF(D271&gt;35,3,0)))+
            (IF(F271="🔴 نعم",5,0))+
            (IF(ISNUMBER(SEARCH("السمنة",البيانات!Z264)),2,0))+
            (IF(ISNUMBER(SEARCH("السكري",البيانات!AA264)),2,0))+
            (IF(ISNUMBER(SEARCH("ضغط",البيانات!AA264)),2,0)))</f>
        <v>10</v>
      </c>
      <c r="H271" s="167" t="str">
        <f>IF(G271="","",IF(G271&gt;=8,"🔴 حرج",IF(G271&gt;=5,"🟠 عالي",IF(G271&gt;=3,"🟡 متوسط","🟢 منخفض"))))</f>
        <v>🔴 حرج</v>
      </c>
      <c r="I271" s="167" t="str">
        <f>IF(H271="","",IF(H271="🔴 حرج","إحالة فورية",IF(H271="🟠 عالي","إحالة تخصصية",IF(H271="🟡 متوسط","متابعة مكثفة","متابعة روتينية"))))</f>
        <v>إحالة فورية</v>
      </c>
      <c r="J271" s="167" t="str">
        <f>IF(F271="🔴 نعم",IF(البيانات!AE264="Yes","✅ تم العلاج","⚠️ بدون علاج"),"")</f>
        <v>⚠️ بدون علاج</v>
      </c>
      <c r="K271" s="167">
        <f>IF(H271="","",IF(H271="🔴 حرج",1,IF(H271="🟠 عالي",2,IF(H271="🟡 متوسط",3,4))))</f>
        <v>1</v>
      </c>
      <c r="L271" s="167" t="str">
        <f t="shared" si="1"/>
        <v>مستشفى صامطة العام</v>
      </c>
    </row>
    <row r="272" spans="1:12">
      <c r="A272" s="167">
        <v>265</v>
      </c>
      <c r="B272" s="167" t="str">
        <f>IF(البيانات!V266="","",البيانات!V266)</f>
        <v/>
      </c>
      <c r="C272" s="167" t="str">
        <f>IF(البيانات!U266="","",البيانات!U266)</f>
        <v/>
      </c>
      <c r="D272" s="167" t="str">
        <f>IF(البيانات!T266="","",البيانات!T266)</f>
        <v/>
      </c>
      <c r="E272" s="167" t="str">
        <f>IF(البيانات!F266="","",البيانات!F266)</f>
        <v/>
      </c>
      <c r="F272" s="167" t="str">
        <f>IF(البيانات!AD266="Yes","🔴 نعم",IF(البيانات!AD266="No","🟢 لا",""))</f>
        <v/>
      </c>
      <c r="G272" s="167" t="str">
        <f>IF(B272="","",
            (IF(D272&gt;40,5,IF(D272&gt;35,3,0)))+
            (IF(F272="🔴 نعم",5,0))+
            (IF(ISNUMBER(SEARCH("السمنة",البيانات!Z265)),2,0))+
            (IF(ISNUMBER(SEARCH("السكري",البيانات!AA265)),2,0))+
            (IF(ISNUMBER(SEARCH("ضغط",البيانات!AA265)),2,0)))</f>
        <v/>
      </c>
      <c r="H272" s="167" t="str">
        <f>IF(G272="","",IF(G272&gt;=8,"🔴 حرج",IF(G272&gt;=5,"🟠 عالي",IF(G272&gt;=3,"🟡 متوسط","🟢 منخفض"))))</f>
        <v/>
      </c>
      <c r="I272" s="167" t="str">
        <f>IF(H272="","",IF(H272="🔴 حرج","إحالة فورية",IF(H272="🟠 عالي","إحالة تخصصية",IF(H272="🟡 متوسط","متابعة مكثفة","متابعة روتينية"))))</f>
        <v/>
      </c>
      <c r="J272" s="167" t="str">
        <f>IF(F272="🔴 نعم",IF(البيانات!AE265="Yes","✅ تم العلاج","⚠️ بدون علاج"),"")</f>
        <v/>
      </c>
      <c r="K272" s="167" t="str">
        <f>IF(H272="","",IF(H272="🔴 حرج",1,IF(H272="🟠 عالي",2,IF(H272="🟡 متوسط",3,4))))</f>
        <v/>
      </c>
      <c r="L272" s="167" t="str">
        <f t="shared" si="1"/>
        <v/>
      </c>
    </row>
    <row r="273" spans="1:12">
      <c r="A273" s="167">
        <v>266</v>
      </c>
      <c r="B273" s="167" t="str">
        <f>IF(البيانات!V267="","",البيانات!V267)</f>
        <v/>
      </c>
      <c r="C273" s="167" t="str">
        <f>IF(البيانات!U267="","",البيانات!U267)</f>
        <v/>
      </c>
      <c r="D273" s="167" t="str">
        <f>IF(البيانات!T267="","",البيانات!T267)</f>
        <v/>
      </c>
      <c r="E273" s="167" t="str">
        <f>IF(البيانات!F267="","",البيانات!F267)</f>
        <v/>
      </c>
      <c r="F273" s="167" t="str">
        <f>IF(البيانات!AD267="Yes","🔴 نعم",IF(البيانات!AD267="No","🟢 لا",""))</f>
        <v/>
      </c>
      <c r="G273" s="167" t="str">
        <f>IF(B273="","",
            (IF(D273&gt;40,5,IF(D273&gt;35,3,0)))+
            (IF(F273="🔴 نعم",5,0))+
            (IF(ISNUMBER(SEARCH("السمنة",البيانات!Z266)),2,0))+
            (IF(ISNUMBER(SEARCH("السكري",البيانات!AA266)),2,0))+
            (IF(ISNUMBER(SEARCH("ضغط",البيانات!AA266)),2,0)))</f>
        <v/>
      </c>
      <c r="H273" s="167" t="str">
        <f>IF(G273="","",IF(G273&gt;=8,"🔴 حرج",IF(G273&gt;=5,"🟠 عالي",IF(G273&gt;=3,"🟡 متوسط","🟢 منخفض"))))</f>
        <v/>
      </c>
      <c r="I273" s="167" t="str">
        <f>IF(H273="","",IF(H273="🔴 حرج","إحالة فورية",IF(H273="🟠 عالي","إحالة تخصصية",IF(H273="🟡 متوسط","متابعة مكثفة","متابعة روتينية"))))</f>
        <v/>
      </c>
      <c r="J273" s="167" t="str">
        <f>IF(F273="🔴 نعم",IF(البيانات!AE266="Yes","✅ تم العلاج","⚠️ بدون علاج"),"")</f>
        <v/>
      </c>
      <c r="K273" s="167" t="str">
        <f>IF(H273="","",IF(H273="🔴 حرج",1,IF(H273="🟠 عالي",2,IF(H273="🟡 متوسط",3,4))))</f>
        <v/>
      </c>
      <c r="L273" s="167" t="str">
        <f t="shared" si="1"/>
        <v/>
      </c>
    </row>
  </sheetData>
  <sheetProtection sheet="1" objects="1" scenarios="1"/>
  <mergeCells count="6">
    <mergeCell ref="M26:O26"/>
    <mergeCell ref="A1:L1"/>
    <mergeCell ref="A6:K6"/>
    <mergeCell ref="M3:O3"/>
    <mergeCell ref="M10:O10"/>
    <mergeCell ref="M16:O16"/>
  </mergeCells>
  <conditionalFormatting sqref="H8:H166">
    <cfRule type="containsText" dxfId="94" priority="1" operator="containsText" text="حرج">
      <formula>NOT(ISERROR(SEARCH("حرج",H8)))</formula>
    </cfRule>
    <cfRule type="containsText" dxfId="93" priority="2" operator="containsText" text="عالي">
      <formula>NOT(ISERROR(SEARCH("عالي",H8)))</formula>
    </cfRule>
    <cfRule type="containsText" dxfId="92" priority="3" operator="containsText" text="متوسط">
      <formula>NOT(ISERROR(SEARCH("متوسط",H8)))</formula>
    </cfRule>
    <cfRule type="containsText" dxfId="91" priority="4" operator="containsText" text="منخفض">
      <formula>NOT(ISERROR(SEARCH("منخفض",H8)))</formula>
    </cfRule>
  </conditionalFormatting>
  <conditionalFormatting sqref="J8:J166">
    <cfRule type="containsText" dxfId="90" priority="5" operator="containsText" text="بدون علاج">
      <formula>NOT(ISERROR(SEARCH("بدون علاج",J8)))</formula>
    </cfRule>
    <cfRule type="containsText" dxfId="89" priority="6" operator="containsText" text="تم العلاج">
      <formula>NOT(ISERROR(SEARCH("تم العلاج",J8)))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8BBA-32BC-40BC-960E-3A44A30282AE}">
  <sheetPr>
    <tabColor rgb="FFD32F2F"/>
  </sheetPr>
  <dimension ref="A1:O34"/>
  <sheetViews>
    <sheetView rightToLeft="1" tabSelected="1" topLeftCell="BK1" workbookViewId="0">
      <selection activeCell="A7" sqref="A7"/>
    </sheetView>
  </sheetViews>
  <sheetFormatPr defaultRowHeight="13.5"/>
  <cols>
    <col min="1" max="1" width="5" customWidth="1"/>
    <col min="2" max="2" width="16.625" customWidth="1"/>
    <col min="3" max="3" width="25" customWidth="1"/>
    <col min="4" max="4" width="8.375" customWidth="1"/>
    <col min="5" max="5" width="21.625" customWidth="1"/>
    <col min="6" max="6" width="16.625" customWidth="1"/>
    <col min="7" max="7" width="25" style="241" customWidth="1"/>
    <col min="8" max="8" width="13.375" style="241" customWidth="1"/>
    <col min="9" max="9" width="16.625" customWidth="1"/>
    <col min="10" max="10" width="25" style="241" customWidth="1"/>
    <col min="12" max="14" width="9" style="241"/>
  </cols>
  <sheetData>
    <row r="1" spans="1:15" ht="18">
      <c r="A1" s="314" t="s">
        <v>557</v>
      </c>
      <c r="B1" s="315"/>
      <c r="C1" s="315"/>
      <c r="D1" s="315"/>
      <c r="E1" s="315"/>
      <c r="F1" s="315"/>
      <c r="G1" s="315"/>
      <c r="H1" s="315"/>
      <c r="I1" s="315"/>
      <c r="J1" s="315"/>
      <c r="K1" s="167"/>
      <c r="O1" s="167"/>
    </row>
    <row r="2" spans="1:15">
      <c r="A2" s="167"/>
      <c r="B2" s="167" cm="1">
        <f t="array" ref="B2">SUMPRODUCT((ISNUMBER(SEARCH("فهد",البيانات!$AS$2:$AS$300)))*1)</f>
        <v>1</v>
      </c>
      <c r="C2" s="167"/>
      <c r="D2" s="167"/>
      <c r="E2" s="167"/>
      <c r="F2" s="167"/>
      <c r="I2" s="167"/>
      <c r="K2" s="167"/>
      <c r="O2" s="167"/>
    </row>
    <row r="3" spans="1:15">
      <c r="A3" s="316" t="s">
        <v>558</v>
      </c>
      <c r="B3" s="315"/>
      <c r="C3" s="315"/>
      <c r="D3" s="315"/>
      <c r="E3" s="315"/>
      <c r="F3" s="315"/>
      <c r="G3" s="315"/>
      <c r="H3" s="315"/>
      <c r="I3" s="315"/>
      <c r="J3" s="315"/>
      <c r="K3" s="167"/>
      <c r="O3" s="167"/>
    </row>
    <row r="5" spans="1:15">
      <c r="A5" s="188" t="s">
        <v>352</v>
      </c>
      <c r="B5" s="188" t="s">
        <v>353</v>
      </c>
      <c r="C5" s="188" t="s">
        <v>354</v>
      </c>
      <c r="D5" s="188" t="s">
        <v>355</v>
      </c>
      <c r="E5" s="188" t="s">
        <v>48</v>
      </c>
      <c r="F5" s="188" t="s">
        <v>559</v>
      </c>
      <c r="G5" s="293" t="s">
        <v>357</v>
      </c>
      <c r="H5" s="293" t="s">
        <v>358</v>
      </c>
      <c r="I5" s="188" t="s">
        <v>560</v>
      </c>
      <c r="J5" s="293" t="s">
        <v>561</v>
      </c>
      <c r="K5" s="189" t="s">
        <v>562</v>
      </c>
      <c r="L5" s="298" t="s">
        <v>563</v>
      </c>
      <c r="M5" s="298" t="s">
        <v>564</v>
      </c>
      <c r="N5" s="298" t="s">
        <v>565</v>
      </c>
      <c r="O5" s="167"/>
    </row>
    <row r="6" spans="1:15">
      <c r="A6" s="167"/>
      <c r="B6" s="167"/>
      <c r="C6" s="167"/>
      <c r="D6" s="167"/>
      <c r="E6" s="167"/>
      <c r="F6" s="167"/>
      <c r="I6" s="167"/>
      <c r="K6" s="167"/>
      <c r="O6" s="167"/>
    </row>
    <row r="7" spans="1:15">
      <c r="A7" s="165">
        <v>1</v>
      </c>
      <c r="B7" s="165" t="str" cm="1">
        <f t="array" ref="B7">IFERROR(INDEX(_xlfn._xlws.FILTER(البيانات!$V:$V,ISNUMBER(SEARCH("فهد",البيانات!$AS:$AS))),ROW()-6),"")</f>
        <v>1108769298</v>
      </c>
      <c r="C7" s="165" t="str" cm="1">
        <f t="array" ref="C7">IFERROR(INDEX(_xlfn._xlws.FILTER(البيانات!$U:$U,ISNUMBER(SEARCH("فهد",البيانات!$AS:$AS))),ROW()-6),"")</f>
        <v>منيرة خالد علي خبراني</v>
      </c>
      <c r="D7" s="165" cm="1">
        <f t="array" ref="D7">IFERROR(INDEX(_xlfn._xlws.FILTER(البيانات!$T:$T,ISNUMBER(SEARCH("فهد",البيانات!$AS:$AS))),ROW()-6),"")</f>
        <v>26</v>
      </c>
      <c r="E7" s="165" t="str" cm="1">
        <f t="array" ref="E7">IFERROR(INDEX(_xlfn._xlws.FILTER(البيانات!$F:$F,ISNUMBER(SEARCH("فهد",البيانات!$AS:$AS))),ROW()-6),"")</f>
        <v>القطاع الأوسط Middle Sector</v>
      </c>
      <c r="F7" s="165" t="str" cm="1">
        <f t="array" ref="F7">IFERROR(INDEX(_xlfn._xlws.FILTER(البيانات!$Y:$Y,ISNUMBER(SEARCH("فهد",البيانات!$AS:$AS))),ROW()-6),"")</f>
        <v>0551309299</v>
      </c>
      <c r="G7" s="294"/>
      <c r="H7" s="294"/>
      <c r="I7" s="190" cm="1">
        <f t="array" ref="I7">IFERROR(INDEX(_xlfn._xlws.FILTER(البيانات!$P:$P,ISNUMBER(SEARCH("فهد",البيانات!$AS:$AS))),ROW()-6),"")</f>
        <v>46113</v>
      </c>
      <c r="J7" s="296" cm="1">
        <f t="array" ref="J7">IFERROR(INDEX(_xlfn._xlws.FILTER(البيانات!$AI:$AI,ISNUMBER(SEARCH("فهد",البيانات!$AS:$AS))),ROW()-6),"")</f>
        <v>46117</v>
      </c>
      <c r="K7" s="165" t="str">
        <f>IF(OR(I7="",J7=""),"",IF(NETWORKDAYS.INTL(I7,J7,"0000011")-1&lt;=2,"✅ ملتزم","❌ غير ملتزم"))</f>
        <v>✅ ملتزم</v>
      </c>
      <c r="L7" s="294" t="str" cm="1">
        <f t="array" ref="L7">IFERROR(INDEX(_xlfn._xlws.FILTER(البيانات!$AJ:$AJ,ISNUMBER(SEARCH("فهد",البيانات!$AS:$AS))),ROW()-6),"")</f>
        <v>حضرت</v>
      </c>
      <c r="M7" s="294"/>
      <c r="N7" s="294"/>
      <c r="O7" s="167"/>
    </row>
    <row r="8" spans="1:15">
      <c r="A8" s="164">
        <v>2</v>
      </c>
      <c r="B8" s="164" t="str" cm="1">
        <f t="array" ref="B8">IFERROR(INDEX(_xlfn._xlws.FILTER(البيانات!$V:$V,ISNUMBER(SEARCH("فهد",البيانات!$AS:$AS))),2),"")</f>
        <v/>
      </c>
      <c r="C8" s="164" t="str" cm="1">
        <f t="array" ref="C8">IFERROR(INDEX(_xlfn._xlws.FILTER(البيانات!$U:$U,ISNUMBER(SEARCH("فهد",البيانات!$AS:$AS))),2),"")</f>
        <v/>
      </c>
      <c r="D8" s="164" t="str" cm="1">
        <f t="array" ref="D8">IFERROR(INDEX(_xlfn._xlws.FILTER(البيانات!$T:$T,ISNUMBER(SEARCH("فهد",البيانات!$AS:$AS))),2),"")</f>
        <v/>
      </c>
      <c r="E8" s="164" t="str" cm="1">
        <f t="array" ref="E8">IFERROR(INDEX(_xlfn._xlws.FILTER(البيانات!$F:$F,ISNUMBER(SEARCH("فهد",البيانات!$AS:$AS))),2),"")</f>
        <v/>
      </c>
      <c r="F8" s="164" t="str" cm="1">
        <f t="array" ref="F8">IFERROR(INDEX(_xlfn._xlws.FILTER(البيانات!$Y:$Y,ISNUMBER(SEARCH("فهد",البيانات!$AS:$AS))),2),"")</f>
        <v/>
      </c>
      <c r="G8" s="295"/>
      <c r="H8" s="295"/>
      <c r="I8" s="187" t="str" cm="1">
        <f t="array" ref="I8">IFERROR(INDEX(_xlfn._xlws.FILTER(البيانات!$P:$P,ISNUMBER(SEARCH("فهد",البيانات!$AS:$AS))),2),"")</f>
        <v/>
      </c>
      <c r="J8" s="297" t="str" cm="1">
        <f t="array" ref="J8">IFERROR(INDEX(_xlfn._xlws.FILTER(البيانات!$AI:$AI,ISNUMBER(SEARCH("فهد",البيانات!$AS:$AS))),2),"")</f>
        <v/>
      </c>
      <c r="K8" s="164" t="str">
        <f>IF(OR(I8="",J8=""),"⏳ بانتظار",IF(NETWORKDAYS.INTL(I8,J8,"0000011")-1&lt;=2,"✅ ملتزم","❌ غير ملتزم"))</f>
        <v>⏳ بانتظار</v>
      </c>
      <c r="L8" s="295" t="str" cm="1">
        <f t="array" ref="L8">IFERROR(INDEX(_xlfn._xlws.FILTER(البيانات!$AJ:$AJ,ISNUMBER(SEARCH("فهد",البيانات!$AS:$AS))),2),"")</f>
        <v/>
      </c>
      <c r="M8" s="299"/>
      <c r="N8" s="300"/>
      <c r="O8" s="167"/>
    </row>
    <row r="9" spans="1:15">
      <c r="A9" s="164">
        <v>3</v>
      </c>
      <c r="B9" s="164" t="str" cm="1">
        <f t="array" ref="B9">IFERROR(INDEX(_xlfn._xlws.FILTER(البيانات!$V:$V,ISNUMBER(SEARCH("فهد",البيانات!$AS:$AS))),3),"")</f>
        <v/>
      </c>
      <c r="C9" s="164" t="str" cm="1">
        <f t="array" ref="C9">IFERROR(INDEX(_xlfn._xlws.FILTER(البيانات!$U:$U,ISNUMBER(SEARCH("فهد",البيانات!$AS:$AS))),3),"")</f>
        <v/>
      </c>
      <c r="D9" s="164" t="str" cm="1">
        <f t="array" ref="D9">IFERROR(INDEX(_xlfn._xlws.FILTER(البيانات!$T:$T,ISNUMBER(SEARCH("فهد",البيانات!$AS:$AS))),3),"")</f>
        <v/>
      </c>
      <c r="E9" s="164" t="str" cm="1">
        <f t="array" ref="E9">IFERROR(INDEX(_xlfn._xlws.FILTER(البيانات!$F:$F,ISNUMBER(SEARCH("فهد",البيانات!$AS:$AS))),3),"")</f>
        <v/>
      </c>
      <c r="F9" s="164" t="str" cm="1">
        <f t="array" ref="F9">IFERROR(INDEX(_xlfn._xlws.FILTER(البيانات!$Y:$Y,ISNUMBER(SEARCH("فهد",البيانات!$AS:$AS))),3),"")</f>
        <v/>
      </c>
      <c r="G9" s="295"/>
      <c r="H9" s="295"/>
      <c r="I9" s="187" t="str" cm="1">
        <f t="array" ref="I9">IFERROR(INDEX(_xlfn._xlws.FILTER(البيانات!$P:$P,ISNUMBER(SEARCH("فهد",البيانات!$AS:$AS))),3),"")</f>
        <v/>
      </c>
      <c r="J9" s="297" t="str" cm="1">
        <f t="array" ref="J9">IFERROR(INDEX(_xlfn._xlws.FILTER(البيانات!$AI:$AI,ISNUMBER(SEARCH("فهد",البيانات!$AS:$AS))),3),"")</f>
        <v/>
      </c>
      <c r="K9" s="164" t="str">
        <f>IF(OR(I9="",J9=""),"⏳ بانتظار",IF(NETWORKDAYS.INTL(I9,J9,"0000011")-1&lt;=2,"✅ ملتزم","❌ غير ملتزم"))</f>
        <v>⏳ بانتظار</v>
      </c>
      <c r="L9" s="295" t="str" cm="1">
        <f t="array" ref="L9">IFERROR(INDEX(_xlfn._xlws.FILTER(البيانات!$AJ:$AJ,ISNUMBER(SEARCH("فهد",البيانات!$AS:$AS))),3),"")</f>
        <v/>
      </c>
      <c r="M9" s="299"/>
      <c r="N9" s="300"/>
      <c r="O9" s="167"/>
    </row>
    <row r="10" spans="1:15">
      <c r="A10" s="164">
        <v>4</v>
      </c>
      <c r="B10" s="164" t="str" cm="1">
        <f t="array" ref="B10">IFERROR(INDEX(_xlfn._xlws.FILTER(البيانات!$V:$V,ISNUMBER(SEARCH("فهد",البيانات!$AS:$AS))),4),"")</f>
        <v/>
      </c>
      <c r="C10" s="164" t="str" cm="1">
        <f t="array" ref="C10">IFERROR(INDEX(_xlfn._xlws.FILTER(البيانات!$U:$U,ISNUMBER(SEARCH("فهد",البيانات!$AS:$AS))),4),"")</f>
        <v/>
      </c>
      <c r="D10" s="164" t="str" cm="1">
        <f t="array" ref="D10">IFERROR(INDEX(_xlfn._xlws.FILTER(البيانات!$T:$T,ISNUMBER(SEARCH("فهد",البيانات!$AS:$AS))),4),"")</f>
        <v/>
      </c>
      <c r="E10" s="164" t="str" cm="1">
        <f t="array" ref="E10">IFERROR(INDEX(_xlfn._xlws.FILTER(البيانات!$F:$F,ISNUMBER(SEARCH("فهد",البيانات!$AS:$AS))),4),"")</f>
        <v/>
      </c>
      <c r="F10" s="164" t="str" cm="1">
        <f t="array" ref="F10">IFERROR(INDEX(_xlfn._xlws.FILTER(البيانات!$Y:$Y,ISNUMBER(SEARCH("فهد",البيانات!$AS:$AS))),4),"")</f>
        <v/>
      </c>
      <c r="G10" s="295"/>
      <c r="H10" s="295"/>
      <c r="I10" s="187" t="str" cm="1">
        <f t="array" ref="I10">IFERROR(INDEX(_xlfn._xlws.FILTER(البيانات!$P:$P,ISNUMBER(SEARCH("فهد",البيانات!$AS:$AS))),4),"")</f>
        <v/>
      </c>
      <c r="J10" s="297" t="str" cm="1">
        <f t="array" ref="J10">IFERROR(INDEX(_xlfn._xlws.FILTER(البيانات!$AI:$AI,ISNUMBER(SEARCH("فهد",البيانات!$AS:$AS))),4),"")</f>
        <v/>
      </c>
      <c r="K10" s="164" t="str">
        <f>IF(OR(I10="",J10=""),"⏳ بانتظار",IF(NETWORKDAYS.INTL(I10,J10,"0000011")-1&lt;=2,"✅ ملتزم","❌ غير ملتزم"))</f>
        <v>⏳ بانتظار</v>
      </c>
      <c r="L10" s="295" t="str" cm="1">
        <f t="array" ref="L10">IFERROR(INDEX(_xlfn._xlws.FILTER(البيانات!$AJ:$AJ,ISNUMBER(SEARCH("فهد",البيانات!$AS:$AS))),4),"")</f>
        <v/>
      </c>
      <c r="M10" s="299"/>
      <c r="N10" s="300"/>
      <c r="O10" s="167"/>
    </row>
    <row r="11" spans="1:15">
      <c r="A11" s="164">
        <v>5</v>
      </c>
      <c r="B11" s="164" t="str" cm="1">
        <f t="array" ref="B11">IFERROR(INDEX(_xlfn._xlws.FILTER(البيانات!$V:$V,ISNUMBER(SEARCH("فهد",البيانات!$AS:$AS))),5),"")</f>
        <v/>
      </c>
      <c r="C11" s="164" t="str" cm="1">
        <f t="array" ref="C11">IFERROR(INDEX(_xlfn._xlws.FILTER(البيانات!$U:$U,ISNUMBER(SEARCH("فهد",البيانات!$AS:$AS))),5),"")</f>
        <v/>
      </c>
      <c r="D11" s="164" t="str" cm="1">
        <f t="array" ref="D11">IFERROR(INDEX(_xlfn._xlws.FILTER(البيانات!$T:$T,ISNUMBER(SEARCH("فهد",البيانات!$AS:$AS))),5),"")</f>
        <v/>
      </c>
      <c r="E11" s="164" t="str" cm="1">
        <f t="array" ref="E11">IFERROR(INDEX(_xlfn._xlws.FILTER(البيانات!$F:$F,ISNUMBER(SEARCH("فهد",البيانات!$AS:$AS))),5),"")</f>
        <v/>
      </c>
      <c r="F11" s="164" t="str" cm="1">
        <f t="array" ref="F11">IFERROR(INDEX(_xlfn._xlws.FILTER(البيانات!$Y:$Y,ISNUMBER(SEARCH("فهد",البيانات!$AS:$AS))),5),"")</f>
        <v/>
      </c>
      <c r="G11" s="295"/>
      <c r="H11" s="295"/>
      <c r="I11" s="187" t="str" cm="1">
        <f t="array" ref="I11">IFERROR(INDEX(_xlfn._xlws.FILTER(البيانات!$P:$P,ISNUMBER(SEARCH("فهد",البيانات!$AS:$AS))),5),"")</f>
        <v/>
      </c>
      <c r="J11" s="297" t="str" cm="1">
        <f t="array" ref="J11">IFERROR(INDEX(_xlfn._xlws.FILTER(البيانات!$AI:$AI,ISNUMBER(SEARCH("فهد",البيانات!$AS:$AS))),5),"")</f>
        <v/>
      </c>
      <c r="K11" s="164" t="str">
        <f>IF(OR(I11="",J11=""),"⏳ بانتظار",IF(NETWORKDAYS.INTL(I11,J11,"0000011")-1&lt;=2,"✅ ملتزم","❌ غير ملتزم"))</f>
        <v>⏳ بانتظار</v>
      </c>
      <c r="L11" s="295" t="str" cm="1">
        <f t="array" ref="L11">IFERROR(INDEX(_xlfn._xlws.FILTER(البيانات!$AJ:$AJ,ISNUMBER(SEARCH("فهد",البيانات!$AS:$AS))),5),"")</f>
        <v/>
      </c>
      <c r="M11" s="299"/>
      <c r="N11" s="300"/>
      <c r="O11" s="167"/>
    </row>
    <row r="12" spans="1:15">
      <c r="A12" s="164">
        <v>6</v>
      </c>
      <c r="B12" s="164" t="str" cm="1">
        <f t="array" ref="B12">IFERROR(INDEX(_xlfn._xlws.FILTER(البيانات!$V:$V,ISNUMBER(SEARCH("فهد",البيانات!$AS:$AS))),6),"")</f>
        <v/>
      </c>
      <c r="C12" s="164" t="str" cm="1">
        <f t="array" ref="C12">IFERROR(INDEX(_xlfn._xlws.FILTER(البيانات!$U:$U,ISNUMBER(SEARCH("فهد",البيانات!$AS:$AS))),6),"")</f>
        <v/>
      </c>
      <c r="D12" s="164" t="str" cm="1">
        <f t="array" ref="D12">IFERROR(INDEX(_xlfn._xlws.FILTER(البيانات!$T:$T,ISNUMBER(SEARCH("فهد",البيانات!$AS:$AS))),6),"")</f>
        <v/>
      </c>
      <c r="E12" s="164" t="str" cm="1">
        <f t="array" ref="E12">IFERROR(INDEX(_xlfn._xlws.FILTER(البيانات!$F:$F,ISNUMBER(SEARCH("فهد",البيانات!$AS:$AS))),6),"")</f>
        <v/>
      </c>
      <c r="F12" s="164" t="str" cm="1">
        <f t="array" ref="F12">IFERROR(INDEX(_xlfn._xlws.FILTER(البيانات!$Y:$Y,ISNUMBER(SEARCH("فهد",البيانات!$AS:$AS))),6),"")</f>
        <v/>
      </c>
      <c r="G12" s="295"/>
      <c r="H12" s="295"/>
      <c r="I12" s="187" t="str" cm="1">
        <f t="array" ref="I12">IFERROR(INDEX(_xlfn._xlws.FILTER(البيانات!$P:$P,ISNUMBER(SEARCH("فهد",البيانات!$AS:$AS))),6),"")</f>
        <v/>
      </c>
      <c r="J12" s="297" t="str" cm="1">
        <f t="array" ref="J12">IFERROR(INDEX(_xlfn._xlws.FILTER(البيانات!$AI:$AI,ISNUMBER(SEARCH("فهد",البيانات!$AS:$AS))),6),"")</f>
        <v/>
      </c>
      <c r="K12" s="164" t="str">
        <f>IF(OR(I12="",J12=""),"⏳ بانتظار",IF(NETWORKDAYS.INTL(I12,J12,"0000011")-1&lt;=2,"✅ ملتزم","❌ غير ملتزم"))</f>
        <v>⏳ بانتظار</v>
      </c>
      <c r="L12" s="295" t="str" cm="1">
        <f t="array" ref="L12">IFERROR(INDEX(_xlfn._xlws.FILTER(البيانات!$AJ:$AJ,ISNUMBER(SEARCH("فهد",البيانات!$AS:$AS))),6),"")</f>
        <v/>
      </c>
      <c r="M12" s="299"/>
      <c r="N12" s="300"/>
      <c r="O12" s="167"/>
    </row>
    <row r="13" spans="1:15">
      <c r="A13" s="164">
        <v>7</v>
      </c>
      <c r="B13" s="164" t="str" cm="1">
        <f t="array" ref="B13">IFERROR(INDEX(_xlfn._xlws.FILTER(البيانات!$V:$V,ISNUMBER(SEARCH("فهد",البيانات!$AS:$AS))),7),"")</f>
        <v/>
      </c>
      <c r="C13" s="164" t="str" cm="1">
        <f t="array" ref="C13">IFERROR(INDEX(_xlfn._xlws.FILTER(البيانات!$U:$U,ISNUMBER(SEARCH("فهد",البيانات!$AS:$AS))),7),"")</f>
        <v/>
      </c>
      <c r="D13" s="164" t="str" cm="1">
        <f t="array" ref="D13">IFERROR(INDEX(_xlfn._xlws.FILTER(البيانات!$T:$T,ISNUMBER(SEARCH("فهد",البيانات!$AS:$AS))),7),"")</f>
        <v/>
      </c>
      <c r="E13" s="164" t="str" cm="1">
        <f t="array" ref="E13">IFERROR(INDEX(_xlfn._xlws.FILTER(البيانات!$F:$F,ISNUMBER(SEARCH("فهد",البيانات!$AS:$AS))),7),"")</f>
        <v/>
      </c>
      <c r="F13" s="164" t="str" cm="1">
        <f t="array" ref="F13">IFERROR(INDEX(_xlfn._xlws.FILTER(البيانات!$Y:$Y,ISNUMBER(SEARCH("فهد",البيانات!$AS:$AS))),7),"")</f>
        <v/>
      </c>
      <c r="G13" s="295"/>
      <c r="H13" s="295"/>
      <c r="I13" s="187" t="str" cm="1">
        <f t="array" ref="I13">IFERROR(INDEX(_xlfn._xlws.FILTER(البيانات!$P:$P,ISNUMBER(SEARCH("فهد",البيانات!$AS:$AS))),7),"")</f>
        <v/>
      </c>
      <c r="J13" s="297" t="str" cm="1">
        <f t="array" ref="J13">IFERROR(INDEX(_xlfn._xlws.FILTER(البيانات!$AI:$AI,ISNUMBER(SEARCH("فهد",البيانات!$AS:$AS))),7),"")</f>
        <v/>
      </c>
      <c r="K13" s="164" t="str">
        <f>IF(OR(I13="",J13=""),"⏳ بانتظار",IF(NETWORKDAYS.INTL(I13,J13,"0000011")-1&lt;=2,"✅ ملتزم","❌ غير ملتزم"))</f>
        <v>⏳ بانتظار</v>
      </c>
      <c r="L13" s="295" t="str" cm="1">
        <f t="array" ref="L13">IFERROR(INDEX(_xlfn._xlws.FILTER(البيانات!$AJ:$AJ,ISNUMBER(SEARCH("فهد",البيانات!$AS:$AS))),7),"")</f>
        <v/>
      </c>
      <c r="M13" s="299"/>
      <c r="N13" s="300"/>
      <c r="O13" s="167"/>
    </row>
    <row r="14" spans="1:15">
      <c r="A14" s="164">
        <v>8</v>
      </c>
      <c r="B14" s="164" t="str" cm="1">
        <f t="array" ref="B14">IFERROR(INDEX(_xlfn._xlws.FILTER(البيانات!$V:$V,ISNUMBER(SEARCH("فهد",البيانات!$AS:$AS))),8),"")</f>
        <v/>
      </c>
      <c r="C14" s="164" t="str" cm="1">
        <f t="array" ref="C14">IFERROR(INDEX(_xlfn._xlws.FILTER(البيانات!$U:$U,ISNUMBER(SEARCH("فهد",البيانات!$AS:$AS))),8),"")</f>
        <v/>
      </c>
      <c r="D14" s="164" t="str" cm="1">
        <f t="array" ref="D14">IFERROR(INDEX(_xlfn._xlws.FILTER(البيانات!$T:$T,ISNUMBER(SEARCH("فهد",البيانات!$AS:$AS))),8),"")</f>
        <v/>
      </c>
      <c r="E14" s="164" t="str" cm="1">
        <f t="array" ref="E14">IFERROR(INDEX(_xlfn._xlws.FILTER(البيانات!$F:$F,ISNUMBER(SEARCH("فهد",البيانات!$AS:$AS))),8),"")</f>
        <v/>
      </c>
      <c r="F14" s="164" t="str" cm="1">
        <f t="array" ref="F14">IFERROR(INDEX(_xlfn._xlws.FILTER(البيانات!$Y:$Y,ISNUMBER(SEARCH("فهد",البيانات!$AS:$AS))),8),"")</f>
        <v/>
      </c>
      <c r="G14" s="295"/>
      <c r="H14" s="295"/>
      <c r="I14" s="187" t="str" cm="1">
        <f t="array" ref="I14">IFERROR(INDEX(_xlfn._xlws.FILTER(البيانات!$P:$P,ISNUMBER(SEARCH("فهد",البيانات!$AS:$AS))),8),"")</f>
        <v/>
      </c>
      <c r="J14" s="297" t="str" cm="1">
        <f t="array" ref="J14">IFERROR(INDEX(_xlfn._xlws.FILTER(البيانات!$AI:$AI,ISNUMBER(SEARCH("فهد",البيانات!$AS:$AS))),8),"")</f>
        <v/>
      </c>
      <c r="K14" s="164" t="str">
        <f>IF(OR(I14="",J14=""),"⏳ بانتظار",IF(NETWORKDAYS.INTL(I14,J14,"0000011")-1&lt;=2,"✅ ملتزم","❌ غير ملتزم"))</f>
        <v>⏳ بانتظار</v>
      </c>
      <c r="L14" s="295" t="str" cm="1">
        <f t="array" ref="L14">IFERROR(INDEX(_xlfn._xlws.FILTER(البيانات!$AJ:$AJ,ISNUMBER(SEARCH("فهد",البيانات!$AS:$AS))),8),"")</f>
        <v/>
      </c>
      <c r="M14" s="299"/>
      <c r="N14" s="300"/>
      <c r="O14" s="167"/>
    </row>
    <row r="15" spans="1:15">
      <c r="A15" s="164">
        <v>9</v>
      </c>
      <c r="B15" s="164" t="str" cm="1">
        <f t="array" ref="B15">IFERROR(INDEX(_xlfn._xlws.FILTER(البيانات!$V:$V,ISNUMBER(SEARCH("فهد",البيانات!$AS:$AS))),9),"")</f>
        <v/>
      </c>
      <c r="C15" s="164" t="str" cm="1">
        <f t="array" ref="C15">IFERROR(INDEX(_xlfn._xlws.FILTER(البيانات!$U:$U,ISNUMBER(SEARCH("فهد",البيانات!$AS:$AS))),9),"")</f>
        <v/>
      </c>
      <c r="D15" s="164" t="str" cm="1">
        <f t="array" ref="D15">IFERROR(INDEX(_xlfn._xlws.FILTER(البيانات!$T:$T,ISNUMBER(SEARCH("فهد",البيانات!$AS:$AS))),9),"")</f>
        <v/>
      </c>
      <c r="E15" s="164" t="str" cm="1">
        <f t="array" ref="E15">IFERROR(INDEX(_xlfn._xlws.FILTER(البيانات!$F:$F,ISNUMBER(SEARCH("فهد",البيانات!$AS:$AS))),9),"")</f>
        <v/>
      </c>
      <c r="F15" s="164" t="str" cm="1">
        <f t="array" ref="F15">IFERROR(INDEX(_xlfn._xlws.FILTER(البيانات!$Y:$Y,ISNUMBER(SEARCH("فهد",البيانات!$AS:$AS))),9),"")</f>
        <v/>
      </c>
      <c r="G15" s="295"/>
      <c r="H15" s="295"/>
      <c r="I15" s="187" t="str" cm="1">
        <f t="array" ref="I15">IFERROR(INDEX(_xlfn._xlws.FILTER(البيانات!$P:$P,ISNUMBER(SEARCH("فهد",البيانات!$AS:$AS))),9),"")</f>
        <v/>
      </c>
      <c r="J15" s="297" t="str" cm="1">
        <f t="array" ref="J15">IFERROR(INDEX(_xlfn._xlws.FILTER(البيانات!$AI:$AI,ISNUMBER(SEARCH("فهد",البيانات!$AS:$AS))),9),"")</f>
        <v/>
      </c>
      <c r="K15" s="164" t="str">
        <f>IF(OR(I15="",J15=""),"⏳ بانتظار",IF(NETWORKDAYS.INTL(I15,J15,"0000011")-1&lt;=2,"✅ ملتزم","❌ غير ملتزم"))</f>
        <v>⏳ بانتظار</v>
      </c>
      <c r="L15" s="295" t="str" cm="1">
        <f t="array" ref="L15">IFERROR(INDEX(_xlfn._xlws.FILTER(البيانات!$AJ:$AJ,ISNUMBER(SEARCH("فهد",البيانات!$AS:$AS))),9),"")</f>
        <v/>
      </c>
      <c r="M15" s="299"/>
      <c r="N15" s="300"/>
      <c r="O15" s="167"/>
    </row>
    <row r="16" spans="1:15">
      <c r="A16" s="164">
        <v>10</v>
      </c>
      <c r="B16" s="164" t="str" cm="1">
        <f t="array" ref="B16">IFERROR(INDEX(_xlfn._xlws.FILTER(البيانات!$V:$V,ISNUMBER(SEARCH("فهد",البيانات!$AS:$AS))),10),"")</f>
        <v/>
      </c>
      <c r="C16" s="164" t="str" cm="1">
        <f t="array" ref="C16">IFERROR(INDEX(_xlfn._xlws.FILTER(البيانات!$U:$U,ISNUMBER(SEARCH("فهد",البيانات!$AS:$AS))),10),"")</f>
        <v/>
      </c>
      <c r="D16" s="164" t="str" cm="1">
        <f t="array" ref="D16">IFERROR(INDEX(_xlfn._xlws.FILTER(البيانات!$T:$T,ISNUMBER(SEARCH("فهد",البيانات!$AS:$AS))),10),"")</f>
        <v/>
      </c>
      <c r="E16" s="164" t="str" cm="1">
        <f t="array" ref="E16">IFERROR(INDEX(_xlfn._xlws.FILTER(البيانات!$F:$F,ISNUMBER(SEARCH("فهد",البيانات!$AS:$AS))),10),"")</f>
        <v/>
      </c>
      <c r="F16" s="164" t="str" cm="1">
        <f t="array" ref="F16">IFERROR(INDEX(_xlfn._xlws.FILTER(البيانات!$Y:$Y,ISNUMBER(SEARCH("فهد",البيانات!$AS:$AS))),10),"")</f>
        <v/>
      </c>
      <c r="G16" s="295"/>
      <c r="H16" s="295"/>
      <c r="I16" s="187" t="str" cm="1">
        <f t="array" ref="I16">IFERROR(INDEX(_xlfn._xlws.FILTER(البيانات!$P:$P,ISNUMBER(SEARCH("فهد",البيانات!$AS:$AS))),10),"")</f>
        <v/>
      </c>
      <c r="J16" s="297" t="str" cm="1">
        <f t="array" ref="J16">IFERROR(INDEX(_xlfn._xlws.FILTER(البيانات!$AI:$AI,ISNUMBER(SEARCH("فهد",البيانات!$AS:$AS))),10),"")</f>
        <v/>
      </c>
      <c r="K16" s="164" t="str">
        <f>IF(OR(I16="",J16=""),"⏳ بانتظار",IF(NETWORKDAYS.INTL(I16,J16,"0000011")-1&lt;=2,"✅ ملتزم","❌ غير ملتزم"))</f>
        <v>⏳ بانتظار</v>
      </c>
      <c r="L16" s="295" t="str" cm="1">
        <f t="array" ref="L16">IFERROR(INDEX(_xlfn._xlws.FILTER(البيانات!$AJ:$AJ,ISNUMBER(SEARCH("فهد",البيانات!$AS:$AS))),10),"")</f>
        <v/>
      </c>
      <c r="M16" s="299"/>
      <c r="N16" s="300"/>
      <c r="O16" s="167"/>
    </row>
    <row r="17" spans="1:15">
      <c r="A17" s="164">
        <v>11</v>
      </c>
      <c r="B17" s="164" t="str" cm="1">
        <f t="array" ref="B17">IFERROR(INDEX(البيانات!$V$2:$V$500,SMALL(IF((ISNUMBER(SEARCH("فهد",البيانات!$AM$2:$AM$500))+ISNUMBER(SEARCH("KFCH",البيانات!$AM$2:$AM$500)))&gt;0,ROW(البيانات!$V$2:$V$500)-ROW(البيانات!$V$2)+1),11)),"")</f>
        <v/>
      </c>
      <c r="C17" s="164" t="str" cm="1">
        <f t="array" ref="C17">IFERROR(INDEX(البيانات!$U$2:$U$500,SMALL(IF((ISNUMBER(SEARCH("فهد",البيانات!$AM$2:$AM$500))+ISNUMBER(SEARCH("KFCH",البيانات!$AM$2:$AM$500)))&gt;0,ROW(البيانات!$U$2:$U$500)-ROW(البيانات!$U$2)+1),11)),"")</f>
        <v/>
      </c>
      <c r="D17" s="164" t="str" cm="1">
        <f t="array" ref="D17">IFERROR(INDEX(البيانات!$T$2:$T$500,SMALL(IF((ISNUMBER(SEARCH("فهد",البيانات!$AM$2:$AM$500))+ISNUMBER(SEARCH("KFCH",البيانات!$AM$2:$AM$500)))&gt;0,ROW(البيانات!$T$2:$T$500)-ROW(البيانات!$T$2)+1),11)),"")</f>
        <v/>
      </c>
      <c r="E17" s="164" t="str" cm="1">
        <f t="array" ref="E17">IFERROR(INDEX(البيانات!$F$2:$F$500,SMALL(IF((ISNUMBER(SEARCH("فهد",البيانات!$AM$2:$AM$500))+ISNUMBER(SEARCH("KFCH",البيانات!$AM$2:$AM$500)))&gt;0,ROW(البيانات!$F$2:$F$500)-ROW(البيانات!$F$2)+1),11)),"")</f>
        <v/>
      </c>
      <c r="F17" s="164" t="str" cm="1">
        <f t="array" ref="F17">IFERROR(INDEX(البيانات!$Y$2:$Y$500,SMALL(IF((ISNUMBER(SEARCH("فهد",البيانات!$AM$2:$AM$500))+ISNUMBER(SEARCH("KFCH",البيانات!$AM$2:$AM$500)))&gt;0,ROW(البيانات!$Y$2:$Y$500)-ROW(البيانات!$Y$2)+1),11)),"")</f>
        <v/>
      </c>
      <c r="G17" s="295"/>
      <c r="H17" s="295"/>
      <c r="I17" s="164" t="str" cm="1">
        <f t="array" ref="I17">IFERROR(INDEX(البيانات!$P$2:$P$500,SMALL(IF((ISNUMBER(SEARCH("فهد",البيانات!$AM$2:$AM$500))+ISNUMBER(SEARCH("KFCH",البيانات!$AM$2:$AM$500)))&gt;0,ROW(البيانات!$P$2:$P$500)-ROW(البيانات!$P$2)+1),11)),"")</f>
        <v/>
      </c>
      <c r="J17" s="295" t="str" cm="1">
        <f t="array" ref="J17">IFERROR(INDEX(البيانات!$AI$2:$AI$500,SMALL(IF((ISNUMBER(SEARCH("فهد",البيانات!$AM$2:$AM$500))+ISNUMBER(SEARCH("KFCH",البيانات!$AM$2:$AM$500)))&gt;0,ROW(البيانات!$AI$2:$AI$500)-ROW(البيانات!$AI$2)+1),11)),"")</f>
        <v/>
      </c>
      <c r="K17" s="164" t="str">
        <f>IF(OR(I17="",J17=""),"",IF(NETWORKDAYS.INTL(I17,J17,"0000011")-1&lt;=2,"✅ ملتزم","❌ غير ملتزم"))</f>
        <v/>
      </c>
      <c r="L17" s="295" t="str" cm="1">
        <f t="array" ref="L17">IFERROR(INDEX(البيانات!$AJ$2:$AJ$500,SMALL(IF((ISNUMBER(SEARCH("فهد",البيانات!$AM$2:$AM$500))+ISNUMBER(SEARCH("KFCH",البيانات!$AM$2:$AM$500)))&gt;0,ROW(البيانات!$AJ$2:$AJ$500)-ROW(البيانات!$AJ$2)+1),11)),"")</f>
        <v/>
      </c>
      <c r="M17" s="299"/>
      <c r="N17" s="300"/>
      <c r="O17" s="167"/>
    </row>
    <row r="18" spans="1:15">
      <c r="A18" s="164">
        <v>12</v>
      </c>
      <c r="B18" s="164" t="str" cm="1">
        <f t="array" ref="B18">IFERROR(INDEX(البيانات!$V$2:$V$500,SMALL(IF((ISNUMBER(SEARCH("فهد",البيانات!$AM$2:$AM$500))+ISNUMBER(SEARCH("KFCH",البيانات!$AM$2:$AM$500)))&gt;0,ROW(البيانات!$V$2:$V$500)-ROW(البيانات!$V$2)+1),12)),"")</f>
        <v/>
      </c>
      <c r="C18" s="164" t="str" cm="1">
        <f t="array" ref="C18">IFERROR(INDEX(البيانات!$U$2:$U$500,SMALL(IF((ISNUMBER(SEARCH("فهد",البيانات!$AM$2:$AM$500))+ISNUMBER(SEARCH("KFCH",البيانات!$AM$2:$AM$500)))&gt;0,ROW(البيانات!$U$2:$U$500)-ROW(البيانات!$U$2)+1),12)),"")</f>
        <v/>
      </c>
      <c r="D18" s="164" t="str" cm="1">
        <f t="array" ref="D18">IFERROR(INDEX(البيانات!$T$2:$T$500,SMALL(IF((ISNUMBER(SEARCH("فهد",البيانات!$AM$2:$AM$500))+ISNUMBER(SEARCH("KFCH",البيانات!$AM$2:$AM$500)))&gt;0,ROW(البيانات!$T$2:$T$500)-ROW(البيانات!$T$2)+1),12)),"")</f>
        <v/>
      </c>
      <c r="E18" s="164" t="str" cm="1">
        <f t="array" ref="E18">IFERROR(INDEX(البيانات!$F$2:$F$500,SMALL(IF((ISNUMBER(SEARCH("فهد",البيانات!$AM$2:$AM$500))+ISNUMBER(SEARCH("KFCH",البيانات!$AM$2:$AM$500)))&gt;0,ROW(البيانات!$F$2:$F$500)-ROW(البيانات!$F$2)+1),12)),"")</f>
        <v/>
      </c>
      <c r="F18" s="164" t="str" cm="1">
        <f t="array" ref="F18">IFERROR(INDEX(البيانات!$Y$2:$Y$500,SMALL(IF((ISNUMBER(SEARCH("فهد",البيانات!$AM$2:$AM$500))+ISNUMBER(SEARCH("KFCH",البيانات!$AM$2:$AM$500)))&gt;0,ROW(البيانات!$Y$2:$Y$500)-ROW(البيانات!$Y$2)+1),12)),"")</f>
        <v/>
      </c>
      <c r="G18" s="295"/>
      <c r="H18" s="295"/>
      <c r="I18" s="164" t="str" cm="1">
        <f t="array" ref="I18">IFERROR(INDEX(البيانات!$P$2:$P$500,SMALL(IF((ISNUMBER(SEARCH("فهد",البيانات!$AM$2:$AM$500))+ISNUMBER(SEARCH("KFCH",البيانات!$AM$2:$AM$500)))&gt;0,ROW(البيانات!$P$2:$P$500)-ROW(البيانات!$P$2)+1),12)),"")</f>
        <v/>
      </c>
      <c r="J18" s="295" t="str" cm="1">
        <f t="array" ref="J18">IFERROR(INDEX(البيانات!$AI$2:$AI$500,SMALL(IF((ISNUMBER(SEARCH("فهد",البيانات!$AM$2:$AM$500))+ISNUMBER(SEARCH("KFCH",البيانات!$AM$2:$AM$500)))&gt;0,ROW(البيانات!$AI$2:$AI$500)-ROW(البيانات!$AI$2)+1),12)),"")</f>
        <v/>
      </c>
      <c r="K18" s="164" t="str">
        <f>IF(OR(I18="",J18=""),"",IF(NETWORKDAYS.INTL(I18,J18,"0000011")-1&lt;=2,"✅ ملتزم","❌ غير ملتزم"))</f>
        <v/>
      </c>
      <c r="L18" s="295" t="str" cm="1">
        <f t="array" ref="L18">IFERROR(INDEX(البيانات!$AJ$2:$AJ$500,SMALL(IF((ISNUMBER(SEARCH("فهد",البيانات!$AM$2:$AM$500))+ISNUMBER(SEARCH("KFCH",البيانات!$AM$2:$AM$500)))&gt;0,ROW(البيانات!$AJ$2:$AJ$500)-ROW(البيانات!$AJ$2)+1),12)),"")</f>
        <v/>
      </c>
      <c r="M18" s="299"/>
      <c r="N18" s="300"/>
      <c r="O18" s="167"/>
    </row>
    <row r="19" spans="1:15">
      <c r="A19" s="164">
        <v>13</v>
      </c>
      <c r="B19" s="164" t="str" cm="1">
        <f t="array" ref="B19">IFERROR(INDEX(البيانات!$V$2:$V$500,SMALL(IF((ISNUMBER(SEARCH("فهد",البيانات!$AM$2:$AM$500))+ISNUMBER(SEARCH("KFCH",البيانات!$AM$2:$AM$500)))&gt;0,ROW(البيانات!$V$2:$V$500)-ROW(البيانات!$V$2)+1),13)),"")</f>
        <v/>
      </c>
      <c r="C19" s="164" t="str" cm="1">
        <f t="array" ref="C19">IFERROR(INDEX(البيانات!$U$2:$U$500,SMALL(IF((ISNUMBER(SEARCH("فهد",البيانات!$AM$2:$AM$500))+ISNUMBER(SEARCH("KFCH",البيانات!$AM$2:$AM$500)))&gt;0,ROW(البيانات!$U$2:$U$500)-ROW(البيانات!$U$2)+1),13)),"")</f>
        <v/>
      </c>
      <c r="D19" s="164" t="str" cm="1">
        <f t="array" ref="D19">IFERROR(INDEX(البيانات!$T$2:$T$500,SMALL(IF((ISNUMBER(SEARCH("فهد",البيانات!$AM$2:$AM$500))+ISNUMBER(SEARCH("KFCH",البيانات!$AM$2:$AM$500)))&gt;0,ROW(البيانات!$T$2:$T$500)-ROW(البيانات!$T$2)+1),13)),"")</f>
        <v/>
      </c>
      <c r="E19" s="164" t="str" cm="1">
        <f t="array" ref="E19">IFERROR(INDEX(البيانات!$F$2:$F$500,SMALL(IF((ISNUMBER(SEARCH("فهد",البيانات!$AM$2:$AM$500))+ISNUMBER(SEARCH("KFCH",البيانات!$AM$2:$AM$500)))&gt;0,ROW(البيانات!$F$2:$F$500)-ROW(البيانات!$F$2)+1),13)),"")</f>
        <v/>
      </c>
      <c r="F19" s="164" t="str" cm="1">
        <f t="array" ref="F19">IFERROR(INDEX(البيانات!$Y$2:$Y$500,SMALL(IF((ISNUMBER(SEARCH("فهد",البيانات!$AM$2:$AM$500))+ISNUMBER(SEARCH("KFCH",البيانات!$AM$2:$AM$500)))&gt;0,ROW(البيانات!$Y$2:$Y$500)-ROW(البيانات!$Y$2)+1),13)),"")</f>
        <v/>
      </c>
      <c r="G19" s="295"/>
      <c r="H19" s="295"/>
      <c r="I19" s="164" t="str" cm="1">
        <f t="array" ref="I19">IFERROR(INDEX(البيانات!$P$2:$P$500,SMALL(IF((ISNUMBER(SEARCH("فهد",البيانات!$AM$2:$AM$500))+ISNUMBER(SEARCH("KFCH",البيانات!$AM$2:$AM$500)))&gt;0,ROW(البيانات!$P$2:$P$500)-ROW(البيانات!$P$2)+1),13)),"")</f>
        <v/>
      </c>
      <c r="J19" s="295" t="str" cm="1">
        <f t="array" ref="J19">IFERROR(INDEX(البيانات!$AI$2:$AI$500,SMALL(IF((ISNUMBER(SEARCH("فهد",البيانات!$AM$2:$AM$500))+ISNUMBER(SEARCH("KFCH",البيانات!$AM$2:$AM$500)))&gt;0,ROW(البيانات!$AI$2:$AI$500)-ROW(البيانات!$AI$2)+1),13)),"")</f>
        <v/>
      </c>
      <c r="K19" s="164" t="str">
        <f>IF(OR(I19="",J19=""),"",IF(NETWORKDAYS.INTL(I19,J19,"0000011")-1&lt;=2,"✅ ملتزم","❌ غير ملتزم"))</f>
        <v/>
      </c>
      <c r="L19" s="295" t="str" cm="1">
        <f t="array" ref="L19">IFERROR(INDEX(البيانات!$AJ$2:$AJ$500,SMALL(IF((ISNUMBER(SEARCH("فهد",البيانات!$AM$2:$AM$500))+ISNUMBER(SEARCH("KFCH",البيانات!$AM$2:$AM$500)))&gt;0,ROW(البيانات!$AJ$2:$AJ$500)-ROW(البيانات!$AJ$2)+1),13)),"")</f>
        <v/>
      </c>
      <c r="M19" s="299"/>
      <c r="N19" s="300"/>
      <c r="O19" s="167"/>
    </row>
    <row r="20" spans="1:15">
      <c r="A20" s="164">
        <v>14</v>
      </c>
      <c r="B20" s="164" t="str" cm="1">
        <f t="array" ref="B20">IFERROR(INDEX(البيانات!$V$2:$V$500,SMALL(IF((ISNUMBER(SEARCH("فهد",البيانات!$AM$2:$AM$500))+ISNUMBER(SEARCH("KFCH",البيانات!$AM$2:$AM$500)))&gt;0,ROW(البيانات!$V$2:$V$500)-ROW(البيانات!$V$2)+1),14)),"")</f>
        <v/>
      </c>
      <c r="C20" s="164" t="str" cm="1">
        <f t="array" ref="C20">IFERROR(INDEX(البيانات!$U$2:$U$500,SMALL(IF((ISNUMBER(SEARCH("فهد",البيانات!$AM$2:$AM$500))+ISNUMBER(SEARCH("KFCH",البيانات!$AM$2:$AM$500)))&gt;0,ROW(البيانات!$U$2:$U$500)-ROW(البيانات!$U$2)+1),14)),"")</f>
        <v/>
      </c>
      <c r="D20" s="164" t="str" cm="1">
        <f t="array" ref="D20">IFERROR(INDEX(البيانات!$T$2:$T$500,SMALL(IF((ISNUMBER(SEARCH("فهد",البيانات!$AM$2:$AM$500))+ISNUMBER(SEARCH("KFCH",البيانات!$AM$2:$AM$500)))&gt;0,ROW(البيانات!$T$2:$T$500)-ROW(البيانات!$T$2)+1),14)),"")</f>
        <v/>
      </c>
      <c r="E20" s="164" t="str" cm="1">
        <f t="array" ref="E20">IFERROR(INDEX(البيانات!$F$2:$F$500,SMALL(IF((ISNUMBER(SEARCH("فهد",البيانات!$AM$2:$AM$500))+ISNUMBER(SEARCH("KFCH",البيانات!$AM$2:$AM$500)))&gt;0,ROW(البيانات!$F$2:$F$500)-ROW(البيانات!$F$2)+1),14)),"")</f>
        <v/>
      </c>
      <c r="F20" s="164" t="str" cm="1">
        <f t="array" ref="F20">IFERROR(INDEX(البيانات!$Y$2:$Y$500,SMALL(IF((ISNUMBER(SEARCH("فهد",البيانات!$AM$2:$AM$500))+ISNUMBER(SEARCH("KFCH",البيانات!$AM$2:$AM$500)))&gt;0,ROW(البيانات!$Y$2:$Y$500)-ROW(البيانات!$Y$2)+1),14)),"")</f>
        <v/>
      </c>
      <c r="G20" s="295"/>
      <c r="H20" s="295"/>
      <c r="I20" s="164" t="str" cm="1">
        <f t="array" ref="I20">IFERROR(INDEX(البيانات!$P$2:$P$500,SMALL(IF((ISNUMBER(SEARCH("فهد",البيانات!$AM$2:$AM$500))+ISNUMBER(SEARCH("KFCH",البيانات!$AM$2:$AM$500)))&gt;0,ROW(البيانات!$P$2:$P$500)-ROW(البيانات!$P$2)+1),14)),"")</f>
        <v/>
      </c>
      <c r="J20" s="295" t="str" cm="1">
        <f t="array" ref="J20">IFERROR(INDEX(البيانات!$AI$2:$AI$500,SMALL(IF((ISNUMBER(SEARCH("فهد",البيانات!$AM$2:$AM$500))+ISNUMBER(SEARCH("KFCH",البيانات!$AM$2:$AM$500)))&gt;0,ROW(البيانات!$AI$2:$AI$500)-ROW(البيانات!$AI$2)+1),14)),"")</f>
        <v/>
      </c>
      <c r="K20" s="164" t="str">
        <f>IF(OR(I20="",J20=""),"",IF(NETWORKDAYS.INTL(I20,J20,"0000011")-1&lt;=2,"✅ ملتزم","❌ غير ملتزم"))</f>
        <v/>
      </c>
      <c r="L20" s="295" t="str" cm="1">
        <f t="array" ref="L20">IFERROR(INDEX(البيانات!$AJ$2:$AJ$500,SMALL(IF((ISNUMBER(SEARCH("فهد",البيانات!$AM$2:$AM$500))+ISNUMBER(SEARCH("KFCH",البيانات!$AM$2:$AM$500)))&gt;0,ROW(البيانات!$AJ$2:$AJ$500)-ROW(البيانات!$AJ$2)+1),14)),"")</f>
        <v/>
      </c>
      <c r="M20" s="299"/>
      <c r="N20" s="300"/>
      <c r="O20" s="167"/>
    </row>
    <row r="21" spans="1:15">
      <c r="A21" s="164">
        <v>15</v>
      </c>
      <c r="B21" s="164" t="str" cm="1">
        <f t="array" ref="B21">IFERROR(INDEX(البيانات!$V$2:$V$500,SMALL(IF((ISNUMBER(SEARCH("فهد",البيانات!$AM$2:$AM$500))+ISNUMBER(SEARCH("KFCH",البيانات!$AM$2:$AM$500)))&gt;0,ROW(البيانات!$V$2:$V$500)-ROW(البيانات!$V$2)+1),15)),"")</f>
        <v/>
      </c>
      <c r="C21" s="164" t="str" cm="1">
        <f t="array" ref="C21">IFERROR(INDEX(البيانات!$U$2:$U$500,SMALL(IF((ISNUMBER(SEARCH("فهد",البيانات!$AM$2:$AM$500))+ISNUMBER(SEARCH("KFCH",البيانات!$AM$2:$AM$500)))&gt;0,ROW(البيانات!$U$2:$U$500)-ROW(البيانات!$U$2)+1),15)),"")</f>
        <v/>
      </c>
      <c r="D21" s="164" t="str" cm="1">
        <f t="array" ref="D21">IFERROR(INDEX(البيانات!$T$2:$T$500,SMALL(IF((ISNUMBER(SEARCH("فهد",البيانات!$AM$2:$AM$500))+ISNUMBER(SEARCH("KFCH",البيانات!$AM$2:$AM$500)))&gt;0,ROW(البيانات!$T$2:$T$500)-ROW(البيانات!$T$2)+1),15)),"")</f>
        <v/>
      </c>
      <c r="E21" s="164" t="str" cm="1">
        <f t="array" ref="E21">IFERROR(INDEX(البيانات!$F$2:$F$500,SMALL(IF((ISNUMBER(SEARCH("فهد",البيانات!$AM$2:$AM$500))+ISNUMBER(SEARCH("KFCH",البيانات!$AM$2:$AM$500)))&gt;0,ROW(البيانات!$F$2:$F$500)-ROW(البيانات!$F$2)+1),15)),"")</f>
        <v/>
      </c>
      <c r="F21" s="164" t="str" cm="1">
        <f t="array" ref="F21">IFERROR(INDEX(البيانات!$Y$2:$Y$500,SMALL(IF((ISNUMBER(SEARCH("فهد",البيانات!$AM$2:$AM$500))+ISNUMBER(SEARCH("KFCH",البيانات!$AM$2:$AM$500)))&gt;0,ROW(البيانات!$Y$2:$Y$500)-ROW(البيانات!$Y$2)+1),15)),"")</f>
        <v/>
      </c>
      <c r="G21" s="295"/>
      <c r="H21" s="295"/>
      <c r="I21" s="164" t="str" cm="1">
        <f t="array" ref="I21">IFERROR(INDEX(البيانات!$P$2:$P$500,SMALL(IF((ISNUMBER(SEARCH("فهد",البيانات!$AM$2:$AM$500))+ISNUMBER(SEARCH("KFCH",البيانات!$AM$2:$AM$500)))&gt;0,ROW(البيانات!$P$2:$P$500)-ROW(البيانات!$P$2)+1),15)),"")</f>
        <v/>
      </c>
      <c r="J21" s="295" t="str" cm="1">
        <f t="array" ref="J21">IFERROR(INDEX(البيانات!$AI$2:$AI$500,SMALL(IF((ISNUMBER(SEARCH("فهد",البيانات!$AM$2:$AM$500))+ISNUMBER(SEARCH("KFCH",البيانات!$AM$2:$AM$500)))&gt;0,ROW(البيانات!$AI$2:$AI$500)-ROW(البيانات!$AI$2)+1),15)),"")</f>
        <v/>
      </c>
      <c r="K21" s="164" t="str">
        <f>IF(OR(I21="",J21=""),"",IF(NETWORKDAYS.INTL(I21,J21,"0000011")-1&lt;=2,"✅ ملتزم","❌ غير ملتزم"))</f>
        <v/>
      </c>
      <c r="L21" s="295" t="str" cm="1">
        <f t="array" ref="L21">IFERROR(INDEX(البيانات!$AJ$2:$AJ$500,SMALL(IF((ISNUMBER(SEARCH("فهد",البيانات!$AM$2:$AM$500))+ISNUMBER(SEARCH("KFCH",البيانات!$AM$2:$AM$500)))&gt;0,ROW(البيانات!$AJ$2:$AJ$500)-ROW(البيانات!$AJ$2)+1),15)),"")</f>
        <v/>
      </c>
      <c r="M21" s="299"/>
      <c r="N21" s="300"/>
      <c r="O21" s="167"/>
    </row>
    <row r="22" spans="1:15">
      <c r="A22" s="164">
        <v>16</v>
      </c>
      <c r="B22" s="164" t="str" cm="1">
        <f t="array" ref="B22">IFERROR(INDEX(البيانات!$V$2:$V$500,SMALL(IF((ISNUMBER(SEARCH("فهد",البيانات!$AM$2:$AM$500))+ISNUMBER(SEARCH("KFCH",البيانات!$AM$2:$AM$500)))&gt;0,ROW(البيانات!$V$2:$V$500)-ROW(البيانات!$V$2)+1),16)),"")</f>
        <v/>
      </c>
      <c r="C22" s="164" t="str" cm="1">
        <f t="array" ref="C22">IFERROR(INDEX(البيانات!$U$2:$U$500,SMALL(IF((ISNUMBER(SEARCH("فهد",البيانات!$AM$2:$AM$500))+ISNUMBER(SEARCH("KFCH",البيانات!$AM$2:$AM$500)))&gt;0,ROW(البيانات!$U$2:$U$500)-ROW(البيانات!$U$2)+1),16)),"")</f>
        <v/>
      </c>
      <c r="D22" s="164" t="str" cm="1">
        <f t="array" ref="D22">IFERROR(INDEX(البيانات!$T$2:$T$500,SMALL(IF((ISNUMBER(SEARCH("فهد",البيانات!$AM$2:$AM$500))+ISNUMBER(SEARCH("KFCH",البيانات!$AM$2:$AM$500)))&gt;0,ROW(البيانات!$T$2:$T$500)-ROW(البيانات!$T$2)+1),16)),"")</f>
        <v/>
      </c>
      <c r="E22" s="164" t="str" cm="1">
        <f t="array" ref="E22">IFERROR(INDEX(البيانات!$F$2:$F$500,SMALL(IF((ISNUMBER(SEARCH("فهد",البيانات!$AM$2:$AM$500))+ISNUMBER(SEARCH("KFCH",البيانات!$AM$2:$AM$500)))&gt;0,ROW(البيانات!$F$2:$F$500)-ROW(البيانات!$F$2)+1),16)),"")</f>
        <v/>
      </c>
      <c r="F22" s="164" t="str" cm="1">
        <f t="array" ref="F22">IFERROR(INDEX(البيانات!$Y$2:$Y$500,SMALL(IF((ISNUMBER(SEARCH("فهد",البيانات!$AM$2:$AM$500))+ISNUMBER(SEARCH("KFCH",البيانات!$AM$2:$AM$500)))&gt;0,ROW(البيانات!$Y$2:$Y$500)-ROW(البيانات!$Y$2)+1),16)),"")</f>
        <v/>
      </c>
      <c r="G22" s="295"/>
      <c r="H22" s="295"/>
      <c r="I22" s="164" t="str" cm="1">
        <f t="array" ref="I22">IFERROR(INDEX(البيانات!$P$2:$P$500,SMALL(IF((ISNUMBER(SEARCH("فهد",البيانات!$AM$2:$AM$500))+ISNUMBER(SEARCH("KFCH",البيانات!$AM$2:$AM$500)))&gt;0,ROW(البيانات!$P$2:$P$500)-ROW(البيانات!$P$2)+1),16)),"")</f>
        <v/>
      </c>
      <c r="J22" s="295" t="str" cm="1">
        <f t="array" ref="J22">IFERROR(INDEX(البيانات!$AI$2:$AI$500,SMALL(IF((ISNUMBER(SEARCH("فهد",البيانات!$AM$2:$AM$500))+ISNUMBER(SEARCH("KFCH",البيانات!$AM$2:$AM$500)))&gt;0,ROW(البيانات!$AI$2:$AI$500)-ROW(البيانات!$AI$2)+1),16)),"")</f>
        <v/>
      </c>
      <c r="K22" s="164" t="str">
        <f>IF(OR(I22="",J22=""),"",IF(NETWORKDAYS.INTL(I22,J22,"0000011")-1&lt;=2,"✅ ملتزم","❌ غير ملتزم"))</f>
        <v/>
      </c>
      <c r="L22" s="295" t="str" cm="1">
        <f t="array" ref="L22">IFERROR(INDEX(البيانات!$AJ$2:$AJ$500,SMALL(IF((ISNUMBER(SEARCH("فهد",البيانات!$AM$2:$AM$500))+ISNUMBER(SEARCH("KFCH",البيانات!$AM$2:$AM$500)))&gt;0,ROW(البيانات!$AJ$2:$AJ$500)-ROW(البيانات!$AJ$2)+1),16)),"")</f>
        <v/>
      </c>
      <c r="M22" s="299"/>
      <c r="N22" s="300"/>
      <c r="O22" s="167"/>
    </row>
    <row r="23" spans="1:15">
      <c r="A23" s="164">
        <v>17</v>
      </c>
      <c r="B23" s="164" t="str" cm="1">
        <f t="array" ref="B23">IFERROR(INDEX(البيانات!$V$2:$V$500,SMALL(IF((ISNUMBER(SEARCH("فهد",البيانات!$AM$2:$AM$500))+ISNUMBER(SEARCH("KFCH",البيانات!$AM$2:$AM$500)))&gt;0,ROW(البيانات!$V$2:$V$500)-ROW(البيانات!$V$2)+1),17)),"")</f>
        <v/>
      </c>
      <c r="C23" s="164" t="str" cm="1">
        <f t="array" ref="C23">IFERROR(INDEX(البيانات!$U$2:$U$500,SMALL(IF((ISNUMBER(SEARCH("فهد",البيانات!$AM$2:$AM$500))+ISNUMBER(SEARCH("KFCH",البيانات!$AM$2:$AM$500)))&gt;0,ROW(البيانات!$U$2:$U$500)-ROW(البيانات!$U$2)+1),17)),"")</f>
        <v/>
      </c>
      <c r="D23" s="164" t="str" cm="1">
        <f t="array" ref="D23">IFERROR(INDEX(البيانات!$T$2:$T$500,SMALL(IF((ISNUMBER(SEARCH("فهد",البيانات!$AM$2:$AM$500))+ISNUMBER(SEARCH("KFCH",البيانات!$AM$2:$AM$500)))&gt;0,ROW(البيانات!$T$2:$T$500)-ROW(البيانات!$T$2)+1),17)),"")</f>
        <v/>
      </c>
      <c r="E23" s="164" t="str" cm="1">
        <f t="array" ref="E23">IFERROR(INDEX(البيانات!$F$2:$F$500,SMALL(IF((ISNUMBER(SEARCH("فهد",البيانات!$AM$2:$AM$500))+ISNUMBER(SEARCH("KFCH",البيانات!$AM$2:$AM$500)))&gt;0,ROW(البيانات!$F$2:$F$500)-ROW(البيانات!$F$2)+1),17)),"")</f>
        <v/>
      </c>
      <c r="F23" s="164" t="str" cm="1">
        <f t="array" ref="F23">IFERROR(INDEX(البيانات!$Y$2:$Y$500,SMALL(IF((ISNUMBER(SEARCH("فهد",البيانات!$AM$2:$AM$500))+ISNUMBER(SEARCH("KFCH",البيانات!$AM$2:$AM$500)))&gt;0,ROW(البيانات!$Y$2:$Y$500)-ROW(البيانات!$Y$2)+1),17)),"")</f>
        <v/>
      </c>
      <c r="G23" s="295"/>
      <c r="H23" s="295"/>
      <c r="I23" s="164" t="str" cm="1">
        <f t="array" ref="I23">IFERROR(INDEX(البيانات!$P$2:$P$500,SMALL(IF((ISNUMBER(SEARCH("فهد",البيانات!$AM$2:$AM$500))+ISNUMBER(SEARCH("KFCH",البيانات!$AM$2:$AM$500)))&gt;0,ROW(البيانات!$P$2:$P$500)-ROW(البيانات!$P$2)+1),17)),"")</f>
        <v/>
      </c>
      <c r="J23" s="295" t="str" cm="1">
        <f t="array" ref="J23">IFERROR(INDEX(البيانات!$AI$2:$AI$500,SMALL(IF((ISNUMBER(SEARCH("فهد",البيانات!$AM$2:$AM$500))+ISNUMBER(SEARCH("KFCH",البيانات!$AM$2:$AM$500)))&gt;0,ROW(البيانات!$AI$2:$AI$500)-ROW(البيانات!$AI$2)+1),17)),"")</f>
        <v/>
      </c>
      <c r="K23" s="164" t="str">
        <f>IF(OR(I23="",J23=""),"",IF(NETWORKDAYS.INTL(I23,J23,"0000011")-1&lt;=2,"✅ ملتزم","❌ غير ملتزم"))</f>
        <v/>
      </c>
      <c r="L23" s="295" t="str" cm="1">
        <f t="array" ref="L23">IFERROR(INDEX(البيانات!$AJ$2:$AJ$500,SMALL(IF((ISNUMBER(SEARCH("فهد",البيانات!$AM$2:$AM$500))+ISNUMBER(SEARCH("KFCH",البيانات!$AM$2:$AM$500)))&gt;0,ROW(البيانات!$AJ$2:$AJ$500)-ROW(البيانات!$AJ$2)+1),17)),"")</f>
        <v/>
      </c>
      <c r="M23" s="299"/>
      <c r="N23" s="300"/>
      <c r="O23" s="167"/>
    </row>
    <row r="24" spans="1:15">
      <c r="A24" s="164">
        <v>18</v>
      </c>
      <c r="B24" s="164" t="str" cm="1">
        <f t="array" ref="B24">IFERROR(INDEX(البيانات!$V$2:$V$500,SMALL(IF((ISNUMBER(SEARCH("فهد",البيانات!$AM$2:$AM$500))+ISNUMBER(SEARCH("KFCH",البيانات!$AM$2:$AM$500)))&gt;0,ROW(البيانات!$V$2:$V$500)-ROW(البيانات!$V$2)+1),18)),"")</f>
        <v/>
      </c>
      <c r="C24" s="164" t="str" cm="1">
        <f t="array" ref="C24">IFERROR(INDEX(البيانات!$U$2:$U$500,SMALL(IF((ISNUMBER(SEARCH("فهد",البيانات!$AM$2:$AM$500))+ISNUMBER(SEARCH("KFCH",البيانات!$AM$2:$AM$500)))&gt;0,ROW(البيانات!$U$2:$U$500)-ROW(البيانات!$U$2)+1),18)),"")</f>
        <v/>
      </c>
      <c r="D24" s="164" t="str" cm="1">
        <f t="array" ref="D24">IFERROR(INDEX(البيانات!$T$2:$T$500,SMALL(IF((ISNUMBER(SEARCH("فهد",البيانات!$AM$2:$AM$500))+ISNUMBER(SEARCH("KFCH",البيانات!$AM$2:$AM$500)))&gt;0,ROW(البيانات!$T$2:$T$500)-ROW(البيانات!$T$2)+1),18)),"")</f>
        <v/>
      </c>
      <c r="E24" s="164" t="str" cm="1">
        <f t="array" ref="E24">IFERROR(INDEX(البيانات!$F$2:$F$500,SMALL(IF((ISNUMBER(SEARCH("فهد",البيانات!$AM$2:$AM$500))+ISNUMBER(SEARCH("KFCH",البيانات!$AM$2:$AM$500)))&gt;0,ROW(البيانات!$F$2:$F$500)-ROW(البيانات!$F$2)+1),18)),"")</f>
        <v/>
      </c>
      <c r="F24" s="164" t="str" cm="1">
        <f t="array" ref="F24">IFERROR(INDEX(البيانات!$Y$2:$Y$500,SMALL(IF((ISNUMBER(SEARCH("فهد",البيانات!$AM$2:$AM$500))+ISNUMBER(SEARCH("KFCH",البيانات!$AM$2:$AM$500)))&gt;0,ROW(البيانات!$Y$2:$Y$500)-ROW(البيانات!$Y$2)+1),18)),"")</f>
        <v/>
      </c>
      <c r="G24" s="295"/>
      <c r="H24" s="295"/>
      <c r="I24" s="164" t="str" cm="1">
        <f t="array" ref="I24">IFERROR(INDEX(البيانات!$P$2:$P$500,SMALL(IF((ISNUMBER(SEARCH("فهد",البيانات!$AM$2:$AM$500))+ISNUMBER(SEARCH("KFCH",البيانات!$AM$2:$AM$500)))&gt;0,ROW(البيانات!$P$2:$P$500)-ROW(البيانات!$P$2)+1),18)),"")</f>
        <v/>
      </c>
      <c r="J24" s="295" t="str" cm="1">
        <f t="array" ref="J24">IFERROR(INDEX(البيانات!$AI$2:$AI$500,SMALL(IF((ISNUMBER(SEARCH("فهد",البيانات!$AM$2:$AM$500))+ISNUMBER(SEARCH("KFCH",البيانات!$AM$2:$AM$500)))&gt;0,ROW(البيانات!$AI$2:$AI$500)-ROW(البيانات!$AI$2)+1),18)),"")</f>
        <v/>
      </c>
      <c r="K24" s="164" t="str">
        <f>IF(OR(I24="",J24=""),"",IF(NETWORKDAYS.INTL(I24,J24,"0000011")-1&lt;=2,"✅ ملتزم","❌ غير ملتزم"))</f>
        <v/>
      </c>
      <c r="L24" s="295" t="str" cm="1">
        <f t="array" ref="L24">IFERROR(INDEX(البيانات!$AJ$2:$AJ$500,SMALL(IF((ISNUMBER(SEARCH("فهد",البيانات!$AM$2:$AM$500))+ISNUMBER(SEARCH("KFCH",البيانات!$AM$2:$AM$500)))&gt;0,ROW(البيانات!$AJ$2:$AJ$500)-ROW(البيانات!$AJ$2)+1),18)),"")</f>
        <v/>
      </c>
      <c r="M24" s="299"/>
      <c r="N24" s="300"/>
      <c r="O24" s="167"/>
    </row>
    <row r="25" spans="1:15">
      <c r="A25" s="164">
        <v>19</v>
      </c>
      <c r="B25" s="164" t="str" cm="1">
        <f t="array" ref="B25">IFERROR(INDEX(البيانات!$V$2:$V$500,SMALL(IF((ISNUMBER(SEARCH("فهد",البيانات!$AM$2:$AM$500))+ISNUMBER(SEARCH("KFCH",البيانات!$AM$2:$AM$500)))&gt;0,ROW(البيانات!$V$2:$V$500)-ROW(البيانات!$V$2)+1),19)),"")</f>
        <v/>
      </c>
      <c r="C25" s="164" t="str" cm="1">
        <f t="array" ref="C25">IFERROR(INDEX(البيانات!$U$2:$U$500,SMALL(IF((ISNUMBER(SEARCH("فهد",البيانات!$AM$2:$AM$500))+ISNUMBER(SEARCH("KFCH",البيانات!$AM$2:$AM$500)))&gt;0,ROW(البيانات!$U$2:$U$500)-ROW(البيانات!$U$2)+1),19)),"")</f>
        <v/>
      </c>
      <c r="D25" s="164" t="str" cm="1">
        <f t="array" ref="D25">IFERROR(INDEX(البيانات!$T$2:$T$500,SMALL(IF((ISNUMBER(SEARCH("فهد",البيانات!$AM$2:$AM$500))+ISNUMBER(SEARCH("KFCH",البيانات!$AM$2:$AM$500)))&gt;0,ROW(البيانات!$T$2:$T$500)-ROW(البيانات!$T$2)+1),19)),"")</f>
        <v/>
      </c>
      <c r="E25" s="164" t="str" cm="1">
        <f t="array" ref="E25">IFERROR(INDEX(البيانات!$F$2:$F$500,SMALL(IF((ISNUMBER(SEARCH("فهد",البيانات!$AM$2:$AM$500))+ISNUMBER(SEARCH("KFCH",البيانات!$AM$2:$AM$500)))&gt;0,ROW(البيانات!$F$2:$F$500)-ROW(البيانات!$F$2)+1),19)),"")</f>
        <v/>
      </c>
      <c r="F25" s="164" t="str" cm="1">
        <f t="array" ref="F25">IFERROR(INDEX(البيانات!$Y$2:$Y$500,SMALL(IF((ISNUMBER(SEARCH("فهد",البيانات!$AM$2:$AM$500))+ISNUMBER(SEARCH("KFCH",البيانات!$AM$2:$AM$500)))&gt;0,ROW(البيانات!$Y$2:$Y$500)-ROW(البيانات!$Y$2)+1),19)),"")</f>
        <v/>
      </c>
      <c r="G25" s="295"/>
      <c r="H25" s="295"/>
      <c r="I25" s="164" t="str" cm="1">
        <f t="array" ref="I25">IFERROR(INDEX(البيانات!$P$2:$P$500,SMALL(IF((ISNUMBER(SEARCH("فهد",البيانات!$AM$2:$AM$500))+ISNUMBER(SEARCH("KFCH",البيانات!$AM$2:$AM$500)))&gt;0,ROW(البيانات!$P$2:$P$500)-ROW(البيانات!$P$2)+1),19)),"")</f>
        <v/>
      </c>
      <c r="J25" s="295" t="str" cm="1">
        <f t="array" ref="J25">IFERROR(INDEX(البيانات!$AI$2:$AI$500,SMALL(IF((ISNUMBER(SEARCH("فهد",البيانات!$AM$2:$AM$500))+ISNUMBER(SEARCH("KFCH",البيانات!$AM$2:$AM$500)))&gt;0,ROW(البيانات!$AI$2:$AI$500)-ROW(البيانات!$AI$2)+1),19)),"")</f>
        <v/>
      </c>
      <c r="K25" s="164" t="str">
        <f>IF(OR(I25="",J25=""),"",IF(NETWORKDAYS.INTL(I25,J25,"0000011")-1&lt;=2,"✅ ملتزم","❌ غير ملتزم"))</f>
        <v/>
      </c>
      <c r="L25" s="295" t="str" cm="1">
        <f t="array" ref="L25">IFERROR(INDEX(البيانات!$AJ$2:$AJ$500,SMALL(IF((ISNUMBER(SEARCH("فهد",البيانات!$AM$2:$AM$500))+ISNUMBER(SEARCH("KFCH",البيانات!$AM$2:$AM$500)))&gt;0,ROW(البيانات!$AJ$2:$AJ$500)-ROW(البيانات!$AJ$2)+1),19)),"")</f>
        <v/>
      </c>
      <c r="M25" s="299"/>
      <c r="N25" s="300"/>
      <c r="O25" s="167"/>
    </row>
    <row r="26" spans="1:15">
      <c r="A26" s="164">
        <v>20</v>
      </c>
      <c r="B26" s="164" t="str" cm="1">
        <f t="array" ref="B26">IFERROR(INDEX(البيانات!$V$2:$V$500,SMALL(IF((ISNUMBER(SEARCH("فهد",البيانات!$AM$2:$AM$500))+ISNUMBER(SEARCH("KFCH",البيانات!$AM$2:$AM$500)))&gt;0,ROW(البيانات!$V$2:$V$500)-ROW(البيانات!$V$2)+1),20)),"")</f>
        <v/>
      </c>
      <c r="C26" s="164" t="str" cm="1">
        <f t="array" ref="C26">IFERROR(INDEX(البيانات!$U$2:$U$500,SMALL(IF((ISNUMBER(SEARCH("فهد",البيانات!$AM$2:$AM$500))+ISNUMBER(SEARCH("KFCH",البيانات!$AM$2:$AM$500)))&gt;0,ROW(البيانات!$U$2:$U$500)-ROW(البيانات!$U$2)+1),20)),"")</f>
        <v/>
      </c>
      <c r="D26" s="164" t="str" cm="1">
        <f t="array" ref="D26">IFERROR(INDEX(البيانات!$T$2:$T$500,SMALL(IF((ISNUMBER(SEARCH("فهد",البيانات!$AM$2:$AM$500))+ISNUMBER(SEARCH("KFCH",البيانات!$AM$2:$AM$500)))&gt;0,ROW(البيانات!$T$2:$T$500)-ROW(البيانات!$T$2)+1),20)),"")</f>
        <v/>
      </c>
      <c r="E26" s="164" t="str" cm="1">
        <f t="array" ref="E26">IFERROR(INDEX(البيانات!$F$2:$F$500,SMALL(IF((ISNUMBER(SEARCH("فهد",البيانات!$AM$2:$AM$500))+ISNUMBER(SEARCH("KFCH",البيانات!$AM$2:$AM$500)))&gt;0,ROW(البيانات!$F$2:$F$500)-ROW(البيانات!$F$2)+1),20)),"")</f>
        <v/>
      </c>
      <c r="F26" s="164" t="str" cm="1">
        <f t="array" ref="F26">IFERROR(INDEX(البيانات!$Y$2:$Y$500,SMALL(IF((ISNUMBER(SEARCH("فهد",البيانات!$AM$2:$AM$500))+ISNUMBER(SEARCH("KFCH",البيانات!$AM$2:$AM$500)))&gt;0,ROW(البيانات!$Y$2:$Y$500)-ROW(البيانات!$Y$2)+1),20)),"")</f>
        <v/>
      </c>
      <c r="G26" s="295"/>
      <c r="H26" s="295"/>
      <c r="I26" s="164" t="str" cm="1">
        <f t="array" ref="I26">IFERROR(INDEX(البيانات!$P$2:$P$500,SMALL(IF((ISNUMBER(SEARCH("فهد",البيانات!$AM$2:$AM$500))+ISNUMBER(SEARCH("KFCH",البيانات!$AM$2:$AM$500)))&gt;0,ROW(البيانات!$P$2:$P$500)-ROW(البيانات!$P$2)+1),20)),"")</f>
        <v/>
      </c>
      <c r="J26" s="295" t="str" cm="1">
        <f t="array" ref="J26">IFERROR(INDEX(البيانات!$AI$2:$AI$500,SMALL(IF((ISNUMBER(SEARCH("فهد",البيانات!$AM$2:$AM$500))+ISNUMBER(SEARCH("KFCH",البيانات!$AM$2:$AM$500)))&gt;0,ROW(البيانات!$AI$2:$AI$500)-ROW(البيانات!$AI$2)+1),20)),"")</f>
        <v/>
      </c>
      <c r="K26" s="164" t="str">
        <f>IF(OR(I26="",J26=""),"",IF(NETWORKDAYS.INTL(I26,J26,"0000011")-1&lt;=2,"✅ ملتزم","❌ غير ملتزم"))</f>
        <v/>
      </c>
      <c r="L26" s="295" t="str" cm="1">
        <f t="array" ref="L26">IFERROR(INDEX(البيانات!$AJ$2:$AJ$500,SMALL(IF((ISNUMBER(SEARCH("فهد",البيانات!$AM$2:$AM$500))+ISNUMBER(SEARCH("KFCH",البيانات!$AM$2:$AM$500)))&gt;0,ROW(البيانات!$AJ$2:$AJ$500)-ROW(البيانات!$AJ$2)+1),20)),"")</f>
        <v/>
      </c>
      <c r="M26" s="299"/>
      <c r="N26" s="300"/>
      <c r="O26" s="167"/>
    </row>
    <row r="27" spans="1:15">
      <c r="A27" s="167"/>
      <c r="B27" s="167"/>
      <c r="C27" s="167"/>
      <c r="D27" s="167"/>
      <c r="E27" s="167"/>
      <c r="F27" s="167"/>
      <c r="I27" s="167"/>
      <c r="K27" s="167"/>
      <c r="O27" s="167"/>
    </row>
    <row r="28" spans="1:15" ht="18">
      <c r="A28" s="28" t="s">
        <v>566</v>
      </c>
      <c r="B28" s="167"/>
      <c r="C28" s="167"/>
      <c r="D28" s="167"/>
      <c r="E28" s="167"/>
      <c r="F28" s="167"/>
      <c r="I28" s="167"/>
      <c r="K28" s="167"/>
      <c r="O28" s="167"/>
    </row>
    <row r="29" spans="1:15">
      <c r="A29" s="167" t="s">
        <v>567</v>
      </c>
      <c r="B29" s="167" cm="1">
        <f t="array" ref="B29">SUMPRODUCT((ISNUMBER(SEARCH("فهد",البيانات!$AM$2:$AM$500))+ISNUMBER(SEARCH("KFCH",البيانات!$AM$2:$AM$500)))&gt;0)*1</f>
        <v>0</v>
      </c>
      <c r="C29" s="167"/>
      <c r="D29" s="167"/>
      <c r="E29" s="167"/>
      <c r="F29" s="167"/>
      <c r="I29" s="167"/>
      <c r="K29" s="167"/>
      <c r="O29" s="167"/>
    </row>
    <row r="30" spans="1:15">
      <c r="A30" s="167" t="s">
        <v>568</v>
      </c>
      <c r="B30" s="167">
        <f>COUNTIF(K7:K26,"✅ ملتزم")</f>
        <v>1</v>
      </c>
      <c r="C30" s="167"/>
      <c r="D30" s="167"/>
      <c r="E30" s="167"/>
      <c r="F30" s="167"/>
      <c r="I30" s="167"/>
      <c r="K30" s="167"/>
      <c r="O30" s="167"/>
    </row>
    <row r="31" spans="1:15">
      <c r="A31" s="167" t="s">
        <v>569</v>
      </c>
      <c r="B31" s="167">
        <f>COUNTIF(K7:K26,"❌ غير ملتزم")</f>
        <v>0</v>
      </c>
      <c r="C31" s="167"/>
      <c r="D31" s="167"/>
      <c r="E31" s="167"/>
      <c r="F31" s="167"/>
      <c r="I31" s="167"/>
      <c r="K31" s="167"/>
      <c r="O31" s="167"/>
    </row>
    <row r="32" spans="1:15">
      <c r="A32" s="167"/>
      <c r="B32" s="167"/>
      <c r="C32" s="167"/>
      <c r="D32" s="167"/>
      <c r="E32" s="167"/>
      <c r="F32" s="167"/>
      <c r="I32" s="167"/>
      <c r="K32" s="167"/>
      <c r="O32" s="167"/>
    </row>
    <row r="33" spans="1:11">
      <c r="A33" s="167"/>
      <c r="B33" s="167"/>
      <c r="C33" s="167"/>
      <c r="D33" s="167"/>
      <c r="E33" s="167"/>
      <c r="F33" s="167"/>
      <c r="I33" s="167"/>
      <c r="K33" s="167"/>
    </row>
    <row r="34" spans="1:11">
      <c r="A34" s="167"/>
      <c r="B34" s="167"/>
      <c r="C34" s="167"/>
      <c r="D34" s="167"/>
      <c r="E34" s="167"/>
      <c r="F34" s="167"/>
      <c r="I34" s="167"/>
      <c r="K34" s="167"/>
    </row>
  </sheetData>
  <sheetProtection sort="0"/>
  <mergeCells count="2">
    <mergeCell ref="A1:J1"/>
    <mergeCell ref="A3:J3"/>
  </mergeCells>
  <conditionalFormatting sqref="K7:K26">
    <cfRule type="containsText" dxfId="88" priority="1" operator="containsText" text="ملتزم">
      <formula>NOT(ISERROR(SEARCH("ملتزم",K7)))</formula>
    </cfRule>
    <cfRule type="containsText" dxfId="87" priority="2" operator="containsText" text="غير">
      <formula>NOT(ISERROR(SEARCH("غير",K7)))</formula>
    </cfRule>
  </conditionalFormatting>
  <dataValidations count="1">
    <dataValidation type="list" allowBlank="1" showInputMessage="1" showErrorMessage="1" sqref="M7:M26" xr:uid="{E1171F0E-8F52-4DD8-AABB-8A3D64250552}">
      <formula1>"🟢 منخفض - يعود للمركز,🟡 عالي - متابعة بالمستشفى,🔴 حرج - عناية مركزة"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A83-DCF4-4426-AAA1-DE78D5CF6685}">
  <sheetPr>
    <tabColor rgb="FFE91E63"/>
  </sheetPr>
  <dimension ref="A1:O100"/>
  <sheetViews>
    <sheetView rightToLeft="1" topLeftCell="H1" workbookViewId="0">
      <selection activeCell="B14" sqref="B14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8.375" customWidth="1"/>
    <col min="5" max="5" width="25" customWidth="1"/>
    <col min="6" max="6" width="16.625" customWidth="1"/>
    <col min="7" max="7" width="16.625" style="241" customWidth="1"/>
    <col min="8" max="8" width="20" style="241" customWidth="1"/>
    <col min="9" max="9" width="10.375" bestFit="1" customWidth="1"/>
    <col min="10" max="10" width="10.375" style="241" bestFit="1" customWidth="1"/>
    <col min="12" max="12" width="17.875" style="241" customWidth="1"/>
    <col min="13" max="13" width="15.875" style="241" customWidth="1"/>
    <col min="14" max="14" width="9" style="241"/>
  </cols>
  <sheetData>
    <row r="1" spans="1:15" ht="20.25">
      <c r="A1" s="342" t="s">
        <v>570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>
      <c r="A2" s="167" t="s">
        <v>571</v>
      </c>
      <c r="B2" s="28">
        <f>COUNTIF(البيانات!$AS:$AS,"*صبيا*")</f>
        <v>38</v>
      </c>
      <c r="C2" s="167"/>
      <c r="D2" s="167"/>
      <c r="E2" s="167"/>
      <c r="F2" s="167"/>
      <c r="I2" s="167"/>
      <c r="K2" s="167"/>
      <c r="O2" s="167"/>
    </row>
    <row r="3" spans="1: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>
      <c r="A4" s="112" cm="1">
        <f t="array" ref="A4">IFERROR(SMALL(IF(البيانات!$AS$2:$AS$265="مستشفى صبيا العام",البيانات!$AT$2:$AT$265),1),"")</f>
        <v>5</v>
      </c>
      <c r="B4" s="112" t="str" cm="1">
        <f t="array" ref="B4">IF(A4="","",INDEX(البيانات!$V$2:$V$265,A4))</f>
        <v>1096356959</v>
      </c>
      <c r="C4" s="112" t="str" cm="1">
        <f t="array" ref="C4">IF(A4="","",INDEX(البيانات!$U$2:$U$265,A4))</f>
        <v>علا الله حسن محمد الليل</v>
      </c>
      <c r="D4" s="112" cm="1">
        <f t="array" ref="D4">IF(A4="","",INDEX(البيانات!$T$2:$T$265,A4))</f>
        <v>46</v>
      </c>
      <c r="E4" s="112" t="str" cm="1">
        <f t="array" ref="E4">IF(A4="","",INDEX(البيانات!$F$2:$F$265,A4))</f>
        <v>القطاع الغربي</v>
      </c>
      <c r="F4" s="112" t="str" cm="1">
        <f t="array" ref="F4">IF(A4="","",INDEX(البيانات!$Y$2:$Y$265,A4))</f>
        <v>0556826709</v>
      </c>
      <c r="G4" s="280"/>
      <c r="H4" s="280"/>
      <c r="I4" s="181" cm="1">
        <f t="array" ref="I4">IF(A4="","",INDEX(البيانات!$P$2:$P$265,A4))</f>
        <v>46079</v>
      </c>
      <c r="J4" s="282" t="str" cm="1">
        <f t="array" ref="J4">IF(A4="","",INDEX(البيانات!$AI$2:$AI$265,A4))</f>
        <v>5/3/2026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تم الحظور</v>
      </c>
      <c r="M4" s="286"/>
      <c r="N4" s="288"/>
      <c r="O4" s="167"/>
    </row>
    <row r="5" spans="1:15">
      <c r="A5" s="182" cm="1">
        <f t="array" ref="A5">IFERROR(SMALL(IF(البيانات!$AS$2:$AS$265="مستشفى صبيا العام",البيانات!$AT$2:$AT$265),2),"")</f>
        <v>15</v>
      </c>
      <c r="B5" s="182" t="str" cm="1">
        <f t="array" ref="B5">IF(A5="","",INDEX(البيانات!$V$2:$V$265,A5))</f>
        <v>1120110281</v>
      </c>
      <c r="C5" s="182" t="str" cm="1">
        <f t="array" ref="C5">IF(A5="","",INDEX(البيانات!$U$2:$U$265,A5))</f>
        <v>SAHAR AHMED BIN MOHAMMED HAKAMI</v>
      </c>
      <c r="D5" s="182" cm="1">
        <f t="array" ref="D5">IF(A5="","",INDEX(البيانات!$T$2:$T$265,A5))</f>
        <v>24</v>
      </c>
      <c r="E5" s="182" t="str" cm="1">
        <f t="array" ref="E5">IF(A5="","",INDEX(البيانات!$F$2:$F$265,A5))</f>
        <v>القطاع الغربي</v>
      </c>
      <c r="F5" s="182" t="str" cm="1">
        <f t="array" ref="F5">IF(A5="","",INDEX(البيانات!$Y$2:$Y$265,A5))</f>
        <v>0508985743</v>
      </c>
      <c r="G5" s="281"/>
      <c r="H5" s="281"/>
      <c r="I5" s="184" cm="1">
        <f t="array" ref="I5">IF(A5="","",INDEX(البيانات!$P$2:$P$265,A5))</f>
        <v>46089</v>
      </c>
      <c r="J5" s="283" t="str" cm="1">
        <f t="array" ref="J5">IF(A5="","",INDEX(البيانات!$AI$2:$AI$265,A5))</f>
        <v>12/3/2026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تم الحظور</v>
      </c>
      <c r="M5" s="286"/>
      <c r="N5" s="288"/>
      <c r="O5" s="167"/>
    </row>
    <row r="6" spans="1:15">
      <c r="A6" s="112" cm="1">
        <f t="array" ref="A6">IFERROR(SMALL(IF(البيانات!$AS$2:$AS$265="مستشفى صبيا العام",البيانات!$AT$2:$AT$265),3),"")</f>
        <v>16</v>
      </c>
      <c r="B6" s="112" t="str" cm="1">
        <f t="array" ref="B6">IF(A6="","",INDEX(البيانات!$V$2:$V$265,A6))</f>
        <v>1115266551</v>
      </c>
      <c r="C6" s="112" t="str" cm="1">
        <f t="array" ref="C6">IF(A6="","",INDEX(البيانات!$U$2:$U$265,A6))</f>
        <v>Rayhanah Hassan Yahya</v>
      </c>
      <c r="D6" s="112" cm="1">
        <f t="array" ref="D6">IF(A6="","",INDEX(البيانات!$T$2:$T$265,A6))</f>
        <v>24</v>
      </c>
      <c r="E6" s="112" t="str" cm="1">
        <f t="array" ref="E6">IF(A6="","",INDEX(البيانات!$F$2:$F$265,A6))</f>
        <v>القطاع الغربي</v>
      </c>
      <c r="F6" s="112" cm="1">
        <f t="array" ref="F6">IF(A6="","",INDEX(البيانات!$Y$2:$Y$265,A6))</f>
        <v>554195384</v>
      </c>
      <c r="G6" s="280"/>
      <c r="H6" s="280"/>
      <c r="I6" s="181" cm="1">
        <f t="array" ref="I6">IF(A6="","",INDEX(البيانات!$P$2:$P$265,A6))</f>
        <v>46089</v>
      </c>
      <c r="J6" s="282">
        <v>46103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تم الحظور</v>
      </c>
      <c r="M6" s="286"/>
      <c r="N6" s="288"/>
      <c r="O6" s="167"/>
    </row>
    <row r="7" spans="1:15">
      <c r="A7" s="182" cm="1">
        <f t="array" ref="A7">IFERROR(SMALL(IF(البيانات!$AS$2:$AS$265="مستشفى صبيا العام",البيانات!$AT$2:$AT$265),4),"")</f>
        <v>17</v>
      </c>
      <c r="B7" s="182" t="str" cm="1">
        <f t="array" ref="B7">IF(A7="","",INDEX(البيانات!$V$2:$V$265,A7))</f>
        <v>1061102602</v>
      </c>
      <c r="C7" s="182" t="str" cm="1">
        <f t="array" ref="C7">IF(A7="","",INDEX(البيانات!$U$2:$U$265,A7))</f>
        <v>امنة سلمان مفرح غزواني</v>
      </c>
      <c r="D7" s="182" cm="1">
        <f t="array" ref="D7">IF(A7="","",INDEX(البيانات!$T$2:$T$265,A7))</f>
        <v>37</v>
      </c>
      <c r="E7" s="182" t="str" cm="1">
        <f t="array" ref="E7">IF(A7="","",INDEX(البيانات!$F$2:$F$265,A7))</f>
        <v>القطاع الجبلي</v>
      </c>
      <c r="F7" s="182" t="str" cm="1">
        <f t="array" ref="F7">IF(A7="","",INDEX(البيانات!$Y$2:$Y$265,A7))</f>
        <v>0594808888</v>
      </c>
      <c r="G7" s="281"/>
      <c r="H7" s="281"/>
      <c r="I7" s="184" cm="1">
        <f t="array" ref="I7">IF(A7="","",INDEX(البيانات!$P$2:$P$265,A7))</f>
        <v>46089</v>
      </c>
      <c r="J7" s="283" t="str" cm="1">
        <f t="array" ref="J7">IF(A7="","",INDEX(البيانات!$AI$2:$AI$265,A7))</f>
        <v>12/3/2026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لم تحظر</v>
      </c>
      <c r="M7" s="286"/>
      <c r="N7" s="288"/>
      <c r="O7" s="167"/>
    </row>
    <row r="8" spans="1:15">
      <c r="A8" s="112" cm="1">
        <f t="array" ref="A8">IFERROR(SMALL(IF(البيانات!$AS$2:$AS$265="مستشفى صبيا العام",البيانات!$AT$2:$AT$265),5),"")</f>
        <v>18</v>
      </c>
      <c r="B8" s="112" t="str" cm="1">
        <f t="array" ref="B8">IF(A8="","",INDEX(البيانات!$V$2:$V$265,A8))</f>
        <v>1055011710</v>
      </c>
      <c r="C8" s="112" t="str" cm="1">
        <f t="array" ref="C8">IF(A8="","",INDEX(البيانات!$U$2:$U$265,A8))</f>
        <v>سعاد سلمان بكري</v>
      </c>
      <c r="D8" s="112" cm="1">
        <f t="array" ref="D8">IF(A8="","",INDEX(البيانات!$T$2:$T$265,A8))</f>
        <v>40</v>
      </c>
      <c r="E8" s="112" t="str" cm="1">
        <f t="array" ref="E8">IF(A8="","",INDEX(البيانات!$F$2:$F$265,A8))</f>
        <v>القطاع الغربي</v>
      </c>
      <c r="F8" s="112" t="str" cm="1">
        <f t="array" ref="F8">IF(A8="","",INDEX(البيانات!$Y$2:$Y$265,A8))</f>
        <v>0553346156</v>
      </c>
      <c r="G8" s="280"/>
      <c r="H8" s="280"/>
      <c r="I8" s="181" cm="1">
        <f t="array" ref="I8">IF(A8="","",INDEX(البيانات!$P$2:$P$265,A8))</f>
        <v>46089</v>
      </c>
      <c r="J8" s="282" t="str" cm="1">
        <f t="array" ref="J8">IF(A8="","",INDEX(البيانات!$AI$2:$AI$265,A8))</f>
        <v>12/3/2026</v>
      </c>
      <c r="K8" s="109" t="str">
        <f>IF(OR(A8="",J8="",I8=""),"",IF(NETWORKDAYS.INTL(I8,J8,"0000011")-1&lt;=2,"✅ ملتزم","❌ غير ملتزم"))</f>
        <v>❌ غير ملتزم</v>
      </c>
      <c r="L8" s="284" t="str" cm="1">
        <f t="array" ref="L8">IF(A8="","",INDEX(البيانات!$AJ$2:$AJ$265,A8))</f>
        <v>تم الحظور</v>
      </c>
      <c r="M8" s="286"/>
      <c r="N8" s="288"/>
      <c r="O8" s="167"/>
    </row>
    <row r="9" spans="1:15">
      <c r="A9" s="182" cm="1">
        <f t="array" ref="A9">IFERROR(SMALL(IF(البيانات!$AS$2:$AS$265="مستشفى صبيا العام",البيانات!$AT$2:$AT$265),6),"")</f>
        <v>28</v>
      </c>
      <c r="B9" s="182" t="str" cm="1">
        <f t="array" ref="B9">IF(A9="","",INDEX(البيانات!$V$2:$V$265,A9))</f>
        <v>1117369478</v>
      </c>
      <c r="C9" s="182" t="str" cm="1">
        <f t="array" ref="C9">IF(A9="","",INDEX(البيانات!$U$2:$U$265,A9))</f>
        <v>YARA AMRO ALI ABUHOZAH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الغربي</v>
      </c>
      <c r="F9" s="182" cm="1">
        <f t="array" ref="F9">IF(A9="","",INDEX(البيانات!$Y$2:$Y$265,A9))</f>
        <v>568883343</v>
      </c>
      <c r="G9" s="281"/>
      <c r="H9" s="281"/>
      <c r="I9" s="184" cm="1">
        <f t="array" ref="I9">IF(A9="","",INDEX(البيانات!$P$2:$P$265,A9))</f>
        <v>46091</v>
      </c>
      <c r="J9" s="283" t="str" cm="1">
        <f t="array" ref="J9">IF(A9="","",INDEX(البيانات!$AI$2:$AI$265,A9))</f>
        <v>19/3/2026</v>
      </c>
      <c r="K9" s="183" t="str">
        <f>IF(OR(A9="",J9="",I9=""),"",IF(NETWORKDAYS.INTL(I9,J9,"0000011")-1&lt;=2,"✅ ملتزم","❌ غير ملتزم"))</f>
        <v>❌ غير ملتزم</v>
      </c>
      <c r="L9" s="285" t="str" cm="1">
        <f t="array" ref="L9">IF(A9="","",INDEX(البيانات!$AJ$2:$AJ$265,A9))</f>
        <v>تم الحظور</v>
      </c>
      <c r="M9" s="286"/>
      <c r="N9" s="288"/>
      <c r="O9" s="167"/>
    </row>
    <row r="10" spans="1:15">
      <c r="A10" s="112" cm="1">
        <f t="array" ref="A10">IFERROR(SMALL(IF(البيانات!$AS$2:$AS$265="مستشفى صبيا العام",البيانات!$AT$2:$AT$265),7),"")</f>
        <v>33</v>
      </c>
      <c r="B10" s="112" t="str" cm="1">
        <f t="array" ref="B10">IF(A10="","",INDEX(البيانات!$V$2:$V$265,A10))</f>
        <v>1067750933</v>
      </c>
      <c r="C10" s="112" t="str" cm="1">
        <f t="array" ref="C10">IF(A10="","",INDEX(البيانات!$U$2:$U$265,A10))</f>
        <v>NADA DAWOOD GADI</v>
      </c>
      <c r="D10" s="112" cm="1">
        <f t="array" ref="D10">IF(A10="","",INDEX(البيانات!$T$2:$T$265,A10))</f>
        <v>0</v>
      </c>
      <c r="E10" s="112" t="str" cm="1">
        <f t="array" ref="E10">IF(A10="","",INDEX(البيانات!$F$2:$F$265,A10))</f>
        <v>القطاع الغربي</v>
      </c>
      <c r="F10" s="112" t="str" cm="1">
        <f t="array" ref="F10">IF(A10="","",INDEX(البيانات!$Y$2:$Y$265,A10))</f>
        <v>0541366345</v>
      </c>
      <c r="G10" s="280"/>
      <c r="H10" s="280"/>
      <c r="I10" s="181" cm="1">
        <f t="array" ref="I10">IF(A10="","",INDEX(البيانات!$P$2:$P$265,A10))</f>
        <v>46091</v>
      </c>
      <c r="J10" s="282" t="str" cm="1">
        <f t="array" ref="J10">IF(A10="","",INDEX(البيانات!$AI$2:$AI$265,A10))</f>
        <v>12/3/2026</v>
      </c>
      <c r="K10" s="109" t="str">
        <f>IF(OR(A10="",J10="",I10=""),"",IF(NETWORKDAYS.INTL(I10,J10,"0000011")-1&lt;=2,"✅ ملتزم","❌ غير ملتزم"))</f>
        <v>✅ ملتزم</v>
      </c>
      <c r="L10" s="284" t="str" cm="1">
        <f t="array" ref="L10">IF(A10="","",INDEX(البيانات!$AJ$2:$AJ$265,A10))</f>
        <v>لم تحظر</v>
      </c>
      <c r="M10" s="286"/>
      <c r="N10" s="288"/>
      <c r="O10" s="167"/>
    </row>
    <row r="11" spans="1:15">
      <c r="A11" s="182" cm="1">
        <f t="array" ref="A11">IFERROR(SMALL(IF(البيانات!$AS$2:$AS$265="مستشفى صبيا العام",البيانات!$AT$2:$AT$265),8),"")</f>
        <v>35</v>
      </c>
      <c r="B11" s="182" t="str" cm="1">
        <f t="array" ref="B11">IF(A11="","",INDEX(البيانات!$V$2:$V$265,A11))</f>
        <v>1083139400</v>
      </c>
      <c r="C11" s="182" t="str" cm="1">
        <f t="array" ref="C11">IF(A11="","",INDEX(البيانات!$U$2:$U$265,A11))</f>
        <v>RAYHANAH SULAIMAN YAHYA SUHLULI</v>
      </c>
      <c r="D11" s="182" cm="1">
        <f t="array" ref="D11">IF(A11="","",INDEX(البيانات!$T$2:$T$265,A11))</f>
        <v>0</v>
      </c>
      <c r="E11" s="182" t="str" cm="1">
        <f t="array" ref="E11">IF(A11="","",INDEX(البيانات!$F$2:$F$265,A11))</f>
        <v>القطاع الغربي</v>
      </c>
      <c r="F11" s="182" t="str" cm="1">
        <f t="array" ref="F11">IF(A11="","",INDEX(البيانات!$Y$2:$Y$265,A11))</f>
        <v>0530772945</v>
      </c>
      <c r="G11" s="281"/>
      <c r="H11" s="281"/>
      <c r="I11" s="184" cm="1">
        <f t="array" ref="I11">IF(A11="","",INDEX(البيانات!$P$2:$P$265,A11))</f>
        <v>46091</v>
      </c>
      <c r="J11" s="283">
        <v>46103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تم الحظور</v>
      </c>
      <c r="M11" s="286"/>
      <c r="N11" s="288"/>
      <c r="O11" s="167"/>
    </row>
    <row r="12" spans="1:15">
      <c r="A12" s="112" cm="1">
        <f t="array" ref="A12">IFERROR(SMALL(IF(البيانات!$AS$2:$AS$265="مستشفى صبيا العام",البيانات!$AT$2:$AT$265),9),"")</f>
        <v>38</v>
      </c>
      <c r="B12" s="112" t="str" cm="1">
        <f t="array" ref="B12">IF(A12="","",INDEX(البيانات!$V$2:$V$265,A12))</f>
        <v>1088937386</v>
      </c>
      <c r="C12" s="112" t="str" cm="1">
        <f t="array" ref="C12">IF(A12="","",INDEX(البيانات!$U$2:$U$265,A12))</f>
        <v>JAMILAH YAHYA JABER SAHLOLI</v>
      </c>
      <c r="D12" s="112" cm="1">
        <f t="array" ref="D12">IF(A12="","",INDEX(البيانات!$T$2:$T$265,A12))</f>
        <v>0</v>
      </c>
      <c r="E12" s="112" t="str" cm="1">
        <f t="array" ref="E12">IF(A12="","",INDEX(البيانات!$F$2:$F$265,A12))</f>
        <v>القطاع الغربي</v>
      </c>
      <c r="F12" s="112" t="str" cm="1">
        <f t="array" ref="F12">IF(A12="","",INDEX(البيانات!$Y$2:$Y$265,A12))</f>
        <v>500162816</v>
      </c>
      <c r="G12" s="280"/>
      <c r="H12" s="280"/>
      <c r="I12" s="181" cm="1">
        <f t="array" ref="I12">IF(A12="","",INDEX(البيانات!$P$2:$P$265,A12))</f>
        <v>46091</v>
      </c>
      <c r="J12" s="282" t="str" cm="1">
        <f t="array" ref="J12">IF(A12="","",INDEX(البيانات!$AI$2:$AI$265,A12))</f>
        <v>19/3/2026</v>
      </c>
      <c r="K12" s="109" t="str">
        <f>IF(OR(A12="",J12="",I12=""),"",IF(NETWORKDAYS.INTL(I12,J12,"0000011")-1&lt;=2,"✅ ملتزم","❌ غير ملتزم"))</f>
        <v>❌ غير ملتزم</v>
      </c>
      <c r="L12" s="284" t="str" cm="1">
        <f t="array" ref="L12">IF(A12="","",INDEX(البيانات!$AJ$2:$AJ$265,A12))</f>
        <v>تم الحظور</v>
      </c>
      <c r="M12" s="286"/>
      <c r="N12" s="288"/>
      <c r="O12" s="167"/>
    </row>
    <row r="13" spans="1:15">
      <c r="A13" s="182" cm="1">
        <f t="array" ref="A13">IFERROR(SMALL(IF(البيانات!$AS$2:$AS$265="مستشفى صبيا العام",البيانات!$AT$2:$AT$265),11),"")</f>
        <v>48</v>
      </c>
      <c r="B13" s="182" t="str" cm="1">
        <f t="array" ref="B13">IF(A13="","",INDEX(البيانات!$V$2:$V$265,A13))</f>
        <v>1100570876</v>
      </c>
      <c r="C13" s="182" t="str" cm="1">
        <f t="array" ref="C13">IF(A13="","",INDEX(البيانات!$U$2:$U$265,A13))</f>
        <v>SHARIFAH MOHAMMED YAHYA SUHLULI</v>
      </c>
      <c r="D13" s="182" cm="1">
        <f t="array" ref="D13">IF(A13="","",INDEX(البيانات!$T$2:$T$265,A13))</f>
        <v>0</v>
      </c>
      <c r="E13" s="182" t="str" cm="1">
        <f t="array" ref="E13">IF(A13="","",INDEX(البيانات!$F$2:$F$265,A13))</f>
        <v>القطاع الغربي</v>
      </c>
      <c r="F13" s="182" t="str" cm="1">
        <f t="array" ref="F13">IF(A13="","",INDEX(البيانات!$Y$2:$Y$265,A13))</f>
        <v>0544828609</v>
      </c>
      <c r="G13" s="281"/>
      <c r="H13" s="281"/>
      <c r="I13" s="184" cm="1">
        <f t="array" ref="I13">IF(A13="","",INDEX(البيانات!$P$2:$P$265,A13))</f>
        <v>46093</v>
      </c>
      <c r="J13" s="283" t="str" cm="1">
        <f t="array" ref="J13">IF(A13="","",INDEX(البيانات!$AI$2:$AI$265,A13))</f>
        <v>19/3/2026</v>
      </c>
      <c r="K13" s="183" t="str">
        <f>IF(OR(A13="",J13="",I13=""),"",IF(NETWORKDAYS.INTL(I13,J13,"0000011")-1&lt;=2,"✅ ملتزم","❌ غير ملتزم"))</f>
        <v>❌ غير ملتزم</v>
      </c>
      <c r="L13" s="285" t="str" cm="1">
        <f t="array" ref="L13">IF(A13="","",INDEX(البيانات!$AJ$2:$AJ$265,A13))</f>
        <v>تم الحظور</v>
      </c>
      <c r="M13" s="286"/>
      <c r="N13" s="288"/>
      <c r="O13" s="167"/>
    </row>
    <row r="14" spans="1:15">
      <c r="A14" s="112" cm="1">
        <f t="array" ref="A14">IFERROR(SMALL(IF(البيانات!$AS$2:$AS$265="مستشفى صبيا العام",البيانات!$AT$2:$AT$265),12),"")</f>
        <v>51</v>
      </c>
      <c r="B14" s="112" t="str" cm="1">
        <f t="array" ref="B14">IF(A14="","",INDEX(البيانات!$V$2:$V$265,A14))</f>
        <v>1157296243</v>
      </c>
      <c r="C14" s="112" t="str" cm="1">
        <f t="array" ref="C14">IF(A14="","",INDEX(البيانات!$U$2:$U$265,A14))</f>
        <v>JAMILAH SULAIMAN MOHAMMED ABDULRAHMAN</v>
      </c>
      <c r="D14" s="112" cm="1">
        <f t="array" ref="D14">IF(A14="","",INDEX(البيانات!$T$2:$T$265,A14))</f>
        <v>0</v>
      </c>
      <c r="E14" s="112" t="str" cm="1">
        <f t="array" ref="E14">IF(A14="","",INDEX(البيانات!$F$2:$F$265,A14))</f>
        <v>القطاع الغربي</v>
      </c>
      <c r="F14" s="112" t="str" cm="1">
        <f t="array" ref="F14">IF(A14="","",INDEX(البيانات!$Y$2:$Y$265,A14))</f>
        <v>504689320</v>
      </c>
      <c r="G14" s="280"/>
      <c r="H14" s="280"/>
      <c r="I14" s="181" cm="1">
        <f t="array" ref="I14">IF(A14="","",INDEX(البيانات!$P$2:$P$265,A14))</f>
        <v>46096</v>
      </c>
      <c r="J14" s="282" t="str" cm="1">
        <f t="array" ref="J14">IF(A14="","",INDEX(البيانات!$AI$2:$AI$265,A14))</f>
        <v>19/3/2026</v>
      </c>
      <c r="K14" s="109" t="str">
        <f>IF(OR(A14="",J14="",I14=""),"",IF(NETWORKDAYS.INTL(I14,J14,"0000011")-1&lt;=2,"✅ ملتزم","❌ غير ملتزم"))</f>
        <v>❌ غير ملتزم</v>
      </c>
      <c r="L14" s="284" t="str" cm="1">
        <f t="array" ref="L14">IF(A14="","",INDEX(البيانات!$AJ$2:$AJ$265,A14))</f>
        <v>لم تحظر</v>
      </c>
      <c r="M14" s="286"/>
      <c r="N14" s="288"/>
      <c r="O14" s="167"/>
    </row>
    <row r="15" spans="1:15">
      <c r="A15" s="182" cm="1">
        <f t="array" ref="A15">IFERROR(SMALL(IF(البيانات!$AS$2:$AS$265="مستشفى صبيا العام",البيانات!$AT$2:$AT$265),13),"")</f>
        <v>53</v>
      </c>
      <c r="B15" s="182" t="str" cm="1">
        <f t="array" ref="B15">IF(A15="","",INDEX(البيانات!$V$2:$V$265,A15))</f>
        <v>1130070657</v>
      </c>
      <c r="C15" s="182" t="str" cm="1">
        <f t="array" ref="C15">IF(A15="","",INDEX(البيانات!$U$2:$U$265,A15))</f>
        <v>منال مفرح يحي</v>
      </c>
      <c r="D15" s="182" cm="1">
        <f t="array" ref="D15">IF(A15="","",INDEX(البيانات!$T$2:$T$265,A15))</f>
        <v>0</v>
      </c>
      <c r="E15" s="182" t="str" cm="1">
        <f t="array" ref="E15">IF(A15="","",INDEX(البيانات!$F$2:$F$265,A15))</f>
        <v>القطاع الجبلي</v>
      </c>
      <c r="F15" s="182" t="str" cm="1">
        <f t="array" ref="F15">IF(A15="","",INDEX(البيانات!$Y$2:$Y$265,A15))</f>
        <v>0550781908</v>
      </c>
      <c r="G15" s="281"/>
      <c r="H15" s="281"/>
      <c r="I15" s="184" cm="1">
        <f t="array" ref="I15">IF(A15="","",INDEX(البيانات!$P$2:$P$265,A15))</f>
        <v>46096</v>
      </c>
      <c r="J15" s="283" t="str" cm="1">
        <f t="array" ref="J15">IF(A15="","",INDEX(البيانات!$AI$2:$AI$265,A15))</f>
        <v>19/3/2026</v>
      </c>
      <c r="K15" s="183" t="str">
        <f>IF(OR(A15="",J15="",I15=""),"",IF(NETWORKDAYS.INTL(I15,J15,"0000011")-1&lt;=2,"✅ ملتزم","❌ غير ملتزم"))</f>
        <v>❌ غير ملتزم</v>
      </c>
      <c r="L15" s="285" t="str" cm="1">
        <f t="array" ref="L15">IF(A15="","",INDEX(البيانات!$AJ$2:$AJ$265,A15))</f>
        <v>المريضه الغت الموعد</v>
      </c>
      <c r="M15" s="286"/>
      <c r="N15" s="288"/>
      <c r="O15" s="167"/>
    </row>
    <row r="16" spans="1:15">
      <c r="A16" s="112" cm="1">
        <f t="array" ref="A16">IFERROR(SMALL(IF(البيانات!$AS$2:$AS$265="مستشفى صبيا العام",البيانات!$AT$2:$AT$265),14),"")</f>
        <v>59</v>
      </c>
      <c r="B16" s="112" t="str" cm="1">
        <f t="array" ref="B16">IF(A16="","",INDEX(البيانات!$V$2:$V$265,A16))</f>
        <v>1086822606</v>
      </c>
      <c r="C16" s="112" t="str" cm="1">
        <f t="array" ref="C16">IF(A16="","",INDEX(البيانات!$U$2:$U$265,A16))</f>
        <v>SALIHAH HADI MOHAMMED SUHLULI</v>
      </c>
      <c r="D16" s="112" cm="1">
        <f t="array" ref="D16">IF(A16="","",INDEX(البيانات!$T$2:$T$265,A16))</f>
        <v>0</v>
      </c>
      <c r="E16" s="112" t="str" cm="1">
        <f t="array" ref="E16">IF(A16="","",INDEX(البيانات!$F$2:$F$265,A16))</f>
        <v>القطاع الغربي</v>
      </c>
      <c r="F16" s="112" cm="1">
        <f t="array" ref="F16">IF(A16="","",INDEX(البيانات!$Y$2:$Y$265,A16))</f>
        <v>533466343</v>
      </c>
      <c r="G16" s="280"/>
      <c r="H16" s="280"/>
      <c r="I16" s="181" cm="1">
        <f t="array" ref="I16">IF(A16="","",INDEX(البيانات!$P$2:$P$265,A16))</f>
        <v>46098</v>
      </c>
      <c r="J16" s="282" t="str" cm="1">
        <f t="array" ref="J16">IF(A16="","",INDEX(البيانات!$AI$2:$AI$265,A16))</f>
        <v>26/3/2026</v>
      </c>
      <c r="K16" s="109" t="str">
        <f>IF(OR(A16="",J16="",I16=""),"",IF(NETWORKDAYS.INTL(I16,J16,"0000011")-1&lt;=2,"✅ ملتزم","❌ غير ملتزم"))</f>
        <v>❌ غير ملتزم</v>
      </c>
      <c r="L16" s="284" t="str" cm="1">
        <f t="array" ref="L16">IF(A16="","",INDEX(البيانات!$AJ$2:$AJ$265,A16))</f>
        <v>تم الحضور</v>
      </c>
      <c r="M16" s="286"/>
      <c r="N16" s="288"/>
      <c r="O16" s="167"/>
    </row>
    <row r="17" spans="1:15">
      <c r="A17" s="182" cm="1">
        <f t="array" ref="A17">IFERROR(SMALL(IF(البيانات!$AS$2:$AS$265="مستشفى صبيا العام",البيانات!$AT$2:$AT$265),15),"")</f>
        <v>62</v>
      </c>
      <c r="B17" s="182" t="str" cm="1">
        <f t="array" ref="B17">IF(A17="","",INDEX(البيانات!$V$2:$V$265,A17))</f>
        <v>1077475919</v>
      </c>
      <c r="C17" s="182" t="str" cm="1">
        <f t="array" ref="C17">IF(A17="","",INDEX(البيانات!$U$2:$U$265,A17))</f>
        <v>ABEER HUSSAIN MOFAREH QARRADI</v>
      </c>
      <c r="D17" s="182" cm="1">
        <f t="array" ref="D17">IF(A17="","",INDEX(البيانات!$T$2:$T$265,A17))</f>
        <v>0</v>
      </c>
      <c r="E17" s="182" t="str" cm="1">
        <f t="array" ref="E17">IF(A17="","",INDEX(البيانات!$F$2:$F$265,A17))</f>
        <v>القطاع الغربي</v>
      </c>
      <c r="F17" s="182" t="str" cm="1">
        <f t="array" ref="F17">IF(A17="","",INDEX(البيانات!$Y$2:$Y$265,A17))</f>
        <v>0536330728</v>
      </c>
      <c r="G17" s="281"/>
      <c r="H17" s="281"/>
      <c r="I17" s="184" cm="1">
        <f t="array" ref="I17">IF(A17="","",INDEX(البيانات!$P$2:$P$265,A17))</f>
        <v>46098</v>
      </c>
      <c r="J17" s="283">
        <v>46103</v>
      </c>
      <c r="K17" s="183" t="str">
        <f>IF(OR(A17="",J17="",I17=""),"",IF(NETWORKDAYS.INTL(I17,J17,"0000011")-1&lt;=2,"✅ ملتزم","❌ غير ملتزم"))</f>
        <v>❌ غير ملتزم</v>
      </c>
      <c r="L17" s="285" t="str" cm="1">
        <f t="array" ref="L17">IF(A17="","",INDEX(البيانات!$AJ$2:$AJ$265,A17))</f>
        <v>تم الحظور</v>
      </c>
      <c r="M17" s="286"/>
      <c r="N17" s="288"/>
      <c r="O17" s="167"/>
    </row>
    <row r="18" spans="1:15">
      <c r="A18" s="112" cm="1">
        <f t="array" ref="A18">IFERROR(SMALL(IF(البيانات!$AS$2:$AS$265="مستشفى صبيا العام",البيانات!$AT$2:$AT$265),16),"")</f>
        <v>66</v>
      </c>
      <c r="B18" s="112" t="str" cm="1">
        <f t="array" ref="B18">IF(A18="","",INDEX(البيانات!$V$2:$V$265,A18))</f>
        <v>1087694566</v>
      </c>
      <c r="C18" s="112" t="str" cm="1">
        <f t="array" ref="C18">IF(A18="","",INDEX(البيانات!$U$2:$U$265,A18))</f>
        <v>GHALIAH AHMED HAMAD HIFTHI</v>
      </c>
      <c r="D18" s="112" cm="1">
        <f t="array" ref="D18">IF(A18="","",INDEX(البيانات!$T$2:$T$265,A18))</f>
        <v>0</v>
      </c>
      <c r="E18" s="112" t="str" cm="1">
        <f t="array" ref="E18">IF(A18="","",INDEX(البيانات!$F$2:$F$265,A18))</f>
        <v>القطاع الغربي</v>
      </c>
      <c r="F18" s="112" t="str" cm="1">
        <f t="array" ref="F18">IF(A18="","",INDEX(البيانات!$Y$2:$Y$265,A18))</f>
        <v>0501570010</v>
      </c>
      <c r="G18" s="280"/>
      <c r="H18" s="280"/>
      <c r="I18" s="181" cm="1">
        <f t="array" ref="I18">IF(A18="","",INDEX(البيانات!$P$2:$P$265,A18))</f>
        <v>46103</v>
      </c>
      <c r="J18" s="282" t="str" cm="1">
        <f t="array" ref="J18">IF(A18="","",INDEX(البيانات!$AI$2:$AI$265,A18))</f>
        <v>26/3/2026</v>
      </c>
      <c r="K18" s="109" t="str">
        <f>IF(OR(A18="",J18="",I18=""),"",IF(NETWORKDAYS.INTL(I18,J18,"0000011")-1&lt;=2,"✅ ملتزم","❌ غير ملتزم"))</f>
        <v>❌ غير ملتزم</v>
      </c>
      <c r="L18" s="284" t="str" cm="1">
        <f t="array" ref="L18">IF(A18="","",INDEX(البيانات!$AJ$2:$AJ$265,A18))</f>
        <v>تم الحضور</v>
      </c>
      <c r="M18" s="286"/>
      <c r="N18" s="288"/>
      <c r="O18" s="167"/>
    </row>
    <row r="19" spans="1:15">
      <c r="A19" s="182" cm="1">
        <f t="array" ref="A19">IFERROR(SMALL(IF(البيانات!$AS$2:$AS$265="مستشفى صبيا العام",البيانات!$AT$2:$AT$265),17),"")</f>
        <v>74</v>
      </c>
      <c r="B19" s="182" t="str" cm="1">
        <f t="array" ref="B19">IF(A19="","",INDEX(البيانات!$V$2:$V$265,A19))</f>
        <v>1128898101</v>
      </c>
      <c r="C19" s="182" t="str" cm="1">
        <f t="array" ref="C19">IF(A19="","",INDEX(البيانات!$U$2:$U$265,A19))</f>
        <v>OHUD ABDU ABDULLAH AJIMI</v>
      </c>
      <c r="D19" s="182" cm="1">
        <f t="array" ref="D19">IF(A19="","",INDEX(البيانات!$T$2:$T$265,A19))</f>
        <v>0</v>
      </c>
      <c r="E19" s="182" t="str" cm="1">
        <f t="array" ref="E19">IF(A19="","",INDEX(البيانات!$F$2:$F$265,A19))</f>
        <v>القطاع الغربي</v>
      </c>
      <c r="F19" s="182" t="str" cm="1">
        <f t="array" ref="F19">IF(A19="","",INDEX(البيانات!$Y$2:$Y$265,A19))</f>
        <v>0559231453</v>
      </c>
      <c r="G19" s="281"/>
      <c r="H19" s="281"/>
      <c r="I19" s="184" cm="1">
        <f t="array" ref="I19">IF(A19="","",INDEX(البيانات!$P$2:$P$265,A19))</f>
        <v>46107</v>
      </c>
      <c r="J19" s="283" t="str" cm="1">
        <f t="array" ref="J19">IF(A19="","",INDEX(البيانات!$AI$2:$AI$265,A19))</f>
        <v>2/4/2026</v>
      </c>
      <c r="K19" s="183" t="str">
        <f>IF(OR(A19="",J19="",I19=""),"",IF(NETWORKDAYS.INTL(I19,J19,"0000011")-1&lt;=2,"✅ ملتزم","❌ غير ملتزم"))</f>
        <v>❌ غير ملتزم</v>
      </c>
      <c r="L19" s="285" t="str" cm="1">
        <f t="array" ref="L19">IF(A19="","",INDEX(البيانات!$AJ$2:$AJ$265,A19))</f>
        <v>تم الحضور</v>
      </c>
      <c r="M19" s="286"/>
      <c r="N19" s="288"/>
      <c r="O19" s="167"/>
    </row>
    <row r="20" spans="1:15">
      <c r="A20" s="112" cm="1">
        <f t="array" ref="A20">IFERROR(SMALL(IF(البيانات!$AS$2:$AS$265="مستشفى صبيا العام",البيانات!$AT$2:$AT$265),18),"")</f>
        <v>85</v>
      </c>
      <c r="B20" s="112" t="str" cm="1">
        <f t="array" ref="B20">IF(A20="","",INDEX(البيانات!$V$2:$V$265,A20))</f>
        <v>1111484265</v>
      </c>
      <c r="C20" s="112" t="str" cm="1">
        <f t="array" ref="C20">IF(A20="","",INDEX(البيانات!$U$2:$U$265,A20))</f>
        <v>زهور حسن سالم المالكي</v>
      </c>
      <c r="D20" s="112" cm="1">
        <f t="array" ref="D20">IF(A20="","",INDEX(البيانات!$T$2:$T$265,A20))</f>
        <v>0</v>
      </c>
      <c r="E20" s="112" t="str" cm="1">
        <f t="array" ref="E20">IF(A20="","",INDEX(البيانات!$F$2:$F$265,A20))</f>
        <v>قطاع بني مالك</v>
      </c>
      <c r="F20" s="112" t="str" cm="1">
        <f t="array" ref="F20">IF(A20="","",INDEX(البيانات!$Y$2:$Y$265,A20))</f>
        <v>0501405595</v>
      </c>
      <c r="G20" s="280"/>
      <c r="H20" s="280"/>
      <c r="I20" s="181" cm="1">
        <f t="array" ref="I20">IF(A20="","",INDEX(البيانات!$P$2:$P$265,A20))</f>
        <v>46110</v>
      </c>
      <c r="J20" s="282" t="str" cm="1">
        <f t="array" ref="J20">IF(A20="","",INDEX(البيانات!$AI$2:$AI$265,A20))</f>
        <v>2/4/2026</v>
      </c>
      <c r="K20" s="109" t="str">
        <f>IF(OR(A20="",J20="",I20=""),"",IF(NETWORKDAYS.INTL(I20,J20,"0000011")-1&lt;=2,"✅ ملتزم","❌ غير ملتزم"))</f>
        <v>❌ غير ملتزم</v>
      </c>
      <c r="L20" s="284" t="str" cm="1">
        <f t="array" ref="L20">IF(A20="","",INDEX(البيانات!$AJ$2:$AJ$265,A20))</f>
        <v>لم تحظر</v>
      </c>
      <c r="M20" s="286"/>
      <c r="N20" s="288"/>
      <c r="O20" s="167"/>
    </row>
    <row r="21" spans="1:15">
      <c r="A21" s="182" cm="1">
        <f t="array" ref="A21">IFERROR(SMALL(IF(البيانات!$AS$2:$AS$265="مستشفى صبيا العام",البيانات!$AT$2:$AT$265),19),"")</f>
        <v>91</v>
      </c>
      <c r="B21" s="182" t="str" cm="1">
        <f t="array" ref="B21">IF(A21="","",INDEX(البيانات!$V$2:$V$265,A21))</f>
        <v>1097403966</v>
      </c>
      <c r="C21" s="182" t="str" cm="1">
        <f t="array" ref="C21">IF(A21="","",INDEX(البيانات!$U$2:$U$265,A21))</f>
        <v>Fatimah ali abdullah qanawi</v>
      </c>
      <c r="D21" s="182" cm="1">
        <f t="array" ref="D21">IF(A21="","",INDEX(البيانات!$T$2:$T$265,A21))</f>
        <v>0</v>
      </c>
      <c r="E21" s="182" t="str" cm="1">
        <f t="array" ref="E21">IF(A21="","",INDEX(البيانات!$F$2:$F$265,A21))</f>
        <v>القطاع الغربي</v>
      </c>
      <c r="F21" s="182" t="str" cm="1">
        <f t="array" ref="F21">IF(A21="","",INDEX(البيانات!$Y$2:$Y$265,A21))</f>
        <v>0535774175</v>
      </c>
      <c r="G21" s="281"/>
      <c r="H21" s="281"/>
      <c r="I21" s="184" cm="1">
        <f t="array" ref="I21">IF(A21="","",INDEX(البيانات!$P$2:$P$265,A21))</f>
        <v>46111</v>
      </c>
      <c r="J21" s="283" t="str" cm="1">
        <f t="array" ref="J21">IF(A21="","",INDEX(البيانات!$AI$2:$AI$265,A21))</f>
        <v>2/4/2026</v>
      </c>
      <c r="K21" s="183" t="str">
        <f>IF(OR(A21="",J21="",I21=""),"",IF(NETWORKDAYS.INTL(I21,J21,"0000011")-1&lt;=2,"✅ ملتزم","❌ غير ملتزم"))</f>
        <v>❌ غير ملتزم</v>
      </c>
      <c r="L21" s="285" t="str" cm="1">
        <f t="array" ref="L21">IF(A21="","",INDEX(البيانات!$AJ$2:$AJ$265,A21))</f>
        <v>تم الحضور</v>
      </c>
      <c r="M21" s="286"/>
      <c r="N21" s="288"/>
      <c r="O21" s="167"/>
    </row>
    <row r="22" spans="1:15">
      <c r="A22" s="112" cm="1">
        <f t="array" ref="A22">IFERROR(SMALL(IF(البيانات!$AS$2:$AS$265="مستشفى صبيا العام",البيانات!$AT$2:$AT$265),20),"")</f>
        <v>107</v>
      </c>
      <c r="B22" s="112" t="str" cm="1">
        <f t="array" ref="B22">IF(A22="","",INDEX(البيانات!$V$2:$V$265,A22))</f>
        <v>1096345218</v>
      </c>
      <c r="C22" s="112" t="str" cm="1">
        <f t="array" ref="C22">IF(A22="","",INDEX(البيانات!$U$2:$U$265,A22))</f>
        <v>AWATIF AHMED ABDULLAH HAKAMI</v>
      </c>
      <c r="D22" s="112" cm="1">
        <f t="array" ref="D22">IF(A22="","",INDEX(البيانات!$T$2:$T$265,A22))</f>
        <v>38</v>
      </c>
      <c r="E22" s="112" t="str" cm="1">
        <f t="array" ref="E22">IF(A22="","",INDEX(البيانات!$F$2:$F$265,A22))</f>
        <v>القطاع المركزي Central Sector</v>
      </c>
      <c r="F22" s="112" t="str" cm="1">
        <f t="array" ref="F22">IF(A22="","",INDEX(البيانات!$Y$2:$Y$265,A22))</f>
        <v>0551323515</v>
      </c>
      <c r="G22" s="280"/>
      <c r="H22" s="280"/>
      <c r="I22" s="181" cm="1">
        <f t="array" ref="I22">IF(A22="","",INDEX(البيانات!$P$2:$P$265,A22))</f>
        <v>46113</v>
      </c>
      <c r="J22" s="282" cm="1">
        <f t="array" ref="J22">IF(A22="","",INDEX(البيانات!$AI$2:$AI$265,A22))</f>
        <v>46117</v>
      </c>
      <c r="K22" s="109" t="str">
        <f>IF(OR(A22="",J22="",I22=""),"",IF(NETWORKDAYS.INTL(I22,J22,"0000011")-1&lt;=2,"✅ ملتزم","❌ غير ملتزم"))</f>
        <v>✅ ملتزم</v>
      </c>
      <c r="L22" s="284" t="str" cm="1">
        <f t="array" ref="L22">IF(A22="","",INDEX(البيانات!$AJ$2:$AJ$265,A22))</f>
        <v>حضرت</v>
      </c>
      <c r="M22" s="286"/>
      <c r="N22" s="288"/>
      <c r="O22" s="167"/>
    </row>
    <row r="23" spans="1:15">
      <c r="A23" s="182" cm="1">
        <f t="array" ref="A23">IFERROR(SMALL(IF(البيانات!$AS$2:$AS$265="مستشفى صبيا العام",البيانات!$AT$2:$AT$265),21),"")</f>
        <v>108</v>
      </c>
      <c r="B23" s="182" t="str" cm="1">
        <f t="array" ref="B23">IF(A23="","",INDEX(البيانات!$V$2:$V$265,A23))</f>
        <v>1067876415</v>
      </c>
      <c r="C23" s="182" t="str" cm="1">
        <f t="array" ref="C23">IF(A23="","",INDEX(البيانات!$U$2:$U$265,A23))</f>
        <v>MUTIBAH FAYADH MUTAEN TUMAYHI</v>
      </c>
      <c r="D23" s="182" cm="1">
        <f t="array" ref="D23">IF(A23="","",INDEX(البيانات!$T$2:$T$265,A23))</f>
        <v>42</v>
      </c>
      <c r="E23" s="182" t="str" cm="1">
        <f t="array" ref="E23">IF(A23="","",INDEX(البيانات!$F$2:$F$265,A23))</f>
        <v>القطاع الغربي Western Sector</v>
      </c>
      <c r="F23" s="182" t="str" cm="1">
        <f t="array" ref="F23">IF(A23="","",INDEX(البيانات!$Y$2:$Y$265,A23))</f>
        <v>0509836185</v>
      </c>
      <c r="G23" s="281"/>
      <c r="H23" s="281"/>
      <c r="I23" s="184" cm="1">
        <f t="array" ref="I23">IF(A23="","",INDEX(البيانات!$P$2:$P$265,A23))</f>
        <v>46113</v>
      </c>
      <c r="J23" s="283" cm="1">
        <f t="array" ref="J23">IF(A23="","",INDEX(البيانات!$AI$2:$AI$265,A23))</f>
        <v>46114</v>
      </c>
      <c r="K23" s="183" t="str">
        <f>IF(OR(A23="",J23="",I23=""),"",IF(NETWORKDAYS.INTL(I23,J23,"0000011")-1&lt;=2,"✅ ملتزم","❌ غير ملتزم"))</f>
        <v>✅ ملتزم</v>
      </c>
      <c r="L23" s="285" t="str" cm="1">
        <f t="array" ref="L23">IF(A23="","",INDEX(البيانات!$AJ$2:$AJ$265,A23))</f>
        <v>حضرت</v>
      </c>
      <c r="M23" s="286"/>
      <c r="N23" s="288"/>
      <c r="O23" s="167"/>
    </row>
    <row r="24" spans="1:15">
      <c r="A24" s="112" cm="1">
        <f t="array" ref="A24">IFERROR(SMALL(IF(البيانات!$AS$2:$AS$265="مستشفى صبيا العام",البيانات!$AT$2:$AT$265),22),"")</f>
        <v>112</v>
      </c>
      <c r="B24" s="112" t="str" cm="1">
        <f t="array" ref="B24">IF(A24="","",INDEX(البيانات!$V$2:$V$265,A24))</f>
        <v>1098883562</v>
      </c>
      <c r="C24" s="112" t="str" cm="1">
        <f t="array" ref="C24">IF(A24="","",INDEX(البيانات!$U$2:$U$265,A24))</f>
        <v>ندا عبدالله ناصر صالح يحي</v>
      </c>
      <c r="D24" s="112" cm="1">
        <f t="array" ref="D24">IF(A24="","",INDEX(البيانات!$T$2:$T$265,A24))</f>
        <v>39</v>
      </c>
      <c r="E24" s="112" t="str" cm="1">
        <f t="array" ref="E24">IF(A24="","",INDEX(البيانات!$F$2:$F$265,A24))</f>
        <v>القطاع الأوسط Middle Sector</v>
      </c>
      <c r="F24" s="112" t="str" cm="1">
        <f t="array" ref="F24">IF(A24="","",INDEX(البيانات!$Y$2:$Y$265,A24))</f>
        <v>0503663772</v>
      </c>
      <c r="G24" s="280"/>
      <c r="H24" s="280"/>
      <c r="I24" s="181" cm="1">
        <f t="array" ref="I24">IF(A24="","",INDEX(البيانات!$P$2:$P$265,A24))</f>
        <v>46114</v>
      </c>
      <c r="J24" s="282"/>
      <c r="K24" s="109" t="str">
        <f>IF(OR(A24="",J24="",I24=""),"",IF(NETWORKDAYS.INTL(I24,J24,"0000011")-1&lt;=2,"✅ ملتزم","❌ غير ملتزم"))</f>
        <v/>
      </c>
      <c r="L24" s="284" t="str" cm="1">
        <f t="array" ref="L24">IF(A24="","",INDEX(البيانات!$AJ$2:$AJ$265,A24))</f>
        <v>تراجع بمستشفى اخر</v>
      </c>
      <c r="M24" s="286"/>
      <c r="N24" s="288"/>
      <c r="O24" s="167"/>
    </row>
    <row r="25" spans="1:15">
      <c r="A25" s="182" cm="1">
        <f t="array" ref="A25">IFERROR(SMALL(IF(البيانات!$AS$2:$AS$265="مستشفى صبيا العام",البيانات!$AT$2:$AT$265),23),"")</f>
        <v>113</v>
      </c>
      <c r="B25" s="182" t="str" cm="1">
        <f t="array" ref="B25">IF(A25="","",INDEX(البيانات!$V$2:$V$265,A25))</f>
        <v>1110869045</v>
      </c>
      <c r="C25" s="182" t="str" cm="1">
        <f t="array" ref="C25">IF(A25="","",INDEX(البيانات!$U$2:$U$265,A25))</f>
        <v>هند جابر احمد عقيلي</v>
      </c>
      <c r="D25" s="182" cm="1">
        <f t="array" ref="D25">IF(A25="","",INDEX(البيانات!$T$2:$T$265,A25))</f>
        <v>33</v>
      </c>
      <c r="E25" s="182" t="str" cm="1">
        <f t="array" ref="E25">IF(A25="","",INDEX(البيانات!$F$2:$F$265,A25))</f>
        <v>القطاع المركزي Central Sector</v>
      </c>
      <c r="F25" s="182" t="str" cm="1">
        <f t="array" ref="F25">IF(A25="","",INDEX(البيانات!$Y$2:$Y$265,A25))</f>
        <v>0550691432</v>
      </c>
      <c r="G25" s="281"/>
      <c r="H25" s="281"/>
      <c r="I25" s="184" cm="1">
        <f t="array" ref="I25">IF(A25="","",INDEX(البيانات!$P$2:$P$265,A25))</f>
        <v>46114</v>
      </c>
      <c r="J25" s="283" cm="1">
        <f t="array" ref="J25">IF(A25="","",INDEX(البيانات!$AI$2:$AI$265,A25))</f>
        <v>46128</v>
      </c>
      <c r="K25" s="183" t="str">
        <f>IF(OR(A25="",J25="",I25=""),"",IF(NETWORKDAYS.INTL(I25,J25,"0000011")-1&lt;=2,"✅ ملتزم","❌ غير ملتزم"))</f>
        <v>❌ غير ملتزم</v>
      </c>
      <c r="L25" s="285" t="str" cm="1">
        <f t="array" ref="L25">IF(A25="","",INDEX(البيانات!$AJ$2:$AJ$265,A25))</f>
        <v>حضرت</v>
      </c>
      <c r="M25" s="286"/>
      <c r="N25" s="288"/>
      <c r="O25" s="167"/>
    </row>
    <row r="26" spans="1:15">
      <c r="A26" s="112" cm="1">
        <f t="array" ref="A26">IFERROR(SMALL(IF(البيانات!$AS$2:$AS$265="مستشفى صبيا العام",البيانات!$AT$2:$AT$265),24),"")</f>
        <v>115</v>
      </c>
      <c r="B26" s="112" t="str" cm="1">
        <f t="array" ref="B26">IF(A26="","",INDEX(البيانات!$V$2:$V$265,A26))</f>
        <v>1060748751</v>
      </c>
      <c r="C26" s="112" t="str" cm="1">
        <f t="array" ref="C26">IF(A26="","",INDEX(البيانات!$U$2:$U$265,A26))</f>
        <v>رقيا احمد قاسم مجلي</v>
      </c>
      <c r="D26" s="112" cm="1">
        <f t="array" ref="D26">IF(A26="","",INDEX(البيانات!$T$2:$T$265,A26))</f>
        <v>47</v>
      </c>
      <c r="E26" s="112" t="str" cm="1">
        <f t="array" ref="E26">IF(A26="","",INDEX(البيانات!$F$2:$F$265,A26))</f>
        <v>القطاع الجبلي Aljabaly Sector</v>
      </c>
      <c r="F26" s="112" t="str" cm="1">
        <f t="array" ref="F26">IF(A26="","",INDEX(البيانات!$Y$2:$Y$265,A26))</f>
        <v>509690023</v>
      </c>
      <c r="G26" s="280"/>
      <c r="H26" s="280"/>
      <c r="I26" s="181" cm="1">
        <f t="array" ref="I26">IF(A26="","",INDEX(البيانات!$P$2:$P$265,A26))</f>
        <v>46114</v>
      </c>
      <c r="J26" s="282" cm="1">
        <f t="array" ref="J26">IF(A26="","",INDEX(البيانات!$AI$2:$AI$265,A26))</f>
        <v>46121</v>
      </c>
      <c r="K26" s="109" t="str">
        <f>IF(OR(A26="",J26="",I26=""),"",IF(NETWORKDAYS.INTL(I26,J26,"0000011")-1&lt;=2,"✅ ملتزم","❌ غير ملتزم"))</f>
        <v>❌ غير ملتزم</v>
      </c>
      <c r="L26" s="284" t="str" cm="1">
        <f t="array" ref="L26">IF(A26="","",INDEX(البيانات!$AJ$2:$AJ$265,A26))</f>
        <v>حضرت</v>
      </c>
      <c r="M26" s="286"/>
      <c r="N26" s="288"/>
      <c r="O26" s="167"/>
    </row>
    <row r="27" spans="1:15">
      <c r="A27" s="182" cm="1">
        <f t="array" ref="A27">IFERROR(SMALL(IF(البيانات!$AS$2:$AS$265="مستشفى صبيا العام",البيانات!$AT$2:$AT$265),25),"")</f>
        <v>126</v>
      </c>
      <c r="B27" s="182" cm="1">
        <f t="array" ref="B27">IF(A27="","",INDEX(البيانات!$V$2:$V$265,A27))</f>
        <v>1096237886</v>
      </c>
      <c r="C27" s="182" t="str" cm="1">
        <f t="array" ref="C27">IF(A27="","",INDEX(البيانات!$U$2:$U$265,A27))</f>
        <v>هناء حسن النعمي</v>
      </c>
      <c r="D27" s="182" cm="1">
        <f t="array" ref="D27">IF(A27="","",INDEX(البيانات!$T$2:$T$265,A27))</f>
        <v>36</v>
      </c>
      <c r="E27" s="182" t="str" cm="1">
        <f t="array" ref="E27">IF(A27="","",INDEX(البيانات!$F$2:$F$265,A27))</f>
        <v>القطاع الأوسط Middle Sector</v>
      </c>
      <c r="F27" s="182" t="str" cm="1">
        <f t="array" ref="F27">IF(A27="","",INDEX(البيانات!$Y$2:$Y$265,A27))</f>
        <v>0534149948</v>
      </c>
      <c r="G27" s="281"/>
      <c r="H27" s="281"/>
      <c r="I27" s="184" cm="1">
        <f t="array" ref="I27">IF(A27="","",INDEX(البيانات!$P$2:$P$265,A27))</f>
        <v>46117</v>
      </c>
      <c r="J27" s="283" cm="1">
        <f t="array" ref="J27">IF(A27="","",INDEX(البيانات!$AI$2:$AI$265,A27))</f>
        <v>46134</v>
      </c>
      <c r="K27" s="183" t="str">
        <f>IF(OR(A27="",J27="",I27=""),"",IF(NETWORKDAYS.INTL(I27,J27,"0000011")-1&lt;=2,"✅ ملتزم","❌ غير ملتزم"))</f>
        <v>❌ غير ملتزم</v>
      </c>
      <c r="L27" s="285" t="str" cm="1">
        <f t="array" ref="L27">IF(A27="","",INDEX(البيانات!$AJ$2:$AJ$265,A27))</f>
        <v>حضرت</v>
      </c>
      <c r="M27" s="286"/>
      <c r="N27" s="288"/>
      <c r="O27" s="167"/>
    </row>
    <row r="28" spans="1:15">
      <c r="A28" s="112" cm="1">
        <f t="array" ref="A28">IFERROR(SMALL(IF(البيانات!$AS$2:$AS$265="مستشفى صبيا العام",البيانات!$AT$2:$AT$265),26),"")</f>
        <v>127</v>
      </c>
      <c r="B28" s="112" cm="1">
        <f t="array" ref="B28">IF(A28="","",INDEX(البيانات!$V$2:$V$265,A28))</f>
        <v>1077958971</v>
      </c>
      <c r="C28" s="112" t="str" cm="1">
        <f t="array" ref="C28">IF(A28="","",INDEX(البيانات!$U$2:$U$265,A28))</f>
        <v>fatma jaber mohammed</v>
      </c>
      <c r="D28" s="112" cm="1">
        <f t="array" ref="D28">IF(A28="","",INDEX(البيانات!$T$2:$T$265,A28))</f>
        <v>34</v>
      </c>
      <c r="E28" s="112" t="str" cm="1">
        <f t="array" ref="E28">IF(A28="","",INDEX(البيانات!$F$2:$F$265,A28))</f>
        <v>القطاع الشمالي Northern Sector</v>
      </c>
      <c r="F28" s="112" t="str" cm="1">
        <f t="array" ref="F28">IF(A28="","",INDEX(البيانات!$Y$2:$Y$265,A28))</f>
        <v>0507359011</v>
      </c>
      <c r="G28" s="280"/>
      <c r="H28" s="280"/>
      <c r="I28" s="181" cm="1">
        <f t="array" ref="I28">IF(A28="","",INDEX(البيانات!$P$2:$P$265,A28))</f>
        <v>46117</v>
      </c>
      <c r="J28" s="282" cm="1">
        <f t="array" ref="J28">IF(A28="","",INDEX(البيانات!$AI$2:$AI$265,A28))</f>
        <v>46120</v>
      </c>
      <c r="K28" s="109" t="str">
        <f>IF(OR(A28="",J28="",I28=""),"",IF(NETWORKDAYS.INTL(I28,J28,"0000011")-1&lt;=2,"✅ ملتزم","❌ غير ملتزم"))</f>
        <v>✅ ملتزم</v>
      </c>
      <c r="L28" s="284" t="str" cm="1">
        <f t="array" ref="L28">IF(A28="","",INDEX(البيانات!$AJ$2:$AJ$265,A28))</f>
        <v>حضرت</v>
      </c>
      <c r="M28" s="286"/>
      <c r="N28" s="288"/>
      <c r="O28" s="167"/>
    </row>
    <row r="29" spans="1:15">
      <c r="A29" s="182" cm="1">
        <f t="array" ref="A29">IFERROR(SMALL(IF(البيانات!$AS$2:$AS$265="مستشفى صبيا العام",البيانات!$AT$2:$AT$265),27),"")</f>
        <v>129</v>
      </c>
      <c r="B29" s="182" cm="1">
        <f t="array" ref="B29">IF(A29="","",INDEX(البيانات!$V$2:$V$265,A29))</f>
        <v>1073801175</v>
      </c>
      <c r="C29" s="182" t="str" cm="1">
        <f t="array" ref="C29">IF(A29="","",INDEX(البيانات!$U$2:$U$265,A29))</f>
        <v>RYHANA AHMED JABBAR</v>
      </c>
      <c r="D29" s="182" cm="1">
        <f t="array" ref="D29">IF(A29="","",INDEX(البيانات!$T$2:$T$265,A29))</f>
        <v>38</v>
      </c>
      <c r="E29" s="182" t="str" cm="1">
        <f t="array" ref="E29">IF(A29="","",INDEX(البيانات!$F$2:$F$265,A29))</f>
        <v>القطاع الشمالي Northern Sector</v>
      </c>
      <c r="F29" s="182" cm="1">
        <f t="array" ref="F29">IF(A29="","",INDEX(البيانات!$Y$2:$Y$265,A29))</f>
        <v>555646907</v>
      </c>
      <c r="G29" s="281"/>
      <c r="H29" s="281"/>
      <c r="I29" s="184" cm="1">
        <f t="array" ref="I29">IF(A29="","",INDEX(البيانات!$P$2:$P$265,A29))</f>
        <v>46118</v>
      </c>
      <c r="J29" s="283" cm="1">
        <f t="array" ref="J29">IF(A29="","",INDEX(البيانات!$AI$2:$AI$265,A29))</f>
        <v>46120</v>
      </c>
      <c r="K29" s="183" t="str">
        <f>IF(OR(A29="",J29="",I29=""),"",IF(NETWORKDAYS.INTL(I29,J29,"0000011")-1&lt;=2,"✅ ملتزم","❌ غير ملتزم"))</f>
        <v>✅ ملتزم</v>
      </c>
      <c r="L29" s="285" t="str" cm="1">
        <f t="array" ref="L29">IF(A29="","",INDEX(البيانات!$AJ$2:$AJ$265,A29))</f>
        <v>حضرت</v>
      </c>
      <c r="M29" s="286"/>
      <c r="N29" s="288"/>
      <c r="O29" s="167"/>
    </row>
    <row r="30" spans="1:15">
      <c r="A30" s="112" cm="1">
        <f t="array" ref="A30">IFERROR(SMALL(IF(البيانات!$AS$2:$AS$265="مستشفى صبيا العام",البيانات!$AT$2:$AT$265),28),"")</f>
        <v>130</v>
      </c>
      <c r="B30" s="112" t="str" cm="1">
        <f t="array" ref="B30">IF(A30="","",INDEX(البيانات!$V$2:$V$265,A30))</f>
        <v>1129763536</v>
      </c>
      <c r="C30" s="112" t="str" cm="1">
        <f t="array" ref="C30">IF(A30="","",INDEX(البيانات!$U$2:$U$265,A30))</f>
        <v>نعمه احمد سليمان علي غزواني</v>
      </c>
      <c r="D30" s="112" cm="1">
        <f t="array" ref="D30">IF(A30="","",INDEX(البيانات!$T$2:$T$265,A30))</f>
        <v>20</v>
      </c>
      <c r="E30" s="112" t="str" cm="1">
        <f t="array" ref="E30">IF(A30="","",INDEX(البيانات!$F$2:$F$265,A30))</f>
        <v>القطاع الجبلي Aljabaly Sector</v>
      </c>
      <c r="F30" s="112" t="str" cm="1">
        <f t="array" ref="F30">IF(A30="","",INDEX(البيانات!$Y$2:$Y$265,A30))</f>
        <v>0550058643</v>
      </c>
      <c r="G30" s="280"/>
      <c r="H30" s="280"/>
      <c r="I30" s="181" cm="1">
        <f t="array" ref="I30">IF(A30="","",INDEX(البيانات!$P$2:$P$265,A30))</f>
        <v>46118</v>
      </c>
      <c r="J30" s="282" cm="1">
        <f t="array" ref="J30">IF(A30="","",INDEX(البيانات!$AI$2:$AI$265,A30))</f>
        <v>46121</v>
      </c>
      <c r="K30" s="109" t="str">
        <f>IF(OR(A30="",J30="",I30=""),"",IF(NETWORKDAYS.INTL(I30,J30,"0000011")-1&lt;=2,"✅ ملتزم","❌ غير ملتزم"))</f>
        <v>❌ غير ملتزم</v>
      </c>
      <c r="L30" s="284" t="str" cm="1">
        <f t="array" ref="L30">IF(A30="","",INDEX(البيانات!$AJ$2:$AJ$265,A30))</f>
        <v>حضرت</v>
      </c>
      <c r="M30" s="286"/>
      <c r="N30" s="288"/>
      <c r="O30" s="167"/>
    </row>
    <row r="31" spans="1:15">
      <c r="A31" s="182" cm="1">
        <f t="array" ref="A31">IFERROR(SMALL(IF(البيانات!$AS$2:$AS$265="مستشفى صبيا العام",البيانات!$AT$2:$AT$265),29),"")</f>
        <v>132</v>
      </c>
      <c r="B31" s="182" t="str" cm="1">
        <f t="array" ref="B31">IF(A31="","",INDEX(البيانات!$V$2:$V$265,A31))</f>
        <v>2500917717</v>
      </c>
      <c r="C31" s="182" t="str" cm="1">
        <f t="array" ref="C31">IF(A31="","",INDEX(البيانات!$U$2:$U$265,A31))</f>
        <v>Aesha MOHAMMED AHMED MURAYR</v>
      </c>
      <c r="D31" s="182" cm="1">
        <f t="array" ref="D31">IF(A31="","",INDEX(البيانات!$T$2:$T$265,A31))</f>
        <v>26</v>
      </c>
      <c r="E31" s="182" t="str" cm="1">
        <f t="array" ref="E31">IF(A31="","",INDEX(البيانات!$F$2:$F$265,A31))</f>
        <v>القطاع الغربي Western Sector</v>
      </c>
      <c r="F31" s="182" t="str" cm="1">
        <f t="array" ref="F31">IF(A31="","",INDEX(البيانات!$Y$2:$Y$265,A31))</f>
        <v>0504159587</v>
      </c>
      <c r="G31" s="281"/>
      <c r="H31" s="281"/>
      <c r="I31" s="184" cm="1">
        <f t="array" ref="I31">IF(A31="","",INDEX(البيانات!$P$2:$P$265,A31))</f>
        <v>46119</v>
      </c>
      <c r="J31" s="283" cm="1">
        <f t="array" ref="J31">IF(A31="","",INDEX(البيانات!$AI$2:$AI$265,A31))</f>
        <v>46135</v>
      </c>
      <c r="K31" s="183" t="str">
        <f>IF(OR(A31="",J31="",I31=""),"",IF(NETWORKDAYS.INTL(I31,J31,"0000011")-1&lt;=2,"✅ ملتزم","❌ غير ملتزم"))</f>
        <v>❌ غير ملتزم</v>
      </c>
      <c r="L31" s="285" t="str" cm="1">
        <f t="array" ref="L31">IF(A31="","",INDEX(البيانات!$AJ$2:$AJ$265,A31))</f>
        <v>حضرت</v>
      </c>
      <c r="M31" s="286"/>
      <c r="N31" s="288"/>
      <c r="O31" s="167"/>
    </row>
    <row r="32" spans="1:15">
      <c r="A32" s="112" cm="1">
        <f t="array" ref="A32">IFERROR(SMALL(IF(البيانات!$AS$2:$AS$265="مستشفى صبيا العام",البيانات!$AT$2:$AT$265),30),"")</f>
        <v>145</v>
      </c>
      <c r="B32" s="112" t="str" cm="1">
        <f t="array" ref="B32">IF(A32="","",INDEX(البيانات!$V$2:$V$265,A32))</f>
        <v>1090542885</v>
      </c>
      <c r="C32" s="112" t="str" cm="1">
        <f t="array" ref="C32">IF(A32="","",INDEX(البيانات!$U$2:$U$265,A32))</f>
        <v>NIMAH HASSAN YAHYA SUHLULI</v>
      </c>
      <c r="D32" s="112" t="str" cm="1">
        <f t="array" ref="D32">IF(A32="","",INDEX(البيانات!$T$2:$T$265,A32))</f>
        <v>30</v>
      </c>
      <c r="E32" s="112" t="str" cm="1">
        <f t="array" ref="E32">IF(A32="","",INDEX(البيانات!$F$2:$F$265,A32))</f>
        <v>Western Sectorالقطاع الغربي</v>
      </c>
      <c r="F32" s="112" t="str" cm="1">
        <f t="array" ref="F32">IF(A32="","",INDEX(البيانات!$Y$2:$Y$265,A32))</f>
        <v>509189445</v>
      </c>
      <c r="G32" s="280"/>
      <c r="H32" s="280"/>
      <c r="I32" s="181" cm="1">
        <f t="array" ref="I32">IF(A32="","",INDEX(البيانات!$P$2:$P$265,A32))</f>
        <v>46121</v>
      </c>
      <c r="J32" s="282" cm="1">
        <f t="array" ref="J32">IF(A32="","",INDEX(البيانات!$AI$2:$AI$265,A32))</f>
        <v>46128</v>
      </c>
      <c r="K32" s="109" t="str">
        <f>IF(OR(A32="",J32="",I32=""),"",IF(NETWORKDAYS.INTL(I32,J32,"0000011")-1&lt;=2,"✅ ملتزم","❌ غير ملتزم"))</f>
        <v>❌ غير ملتزم</v>
      </c>
      <c r="L32" s="284" t="str" cm="1">
        <f t="array" ref="L32">IF(A32="","",INDEX(البيانات!$AJ$2:$AJ$265,A32))</f>
        <v xml:space="preserve">لم تحضر </v>
      </c>
      <c r="M32" s="286"/>
      <c r="N32" s="288"/>
      <c r="O32" s="167"/>
    </row>
    <row r="33" spans="1:15">
      <c r="A33" s="182" cm="1">
        <f t="array" ref="A33">IFERROR(SMALL(IF(البيانات!$AS$2:$AS$265="مستشفى صبيا العام",البيانات!$AT$2:$AT$265),31),"")</f>
        <v>157</v>
      </c>
      <c r="B33" s="182" t="str" cm="1">
        <f t="array" ref="B33">IF(A33="","",INDEX(البيانات!$V$2:$V$265,A33))</f>
        <v>1100722410</v>
      </c>
      <c r="C33" s="182" t="str" cm="1">
        <f t="array" ref="C33">IF(A33="","",INDEX(البيانات!$U$2:$U$265,A33))</f>
        <v>جميله سلمان جبران غزواني</v>
      </c>
      <c r="D33" s="182" t="str" cm="1">
        <f t="array" ref="D33">IF(A33="","",INDEX(البيانات!$T$2:$T$265,A33))</f>
        <v>28</v>
      </c>
      <c r="E33" s="182" t="str" cm="1">
        <f t="array" ref="E33">IF(A33="","",INDEX(البيانات!$F$2:$F$265,A33))</f>
        <v>aljabaly sectorالقطاع الجبلي</v>
      </c>
      <c r="F33" s="182" t="str" cm="1">
        <f t="array" ref="F33">IF(A33="","",INDEX(البيانات!$Y$2:$Y$265,A33))</f>
        <v>553742681</v>
      </c>
      <c r="G33" s="281"/>
      <c r="H33" s="281"/>
      <c r="I33" s="184" cm="1">
        <f t="array" ref="I33">IF(A33="","",INDEX(البيانات!$P$2:$P$265,A33))</f>
        <v>46126</v>
      </c>
      <c r="J33" s="283" cm="1">
        <f t="array" ref="J33">IF(A33="","",INDEX(البيانات!$AI$2:$AI$265,A33))</f>
        <v>46135</v>
      </c>
      <c r="K33" s="183" t="str">
        <f>IF(OR(A33="",J33="",I33=""),"",IF(NETWORKDAYS.INTL(I33,J33,"0000011")-1&lt;=2,"✅ ملتزم","❌ غير ملتزم"))</f>
        <v>❌ غير ملتزم</v>
      </c>
      <c r="L33" s="285" t="str" cm="1">
        <f t="array" ref="L33">IF(A33="","",INDEX(البيانات!$AJ$2:$AJ$265,A33))</f>
        <v>حضرت</v>
      </c>
      <c r="M33" s="286"/>
      <c r="N33" s="288"/>
      <c r="O33" s="167"/>
    </row>
    <row r="34" spans="1:15">
      <c r="A34" s="112" cm="1">
        <f t="array" ref="A34">IFERROR(SMALL(IF(البيانات!$AS$2:$AS$265="مستشفى صبيا العام",البيانات!$AT$2:$AT$265),32),"")</f>
        <v>189</v>
      </c>
      <c r="B34" s="112" t="str" cm="1">
        <f t="array" ref="B34">IF(A34="","",INDEX(البيانات!$V$2:$V$265,A34))</f>
        <v>1083517712</v>
      </c>
      <c r="C34" s="112" t="str" cm="1">
        <f t="array" ref="C34">IF(A34="","",INDEX(البيانات!$U$2:$U$265,A34))</f>
        <v>HUDA HADI OTHMAN HUFDI</v>
      </c>
      <c r="D34" s="112" cm="1">
        <f t="array" ref="D34">IF(A34="","",INDEX(البيانات!$T$2:$T$265,A34))</f>
        <v>32</v>
      </c>
      <c r="E34" s="112" t="str" cm="1">
        <f t="array" ref="E34">IF(A34="","",INDEX(البيانات!$F$2:$F$265,A34))</f>
        <v>Western Sectorالقطاع الغربي</v>
      </c>
      <c r="F34" s="112" t="str" cm="1">
        <f t="array" ref="F34">IF(A34="","",INDEX(البيانات!$Y$2:$Y$265,A34))</f>
        <v>0501588163</v>
      </c>
      <c r="G34" s="280"/>
      <c r="H34" s="280"/>
      <c r="I34" s="181" cm="1">
        <f t="array" ref="I34">IF(A34="","",INDEX(البيانات!$P$2:$P$265,A34))</f>
        <v>46133</v>
      </c>
      <c r="J34" s="282" cm="1">
        <f t="array" ref="J34">IF(A34="","",INDEX(البيانات!$AI$2:$AI$265,A34))</f>
        <v>46135</v>
      </c>
      <c r="K34" s="109" t="str">
        <f>IF(OR(A34="",J34="",I34=""),"",IF(NETWORKDAYS.INTL(I34,J34,"0000011")-1&lt;=2,"✅ ملتزم","❌ غير ملتزم"))</f>
        <v>✅ ملتزم</v>
      </c>
      <c r="L34" s="284" t="str" cm="1">
        <f t="array" ref="L34">IF(A34="","",INDEX(البيانات!$AJ$2:$AJ$265,A34))</f>
        <v>حضرت</v>
      </c>
      <c r="M34" s="286"/>
      <c r="N34" s="288"/>
      <c r="O34" s="167"/>
    </row>
    <row r="35" spans="1:15">
      <c r="A35" s="182" cm="1">
        <f t="array" ref="A35">IFERROR(SMALL(IF(البيانات!$AS$2:$AS$265="مستشفى صبيا العام",البيانات!$AT$2:$AT$265),33),"")</f>
        <v>202</v>
      </c>
      <c r="B35" s="182" t="str" cm="1">
        <f t="array" ref="B35">IF(A35="","",INDEX(البيانات!$V$2:$V$265,A35))</f>
        <v>1068047016</v>
      </c>
      <c r="C35" s="182" t="str" cm="1">
        <f t="array" ref="C35">IF(A35="","",INDEX(البيانات!$U$2:$U$265,A35))</f>
        <v>جمعة علي يحيى غزواني</v>
      </c>
      <c r="D35" s="182" cm="1">
        <f t="array" ref="D35">IF(A35="","",INDEX(البيانات!$T$2:$T$265,A35))</f>
        <v>41</v>
      </c>
      <c r="E35" s="182" t="str" cm="1">
        <f t="array" ref="E35">IF(A35="","",INDEX(البيانات!$F$2:$F$265,A35))</f>
        <v>aljabaly sectorالقطاع الجبلي</v>
      </c>
      <c r="F35" s="182" t="str" cm="1">
        <f t="array" ref="F35">IF(A35="","",INDEX(البيانات!$Y$2:$Y$265,A35))</f>
        <v>0532083704</v>
      </c>
      <c r="G35" s="281"/>
      <c r="H35" s="281"/>
      <c r="I35" s="184" cm="1">
        <f t="array" ref="I35">IF(A35="","",INDEX(البيانات!$P$2:$P$265,A35))</f>
        <v>46133</v>
      </c>
      <c r="J35" s="283" cm="1">
        <f t="array" ref="J35">IF(A35="","",INDEX(البيانات!$AI$2:$AI$265,A35))</f>
        <v>46135</v>
      </c>
      <c r="K35" s="183" t="str">
        <f>IF(OR(A35="",J35="",I35=""),"",IF(NETWORKDAYS.INTL(I35,J35,"0000011")-1&lt;=2,"✅ ملتزم","❌ غير ملتزم"))</f>
        <v>✅ ملتزم</v>
      </c>
      <c r="L35" s="285" t="str" cm="1">
        <f t="array" ref="L35">IF(A35="","",INDEX(البيانات!$AJ$2:$AJ$265,A35))</f>
        <v>حضرت</v>
      </c>
      <c r="M35" s="286"/>
      <c r="N35" s="288"/>
      <c r="O35" s="167"/>
    </row>
    <row r="36" spans="1:15">
      <c r="A36" s="112" cm="1">
        <f t="array" ref="A36">IFERROR(SMALL(IF(البيانات!$AS$2:$AS$265="مستشفى صبيا العام",البيانات!$AT$2:$AT$265),34),"")</f>
        <v>214</v>
      </c>
      <c r="B36" s="112" t="str" cm="1">
        <f t="array" ref="B36">IF(A36="","",INDEX(البيانات!$V$2:$V$265,A36))</f>
        <v>1125692911</v>
      </c>
      <c r="C36" s="112" t="str" cm="1">
        <f t="array" ref="C36">IF(A36="","",INDEX(البيانات!$U$2:$U$265,A36))</f>
        <v>SALMA ABDULLAH  HASSAN</v>
      </c>
      <c r="D36" s="112" cm="1">
        <f t="array" ref="D36">IF(A36="","",INDEX(البيانات!$T$2:$T$265,A36))</f>
        <v>21</v>
      </c>
      <c r="E36" s="112" t="str" cm="1">
        <f t="array" ref="E36">IF(A36="","",INDEX(البيانات!$F$2:$F$265,A36))</f>
        <v>Northern Sectorالقطاع الشمالي</v>
      </c>
      <c r="F36" s="112" t="str" cm="1">
        <f t="array" ref="F36">IF(A36="","",INDEX(البيانات!$Y$2:$Y$265,A36))</f>
        <v>0580214918</v>
      </c>
      <c r="G36" s="280"/>
      <c r="H36" s="280"/>
      <c r="I36" s="181" cm="1">
        <f t="array" ref="I36">IF(A36="","",INDEX(البيانات!$P$2:$P$265,A36))</f>
        <v>46140</v>
      </c>
      <c r="J36" s="282" cm="1">
        <f t="array" ref="J36">IF(A36="","",INDEX(البيانات!$AI$2:$AI$265,A36))</f>
        <v>46149</v>
      </c>
      <c r="K36" s="109" t="str">
        <f>IF(OR(A36="",J36="",I36=""),"",IF(NETWORKDAYS.INTL(I36,J36,"0000011")-1&lt;=2,"✅ ملتزم","❌ غير ملتزم"))</f>
        <v>❌ غير ملتزم</v>
      </c>
      <c r="L36" s="284" cm="1">
        <f t="array" ref="L36">IF(A36="","",INDEX(البيانات!$AJ$2:$AJ$265,A36))</f>
        <v>0</v>
      </c>
      <c r="M36" s="286"/>
      <c r="N36" s="288"/>
      <c r="O36" s="167"/>
    </row>
    <row r="37" spans="1:15">
      <c r="A37" s="182" cm="1">
        <f t="array" ref="A37">IFERROR(SMALL(IF(البيانات!$AS$2:$AS$265="مستشفى صبيا العام",البيانات!$AT$2:$AT$265),35),"")</f>
        <v>215</v>
      </c>
      <c r="B37" s="182" t="str" cm="1">
        <f t="array" ref="B37">IF(A37="","",INDEX(البيانات!$V$2:$V$265,A37))</f>
        <v>1063902868</v>
      </c>
      <c r="C37" s="182" t="str" cm="1">
        <f t="array" ref="C37">IF(A37="","",INDEX(البيانات!$U$2:$U$265,A37))</f>
        <v>مريم يحي محمد شاجري</v>
      </c>
      <c r="D37" s="182" cm="1">
        <f t="array" ref="D37">IF(A37="","",INDEX(البيانات!$T$2:$T$265,A37))</f>
        <v>39</v>
      </c>
      <c r="E37" s="182" t="str" cm="1">
        <f t="array" ref="E37">IF(A37="","",INDEX(البيانات!$F$2:$F$265,A37))</f>
        <v>Western Sectorالقطاع الغربي</v>
      </c>
      <c r="F37" s="182" t="str" cm="1">
        <f t="array" ref="F37">IF(A37="","",INDEX(البيانات!$Y$2:$Y$265,A37))</f>
        <v xml:space="preserve">0535245769 </v>
      </c>
      <c r="G37" s="281"/>
      <c r="H37" s="281"/>
      <c r="I37" s="184" cm="1">
        <f t="array" ref="I37">IF(A37="","",INDEX(البيانات!$P$2:$P$265,A37))</f>
        <v>46140</v>
      </c>
      <c r="J37" s="283" cm="1">
        <f t="array" ref="J37">IF(A37="","",INDEX(البيانات!$AI$2:$AI$265,A37))</f>
        <v>46142</v>
      </c>
      <c r="K37" s="183" t="str">
        <f>IF(OR(A37="",J37="",I37=""),"",IF(NETWORKDAYS.INTL(I37,J37,"0000011")-1&lt;=2,"✅ ملتزم","❌ غير ملتزم"))</f>
        <v>✅ ملتزم</v>
      </c>
      <c r="L37" s="285" t="str" cm="1">
        <f t="array" ref="L37">IF(A37="","",INDEX(البيانات!$AJ$2:$AJ$265,A37))</f>
        <v>حضرت</v>
      </c>
      <c r="M37" s="286"/>
      <c r="N37" s="288"/>
      <c r="O37" s="167"/>
    </row>
    <row r="38" spans="1:15">
      <c r="A38" s="112" cm="1">
        <f t="array" ref="A38">IFERROR(SMALL(IF(البيانات!$AS$2:$AS$265="مستشفى صبيا العام",البيانات!$AT$2:$AT$265),36),"")</f>
        <v>226</v>
      </c>
      <c r="B38" s="112" t="str" cm="1">
        <f t="array" ref="B38">IF(A38="","",INDEX(البيانات!$V$2:$V$265,A38))</f>
        <v>1084966348</v>
      </c>
      <c r="C38" s="112" t="str" cm="1">
        <f t="array" ref="C38">IF(A38="","",INDEX(البيانات!$U$2:$U$265,A38))</f>
        <v xml:space="preserve">نعمة احمد محمد هروبي </v>
      </c>
      <c r="D38" s="112" cm="1">
        <f t="array" ref="D38">IF(A38="","",INDEX(البيانات!$T$2:$T$265,A38))</f>
        <v>38</v>
      </c>
      <c r="E38" s="112" t="str" cm="1">
        <f t="array" ref="E38">IF(A38="","",INDEX(البيانات!$F$2:$F$265,A38))</f>
        <v>Central Sectorالقطاع المركزي</v>
      </c>
      <c r="F38" s="112" t="str" cm="1">
        <f t="array" ref="F38">IF(A38="","",INDEX(البيانات!$Y$2:$Y$265,A38))</f>
        <v>0556387628</v>
      </c>
      <c r="G38" s="280"/>
      <c r="H38" s="280"/>
      <c r="I38" s="181" cm="1">
        <f t="array" ref="I38">IF(A38="","",INDEX(البيانات!$P$2:$P$265,A38))</f>
        <v>46141</v>
      </c>
      <c r="J38" s="282" cm="1">
        <f t="array" ref="J38">IF(A38="","",INDEX(البيانات!$AI$2:$AI$265,A38))</f>
        <v>46146</v>
      </c>
      <c r="K38" s="109" t="str">
        <f>IF(OR(A38="",J38="",I38=""),"",IF(NETWORKDAYS.INTL(I38,J38,"0000011")-1&lt;=2,"✅ ملتزم","❌ غير ملتزم"))</f>
        <v>❌ غير ملتزم</v>
      </c>
      <c r="L38" s="284" t="str" cm="1">
        <f t="array" ref="L38">IF(A38="","",INDEX(البيانات!$AJ$2:$AJ$265,A38))</f>
        <v>حضرت</v>
      </c>
      <c r="M38" s="286"/>
      <c r="N38" s="288"/>
      <c r="O38" s="167"/>
    </row>
    <row r="39" spans="1:15">
      <c r="A39" s="182" cm="1">
        <f t="array" ref="A39">IFERROR(SMALL(IF(البيانات!$AS$2:$AS$265="مستشفى صبيا العام",البيانات!$AT$2:$AT$265),37),"")</f>
        <v>232</v>
      </c>
      <c r="B39" s="182" t="str" cm="1">
        <f t="array" ref="B39">IF(A39="","",INDEX(البيانات!$V$2:$V$265,A39))</f>
        <v>1072361312</v>
      </c>
      <c r="C39" s="182" t="str" cm="1">
        <f t="array" ref="C39">IF(A39="","",INDEX(البيانات!$U$2:$U$265,A39))</f>
        <v>ربوعة يزيد حسن دوران</v>
      </c>
      <c r="D39" s="182" cm="1">
        <f t="array" ref="D39">IF(A39="","",INDEX(البيانات!$T$2:$T$265,A39))</f>
        <v>40</v>
      </c>
      <c r="E39" s="182" t="str" cm="1">
        <f t="array" ref="E39">IF(A39="","",INDEX(البيانات!$F$2:$F$265,A39))</f>
        <v>aljabaly sectorالقطاع الجبلي</v>
      </c>
      <c r="F39" s="182" t="str" cm="1">
        <f t="array" ref="F39">IF(A39="","",INDEX(البيانات!$Y$2:$Y$265,A39))</f>
        <v>0500742581</v>
      </c>
      <c r="G39" s="281"/>
      <c r="H39" s="281"/>
      <c r="I39" s="184" cm="1">
        <f t="array" ref="I39">IF(A39="","",INDEX(البيانات!$P$2:$P$265,A39))</f>
        <v>46145</v>
      </c>
      <c r="J39" s="283" cm="1">
        <f t="array" ref="J39">IF(A39="","",INDEX(البيانات!$AI$2:$AI$265,A39))</f>
        <v>46149</v>
      </c>
      <c r="K39" s="183" t="str">
        <f>IF(OR(A39="",J39="",I39=""),"",IF(NETWORKDAYS.INTL(I39,J39,"0000011")-1&lt;=2,"✅ ملتزم","❌ غير ملتزم"))</f>
        <v>❌ غير ملتزم</v>
      </c>
      <c r="L39" s="285" cm="1">
        <f t="array" ref="L39">IF(A39="","",INDEX(البيانات!$AJ$2:$AJ$265,A39))</f>
        <v>0</v>
      </c>
      <c r="M39" s="286"/>
      <c r="N39" s="288"/>
      <c r="O39" s="167"/>
    </row>
    <row r="40" spans="1:15">
      <c r="A40" s="112" cm="1">
        <f t="array" ref="A40">IFERROR(SMALL(IF(البيانات!$AS$2:$AS$265="مستشفى صبيا العام",البيانات!$AT$2:$AT$265),38),"")</f>
        <v>240</v>
      </c>
      <c r="B40" s="112" t="str" cm="1">
        <f t="array" ref="B40">IF(A40="","",INDEX(البيانات!$V$2:$V$265,A40))</f>
        <v>1060023981</v>
      </c>
      <c r="C40" s="112" t="str" cm="1">
        <f t="array" ref="C40">IF(A40="","",INDEX(البيانات!$U$2:$U$265,A40))</f>
        <v xml:space="preserve">MITIBA  FAYE MOHAMMED </v>
      </c>
      <c r="D40" s="112" cm="1">
        <f t="array" ref="D40">IF(A40="","",INDEX(البيانات!$T$2:$T$265,A40))</f>
        <v>39</v>
      </c>
      <c r="E40" s="112" t="str" cm="1">
        <f t="array" ref="E40">IF(A40="","",INDEX(البيانات!$F$2:$F$265,A40))</f>
        <v>Northern Sectorالقطاع الشمالي</v>
      </c>
      <c r="F40" s="112" t="str" cm="1">
        <f t="array" ref="F40">IF(A40="","",INDEX(البيانات!$Y$2:$Y$265,A40))</f>
        <v>0583198415</v>
      </c>
      <c r="G40" s="280"/>
      <c r="H40" s="280"/>
      <c r="I40" s="181" cm="1">
        <f t="array" ref="I40">IF(A40="","",INDEX(البيانات!$P$2:$P$265,A40))</f>
        <v>46146</v>
      </c>
      <c r="J40" s="282" cm="1">
        <f t="array" ref="J40">IF(A40="","",INDEX(البيانات!$AI$2:$AI$265,A40))</f>
        <v>46149</v>
      </c>
      <c r="K40" s="109" t="str">
        <f>IF(OR(A40="",J40="",I40=""),"",IF(NETWORKDAYS.INTL(I40,J40,"0000011")-1&lt;=2,"✅ ملتزم","❌ غير ملتزم"))</f>
        <v>❌ غير ملتزم</v>
      </c>
      <c r="L40" s="284" cm="1">
        <f t="array" ref="L40">IF(A40="","",INDEX(البيانات!$AJ$2:$AJ$265,A40))</f>
        <v>0</v>
      </c>
      <c r="M40" s="286"/>
      <c r="N40" s="289"/>
      <c r="O40" s="167"/>
    </row>
    <row r="41" spans="1:15">
      <c r="A41" s="167"/>
      <c r="B41" s="167"/>
      <c r="C41" s="167"/>
      <c r="D41" s="167"/>
      <c r="E41" s="167"/>
      <c r="F41" s="167"/>
      <c r="I41" s="167"/>
      <c r="K41" s="167"/>
      <c r="O41" s="167"/>
    </row>
    <row r="42" spans="1:15">
      <c r="A42" s="167"/>
      <c r="B42" s="167"/>
      <c r="C42" s="167"/>
      <c r="D42" s="167"/>
      <c r="E42" s="167"/>
      <c r="F42" s="167"/>
      <c r="I42" s="167"/>
      <c r="K42" s="167"/>
      <c r="O42" s="167"/>
    </row>
    <row r="43" spans="1:15">
      <c r="A43" s="167"/>
      <c r="B43" s="167"/>
      <c r="C43" s="167"/>
      <c r="D43" s="167"/>
      <c r="E43" s="167"/>
      <c r="F43" s="167"/>
      <c r="I43" s="167"/>
      <c r="K43" s="167"/>
      <c r="O43" s="167"/>
    </row>
    <row r="44" spans="1:15">
      <c r="A44" s="167"/>
      <c r="B44" s="167"/>
      <c r="C44" s="167"/>
      <c r="D44" s="167"/>
      <c r="E44" s="167"/>
      <c r="F44" s="167"/>
      <c r="I44" s="167"/>
      <c r="K44" s="167"/>
      <c r="O44" s="167"/>
    </row>
    <row r="45" spans="1:15">
      <c r="A45" s="167"/>
      <c r="B45" s="167"/>
      <c r="C45" s="167"/>
      <c r="D45" s="167"/>
      <c r="E45" s="167"/>
      <c r="F45" s="167"/>
      <c r="I45" s="167"/>
      <c r="K45" s="167"/>
      <c r="O45" s="167"/>
    </row>
    <row r="46" spans="1:15">
      <c r="A46" s="167"/>
      <c r="B46" s="167"/>
      <c r="C46" s="167"/>
      <c r="D46" s="167"/>
      <c r="E46" s="167"/>
      <c r="F46" s="167"/>
      <c r="I46" s="167"/>
      <c r="K46" s="167"/>
      <c r="O46" s="167"/>
    </row>
    <row r="47" spans="1:15">
      <c r="A47" s="167"/>
      <c r="B47" s="167"/>
      <c r="C47" s="167"/>
      <c r="D47" s="167"/>
      <c r="E47" s="167"/>
      <c r="F47" s="167"/>
      <c r="I47" s="167"/>
      <c r="K47" s="167"/>
      <c r="O47" s="167"/>
    </row>
    <row r="48" spans="1:15">
      <c r="A48" s="167"/>
      <c r="B48" s="167"/>
      <c r="C48" s="167"/>
      <c r="D48" s="167"/>
      <c r="E48" s="167"/>
      <c r="F48" s="167"/>
      <c r="I48" s="167"/>
      <c r="K48" s="167"/>
      <c r="O48" s="167"/>
    </row>
    <row r="49" spans="1:11">
      <c r="A49" s="167"/>
      <c r="B49" s="167"/>
      <c r="C49" s="167"/>
      <c r="D49" s="167"/>
      <c r="E49" s="167"/>
      <c r="F49" s="167"/>
      <c r="I49" s="167"/>
      <c r="K49" s="167"/>
    </row>
    <row r="50" spans="1:11">
      <c r="A50" s="167"/>
      <c r="B50" s="167"/>
      <c r="C50" s="167"/>
      <c r="D50" s="167"/>
      <c r="E50" s="167"/>
      <c r="F50" s="167"/>
      <c r="I50" s="167"/>
      <c r="K50" s="167"/>
    </row>
    <row r="51" spans="1:11">
      <c r="A51" s="167"/>
      <c r="B51" s="167"/>
      <c r="C51" s="167"/>
      <c r="D51" s="167"/>
      <c r="E51" s="167"/>
      <c r="F51" s="167"/>
      <c r="I51" s="167"/>
      <c r="K51" s="167"/>
    </row>
    <row r="52" spans="1:11">
      <c r="A52" s="167"/>
      <c r="B52" s="167"/>
      <c r="C52" s="167"/>
      <c r="D52" s="167"/>
      <c r="E52" s="167"/>
      <c r="F52" s="167"/>
      <c r="I52" s="167"/>
      <c r="K52" s="167"/>
    </row>
    <row r="53" spans="1:11">
      <c r="A53" s="167"/>
      <c r="B53" s="167"/>
      <c r="C53" s="167"/>
      <c r="D53" s="167"/>
      <c r="E53" s="167"/>
      <c r="F53" s="167"/>
      <c r="I53" s="167"/>
      <c r="K53" s="167"/>
    </row>
    <row r="54" spans="1:11">
      <c r="A54" s="167"/>
      <c r="B54" s="167"/>
      <c r="C54" s="167"/>
      <c r="D54" s="167"/>
      <c r="E54" s="167"/>
      <c r="F54" s="167"/>
      <c r="I54" s="167"/>
      <c r="K54" s="167"/>
    </row>
    <row r="55" spans="1:11">
      <c r="A55" s="167"/>
      <c r="B55" s="167"/>
      <c r="C55" s="167"/>
      <c r="D55" s="167"/>
      <c r="E55" s="167"/>
      <c r="F55" s="167"/>
      <c r="I55" s="167"/>
      <c r="K55" s="167"/>
    </row>
    <row r="56" spans="1:11">
      <c r="A56" s="167"/>
      <c r="B56" s="167"/>
      <c r="C56" s="167"/>
      <c r="D56" s="167"/>
      <c r="E56" s="167"/>
      <c r="F56" s="167"/>
      <c r="I56" s="167"/>
      <c r="K56" s="167"/>
    </row>
    <row r="57" spans="1:11">
      <c r="A57" s="167"/>
      <c r="B57" s="167"/>
      <c r="C57" s="167"/>
      <c r="D57" s="167"/>
      <c r="E57" s="167"/>
      <c r="F57" s="167"/>
      <c r="I57" s="167"/>
      <c r="K57" s="167"/>
    </row>
    <row r="58" spans="1:11">
      <c r="A58" s="167"/>
      <c r="B58" s="167"/>
      <c r="C58" s="167"/>
      <c r="D58" s="167"/>
      <c r="E58" s="167"/>
      <c r="F58" s="167"/>
      <c r="I58" s="167"/>
      <c r="K58" s="167"/>
    </row>
    <row r="59" spans="1:11">
      <c r="A59" s="167"/>
      <c r="B59" s="167"/>
      <c r="C59" s="167"/>
      <c r="D59" s="167"/>
      <c r="E59" s="167"/>
      <c r="F59" s="167"/>
      <c r="I59" s="167"/>
      <c r="K59" s="167"/>
    </row>
    <row r="60" spans="1:11">
      <c r="A60" s="167"/>
      <c r="B60" s="167"/>
      <c r="C60" s="167"/>
      <c r="D60" s="167"/>
      <c r="E60" s="167"/>
      <c r="F60" s="167"/>
      <c r="I60" s="167"/>
      <c r="K60" s="167"/>
    </row>
    <row r="61" spans="1:11">
      <c r="A61" s="167"/>
      <c r="B61" s="167"/>
      <c r="C61" s="167"/>
      <c r="D61" s="167"/>
      <c r="E61" s="167"/>
      <c r="F61" s="167"/>
      <c r="I61" s="167"/>
      <c r="K61" s="167"/>
    </row>
    <row r="62" spans="1:11">
      <c r="A62" s="167"/>
      <c r="B62" s="167"/>
      <c r="C62" s="167"/>
      <c r="D62" s="167"/>
      <c r="E62" s="167"/>
      <c r="F62" s="167"/>
      <c r="I62" s="167"/>
      <c r="K62" s="167"/>
    </row>
    <row r="63" spans="1:11">
      <c r="A63" s="167"/>
      <c r="B63" s="167"/>
      <c r="C63" s="167"/>
      <c r="D63" s="167"/>
      <c r="E63" s="167"/>
      <c r="F63" s="167"/>
      <c r="I63" s="167"/>
      <c r="K63" s="167"/>
    </row>
    <row r="64" spans="1:11">
      <c r="A64" s="167"/>
      <c r="B64" s="167"/>
      <c r="C64" s="167"/>
      <c r="D64" s="167"/>
      <c r="E64" s="167"/>
      <c r="F64" s="167"/>
      <c r="I64" s="167"/>
      <c r="K64" s="167"/>
    </row>
    <row r="65" spans="1:11">
      <c r="A65" s="167"/>
      <c r="B65" s="167"/>
      <c r="C65" s="167"/>
      <c r="D65" s="167"/>
      <c r="E65" s="167"/>
      <c r="F65" s="167"/>
      <c r="I65" s="167"/>
      <c r="K65" s="167"/>
    </row>
    <row r="66" spans="1:11">
      <c r="A66" s="167"/>
      <c r="B66" s="167"/>
      <c r="C66" s="167"/>
      <c r="D66" s="167"/>
      <c r="E66" s="167"/>
      <c r="F66" s="167"/>
      <c r="I66" s="167"/>
      <c r="K66" s="167"/>
    </row>
    <row r="67" spans="1:11">
      <c r="A67" s="167"/>
      <c r="B67" s="167"/>
      <c r="C67" s="167"/>
      <c r="D67" s="167"/>
      <c r="E67" s="167"/>
      <c r="F67" s="167"/>
      <c r="I67" s="167"/>
      <c r="K67" s="167"/>
    </row>
    <row r="68" spans="1:11">
      <c r="A68" s="167"/>
      <c r="B68" s="167"/>
      <c r="C68" s="167"/>
      <c r="D68" s="167"/>
      <c r="E68" s="167"/>
      <c r="F68" s="167"/>
      <c r="I68" s="167"/>
      <c r="K68" s="167"/>
    </row>
    <row r="69" spans="1:11">
      <c r="A69" s="167"/>
      <c r="B69" s="167"/>
      <c r="C69" s="167"/>
      <c r="D69" s="167"/>
      <c r="E69" s="167"/>
      <c r="F69" s="167"/>
      <c r="I69" s="167"/>
      <c r="K69" s="167"/>
    </row>
    <row r="70" spans="1:11">
      <c r="A70" s="167"/>
      <c r="B70" s="167"/>
      <c r="C70" s="167"/>
      <c r="D70" s="167"/>
      <c r="E70" s="167"/>
      <c r="F70" s="167"/>
      <c r="I70" s="167"/>
      <c r="K70" s="167"/>
    </row>
    <row r="71" spans="1:11">
      <c r="A71" s="167"/>
      <c r="B71" s="167"/>
      <c r="C71" s="167"/>
      <c r="D71" s="167"/>
      <c r="E71" s="167"/>
      <c r="F71" s="167"/>
      <c r="I71" s="167"/>
      <c r="K71" s="167"/>
    </row>
    <row r="72" spans="1:11">
      <c r="A72" s="167"/>
      <c r="B72" s="167"/>
      <c r="C72" s="167"/>
      <c r="D72" s="167"/>
      <c r="E72" s="167"/>
      <c r="F72" s="167"/>
      <c r="I72" s="167"/>
      <c r="K72" s="167"/>
    </row>
    <row r="73" spans="1:11">
      <c r="A73" s="167"/>
      <c r="B73" s="167"/>
      <c r="C73" s="167"/>
      <c r="D73" s="167"/>
      <c r="E73" s="167"/>
      <c r="F73" s="167"/>
      <c r="I73" s="167"/>
      <c r="K73" s="167"/>
    </row>
    <row r="74" spans="1:11">
      <c r="A74" s="167"/>
      <c r="B74" s="167"/>
      <c r="C74" s="167"/>
      <c r="D74" s="167"/>
      <c r="E74" s="167"/>
      <c r="F74" s="167"/>
      <c r="I74" s="167"/>
      <c r="K74" s="167"/>
    </row>
    <row r="75" spans="1:11">
      <c r="A75" s="167"/>
      <c r="B75" s="167"/>
      <c r="C75" s="167"/>
      <c r="D75" s="167"/>
      <c r="E75" s="167"/>
      <c r="F75" s="167"/>
      <c r="I75" s="167"/>
      <c r="K75" s="167"/>
    </row>
    <row r="76" spans="1:11">
      <c r="A76" s="167"/>
      <c r="B76" s="167"/>
      <c r="C76" s="167"/>
      <c r="D76" s="167"/>
      <c r="E76" s="167"/>
      <c r="F76" s="167"/>
      <c r="I76" s="167"/>
      <c r="K76" s="167"/>
    </row>
    <row r="77" spans="1:11">
      <c r="A77" s="167"/>
      <c r="B77" s="167"/>
      <c r="C77" s="167"/>
      <c r="D77" s="167"/>
      <c r="E77" s="167"/>
      <c r="F77" s="167"/>
      <c r="I77" s="167"/>
      <c r="K77" s="167"/>
    </row>
    <row r="78" spans="1:11">
      <c r="A78" s="167"/>
      <c r="B78" s="167"/>
      <c r="C78" s="167"/>
      <c r="D78" s="167"/>
      <c r="E78" s="167"/>
      <c r="F78" s="167"/>
      <c r="I78" s="167"/>
      <c r="K78" s="167"/>
    </row>
    <row r="79" spans="1:11">
      <c r="A79" s="167"/>
      <c r="B79" s="167"/>
      <c r="C79" s="167"/>
      <c r="D79" s="167"/>
      <c r="E79" s="167"/>
      <c r="F79" s="167"/>
      <c r="I79" s="167"/>
      <c r="K79" s="167"/>
    </row>
    <row r="80" spans="1:11">
      <c r="A80" s="167"/>
      <c r="B80" s="167"/>
      <c r="C80" s="167"/>
      <c r="D80" s="167"/>
      <c r="E80" s="167"/>
      <c r="F80" s="167"/>
      <c r="I80" s="167"/>
      <c r="K80" s="167"/>
    </row>
    <row r="81" spans="1:11">
      <c r="A81" s="167"/>
      <c r="B81" s="167"/>
      <c r="C81" s="167"/>
      <c r="D81" s="167"/>
      <c r="E81" s="167"/>
      <c r="F81" s="167"/>
      <c r="I81" s="167"/>
      <c r="K81" s="167"/>
    </row>
    <row r="82" spans="1:11">
      <c r="A82" s="167"/>
      <c r="B82" s="167"/>
      <c r="C82" s="167"/>
      <c r="D82" s="167"/>
      <c r="E82" s="167"/>
      <c r="F82" s="167"/>
      <c r="I82" s="167"/>
      <c r="K82" s="167"/>
    </row>
    <row r="83" spans="1:11">
      <c r="A83" s="167"/>
      <c r="B83" s="167"/>
      <c r="C83" s="167"/>
      <c r="D83" s="167"/>
      <c r="E83" s="167"/>
      <c r="F83" s="167"/>
      <c r="I83" s="167"/>
      <c r="K83" s="167"/>
    </row>
    <row r="84" spans="1:11">
      <c r="A84" s="167"/>
      <c r="B84" s="167"/>
      <c r="C84" s="167"/>
      <c r="D84" s="167"/>
      <c r="E84" s="167"/>
      <c r="F84" s="167"/>
      <c r="I84" s="167"/>
      <c r="K84" s="167"/>
    </row>
    <row r="85" spans="1:11">
      <c r="A85" s="167"/>
      <c r="B85" s="167"/>
      <c r="C85" s="167"/>
      <c r="D85" s="167"/>
      <c r="E85" s="167"/>
      <c r="F85" s="167"/>
      <c r="I85" s="167"/>
      <c r="K85" s="167"/>
    </row>
    <row r="86" spans="1:11">
      <c r="A86" s="167"/>
      <c r="B86" s="167"/>
      <c r="C86" s="167"/>
      <c r="D86" s="167"/>
      <c r="E86" s="167"/>
      <c r="F86" s="167"/>
      <c r="I86" s="167"/>
      <c r="K86" s="167"/>
    </row>
    <row r="87" spans="1:11">
      <c r="A87" s="167"/>
      <c r="B87" s="167"/>
      <c r="C87" s="167"/>
      <c r="D87" s="167"/>
      <c r="E87" s="167"/>
      <c r="F87" s="167"/>
      <c r="I87" s="167"/>
      <c r="K87" s="167"/>
    </row>
    <row r="88" spans="1:11">
      <c r="A88" s="167"/>
      <c r="B88" s="167"/>
      <c r="C88" s="167"/>
      <c r="D88" s="167"/>
      <c r="E88" s="167"/>
      <c r="F88" s="167"/>
      <c r="I88" s="167"/>
      <c r="K88" s="167"/>
    </row>
    <row r="89" spans="1:11">
      <c r="A89" s="167"/>
      <c r="B89" s="167"/>
      <c r="C89" s="167"/>
      <c r="D89" s="167"/>
      <c r="E89" s="167"/>
      <c r="F89" s="167"/>
      <c r="I89" s="167"/>
      <c r="K89" s="167"/>
    </row>
    <row r="90" spans="1:11">
      <c r="A90" s="167"/>
      <c r="B90" s="167"/>
      <c r="C90" s="167"/>
      <c r="D90" s="167"/>
      <c r="E90" s="167"/>
      <c r="F90" s="167"/>
      <c r="I90" s="167"/>
      <c r="K90" s="167"/>
    </row>
    <row r="91" spans="1:11">
      <c r="A91" s="167"/>
      <c r="B91" s="167"/>
      <c r="C91" s="167"/>
      <c r="D91" s="167"/>
      <c r="E91" s="167"/>
      <c r="F91" s="167"/>
      <c r="I91" s="167"/>
      <c r="K91" s="167"/>
    </row>
    <row r="92" spans="1:11">
      <c r="A92" s="167"/>
      <c r="B92" s="167"/>
      <c r="C92" s="167"/>
      <c r="D92" s="167"/>
      <c r="E92" s="167"/>
      <c r="F92" s="167"/>
      <c r="I92" s="167"/>
      <c r="K92" s="167"/>
    </row>
    <row r="93" spans="1:11">
      <c r="A93" s="167"/>
      <c r="B93" s="167"/>
      <c r="C93" s="167"/>
      <c r="D93" s="167"/>
      <c r="E93" s="167"/>
      <c r="F93" s="167"/>
      <c r="I93" s="167"/>
      <c r="K93" s="167"/>
    </row>
    <row r="94" spans="1:11">
      <c r="A94" s="167"/>
      <c r="B94" s="167"/>
      <c r="C94" s="167"/>
      <c r="D94" s="167"/>
      <c r="E94" s="167"/>
      <c r="F94" s="167"/>
      <c r="I94" s="167"/>
      <c r="K94" s="167"/>
    </row>
    <row r="95" spans="1:11">
      <c r="A95" s="167"/>
      <c r="B95" s="167"/>
      <c r="C95" s="167"/>
      <c r="D95" s="167"/>
      <c r="E95" s="167"/>
      <c r="F95" s="167"/>
      <c r="I95" s="167"/>
      <c r="K95" s="167"/>
    </row>
    <row r="96" spans="1:11">
      <c r="A96" s="167"/>
      <c r="B96" s="167"/>
      <c r="C96" s="167"/>
      <c r="D96" s="167"/>
      <c r="E96" s="167"/>
      <c r="F96" s="167"/>
      <c r="I96" s="167"/>
      <c r="K96" s="167"/>
    </row>
    <row r="97" spans="1:11">
      <c r="A97" s="167"/>
      <c r="B97" s="167"/>
      <c r="C97" s="167"/>
      <c r="D97" s="167"/>
      <c r="E97" s="167"/>
      <c r="F97" s="167"/>
      <c r="I97" s="167"/>
      <c r="K97" s="167"/>
    </row>
    <row r="98" spans="1:11">
      <c r="A98" s="167"/>
      <c r="B98" s="167"/>
      <c r="C98" s="167"/>
      <c r="D98" s="167"/>
      <c r="E98" s="167"/>
      <c r="F98" s="167"/>
      <c r="I98" s="167"/>
      <c r="K98" s="167"/>
    </row>
    <row r="99" spans="1:11">
      <c r="A99" s="167"/>
      <c r="B99" s="167"/>
      <c r="C99" s="167"/>
      <c r="D99" s="167"/>
      <c r="E99" s="167"/>
      <c r="F99" s="167"/>
      <c r="I99" s="167"/>
      <c r="K99" s="167"/>
    </row>
    <row r="100" spans="1:11">
      <c r="A100" s="167"/>
      <c r="B100" s="167"/>
      <c r="C100" s="167"/>
      <c r="D100" s="167"/>
      <c r="E100" s="167"/>
      <c r="F100" s="167"/>
      <c r="I100" s="167"/>
      <c r="K100" s="167"/>
    </row>
  </sheetData>
  <mergeCells count="1">
    <mergeCell ref="A1:H1"/>
  </mergeCells>
  <conditionalFormatting sqref="K4:K40">
    <cfRule type="containsText" dxfId="86" priority="11" operator="containsText" text="ملتزم">
      <formula>NOT(ISERROR(SEARCH("ملتزم",K4)))</formula>
    </cfRule>
    <cfRule type="containsText" dxfId="85" priority="12" operator="containsText" text="غير ملتزم">
      <formula>NOT(ISERROR(SEARCH("غير ملتزم",K4)))</formula>
    </cfRule>
  </conditionalFormatting>
  <conditionalFormatting sqref="M4:M40">
    <cfRule type="containsText" dxfId="84" priority="13" operator="containsText" text="منخفض">
      <formula>NOT(ISERROR(SEARCH("منخفض",M4)))</formula>
    </cfRule>
    <cfRule type="containsText" dxfId="83" priority="14" operator="containsText" text="متابعة">
      <formula>NOT(ISERROR(SEARCH("متابعة",M4)))</formula>
    </cfRule>
    <cfRule type="containsText" dxfId="82" priority="15" operator="containsText" text="KFCH">
      <formula>NOT(ISERROR(SEARCH("KFCH",M4)))</formula>
    </cfRule>
  </conditionalFormatting>
  <dataValidations count="2">
    <dataValidation type="list" allowBlank="1" showInputMessage="1" showErrorMessage="1" sqref="M4:M40" xr:uid="{83C64675-12D8-49F0-BE89-D1675F0CD36C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40" xr:uid="{1520F7BB-6F51-455D-951A-010DFF027818}">
      <formula1>"نعم,لا"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9553-23F4-4691-AE66-CF1FE4EA4B4C}">
  <sheetPr>
    <tabColor rgb="FF3F51B5"/>
  </sheetPr>
  <dimension ref="A1:O153"/>
  <sheetViews>
    <sheetView rightToLeft="1" topLeftCell="L1" workbookViewId="0">
      <selection activeCell="M27" sqref="M27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8.375" customWidth="1"/>
    <col min="5" max="5" width="25" customWidth="1"/>
    <col min="6" max="6" width="16.625" customWidth="1"/>
    <col min="7" max="7" width="16.625" style="241" customWidth="1"/>
    <col min="8" max="8" width="20" style="241" customWidth="1"/>
    <col min="9" max="9" width="10.375" bestFit="1" customWidth="1"/>
    <col min="10" max="10" width="10.375" style="241" bestFit="1" customWidth="1"/>
    <col min="12" max="12" width="39" style="241" customWidth="1"/>
    <col min="13" max="13" width="21" style="241" customWidth="1"/>
    <col min="14" max="14" width="9" style="241"/>
  </cols>
  <sheetData>
    <row r="1" spans="1:15" ht="20.25">
      <c r="A1" s="343" t="s">
        <v>572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>
      <c r="A2" s="167" t="s">
        <v>571</v>
      </c>
      <c r="B2" s="28">
        <f>COUNTIF(البيانات!$AS:$AS,"*جازان*")</f>
        <v>148</v>
      </c>
      <c r="C2" s="167"/>
      <c r="D2" s="167"/>
      <c r="E2" s="167"/>
      <c r="F2" s="167"/>
      <c r="I2" s="167"/>
      <c r="K2" s="167"/>
      <c r="O2" s="167"/>
    </row>
    <row r="3" spans="1: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>
      <c r="A4" s="112" cm="1">
        <f t="array" ref="A4">IFERROR(SMALL(IF(البيانات!$AS$2:$AS$265="مستشفى جازان العام",البيانات!$AT$2:$AT$265),1),"")</f>
        <v>1</v>
      </c>
      <c r="B4" s="112" t="str" cm="1">
        <f t="array" ref="B4">IF(A4="","",INDEX(البيانات!$V$2:$V$265,A4))</f>
        <v>1115947606</v>
      </c>
      <c r="C4" s="112" t="str" cm="1">
        <f t="array" ref="C4">IF(A4="","",INDEX(البيانات!$U$2:$U$265,A4))</f>
        <v>جنان حسين محمد حكمي</v>
      </c>
      <c r="D4" s="112" cm="1">
        <f t="array" ref="D4">IF(A4="","",INDEX(البيانات!$T$2:$T$265,A4))</f>
        <v>24</v>
      </c>
      <c r="E4" s="112" t="str" cm="1">
        <f t="array" ref="E4">IF(A4="","",INDEX(البيانات!$F$2:$F$265,A4))</f>
        <v>القطاع المركزي</v>
      </c>
      <c r="F4" s="112" cm="1">
        <f t="array" ref="F4">IF(A4="","",INDEX(البيانات!$Y$2:$Y$265,A4))</f>
        <v>556898292</v>
      </c>
      <c r="G4" s="280"/>
      <c r="H4" s="280"/>
      <c r="I4" s="181" cm="1">
        <f t="array" ref="I4">IF(A4="","",INDEX(البيانات!$P$2:$P$265,A4))</f>
        <v>46077</v>
      </c>
      <c r="J4" s="282" t="str" cm="1">
        <f t="array" ref="J4">IF(A4="","",INDEX(البيانات!$AI$2:$AI$265,A4))</f>
        <v>5/3/2026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تم الحظور</v>
      </c>
      <c r="M4" s="286"/>
      <c r="N4" s="288"/>
      <c r="O4" s="167"/>
    </row>
    <row r="5" spans="1:15">
      <c r="A5" s="182" cm="1">
        <f t="array" ref="A5">IFERROR(SMALL(IF(البيانات!$AS$2:$AS$265="مستشفى جازان العام",البيانات!$AT$2:$AT$265),2),"")</f>
        <v>2</v>
      </c>
      <c r="B5" s="182" t="str" cm="1">
        <f t="array" ref="B5">IF(A5="","",INDEX(البيانات!$V$2:$V$265,A5))</f>
        <v>1096345200</v>
      </c>
      <c r="C5" s="182" t="str" cm="1">
        <f t="array" ref="C5">IF(A5="","",INDEX(البيانات!$U$2:$U$265,A5))</f>
        <v>ابتسام احمد عبدالله حكمي</v>
      </c>
      <c r="D5" s="182" cm="1">
        <f t="array" ref="D5">IF(A5="","",INDEX(البيانات!$T$2:$T$265,A5))</f>
        <v>40</v>
      </c>
      <c r="E5" s="182" t="str" cm="1">
        <f t="array" ref="E5">IF(A5="","",INDEX(البيانات!$F$2:$F$265,A5))</f>
        <v>القطاع المركزي</v>
      </c>
      <c r="F5" s="182" cm="1">
        <f t="array" ref="F5">IF(A5="","",INDEX(البيانات!$Y$2:$Y$265,A5))</f>
        <v>552969032</v>
      </c>
      <c r="G5" s="281"/>
      <c r="H5" s="281"/>
      <c r="I5" s="184" cm="1">
        <f t="array" ref="I5">IF(A5="","",INDEX(البيانات!$P$2:$P$265,A5))</f>
        <v>46077</v>
      </c>
      <c r="J5" s="283" t="str" cm="1">
        <f t="array" ref="J5">IF(A5="","",INDEX(البيانات!$AI$2:$AI$265,A5))</f>
        <v>3/3/2026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تم الحظور</v>
      </c>
      <c r="M5" s="286"/>
      <c r="N5" s="288"/>
      <c r="O5" s="167"/>
    </row>
    <row r="6" spans="1:15">
      <c r="A6" s="112" cm="1">
        <f t="array" ref="A6">IFERROR(SMALL(IF(البيانات!$AS$2:$AS$265="مستشفى جازان العام",البيانات!$AT$2:$AT$265),3),"")</f>
        <v>3</v>
      </c>
      <c r="B6" s="112" t="str" cm="1">
        <f t="array" ref="B6">IF(A6="","",INDEX(البيانات!$V$2:$V$265,A6))</f>
        <v>1115638270</v>
      </c>
      <c r="C6" s="112" t="str" cm="1">
        <f t="array" ref="C6">IF(A6="","",INDEX(البيانات!$U$2:$U$265,A6))</f>
        <v>KHULUD ALI JABRIL HAKAMI</v>
      </c>
      <c r="D6" s="112" cm="1">
        <f t="array" ref="D6">IF(A6="","",INDEX(البيانات!$T$2:$T$265,A6))</f>
        <v>23</v>
      </c>
      <c r="E6" s="112" t="str" cm="1">
        <f t="array" ref="E6">IF(A6="","",INDEX(البيانات!$F$2:$F$265,A6))</f>
        <v>القطاع المركزي</v>
      </c>
      <c r="F6" s="112" cm="1">
        <f t="array" ref="F6">IF(A6="","",INDEX(البيانات!$Y$2:$Y$265,A6))</f>
        <v>504101175</v>
      </c>
      <c r="G6" s="280"/>
      <c r="H6" s="280"/>
      <c r="I6" s="181" cm="1">
        <f t="array" ref="I6">IF(A6="","",INDEX(البيانات!$P$2:$P$265,A6))</f>
        <v>46077</v>
      </c>
      <c r="J6" s="282" t="str" cm="1">
        <f t="array" ref="J6">IF(A6="","",INDEX(البيانات!$AI$2:$AI$265,A6))</f>
        <v>5/3/2026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تم الحظور</v>
      </c>
      <c r="M6" s="286"/>
      <c r="N6" s="288"/>
      <c r="O6" s="167"/>
    </row>
    <row r="7" spans="1:15">
      <c r="A7" s="182" cm="1">
        <f t="array" ref="A7">IFERROR(SMALL(IF(البيانات!$AS$2:$AS$265="مستشفى جازان العام",البيانات!$AT$2:$AT$265),4),"")</f>
        <v>4</v>
      </c>
      <c r="B7" s="182" cm="1">
        <f t="array" ref="B7">IF(A7="","",INDEX(البيانات!$V$2:$V$265,A7))</f>
        <v>1125222628</v>
      </c>
      <c r="C7" s="182" t="str" cm="1">
        <f t="array" ref="C7">IF(A7="","",INDEX(البيانات!$U$2:$U$265,A7))</f>
        <v>ريتاج حسن بن هادي مسملي</v>
      </c>
      <c r="D7" s="182" cm="1">
        <f t="array" ref="D7">IF(A7="","",INDEX(البيانات!$T$2:$T$265,A7))</f>
        <v>21</v>
      </c>
      <c r="E7" s="182" t="str" cm="1">
        <f t="array" ref="E7">IF(A7="","",INDEX(البيانات!$F$2:$F$265,A7))</f>
        <v>القطاع المركزي</v>
      </c>
      <c r="F7" s="182" t="str" cm="1">
        <f t="array" ref="F7">IF(A7="","",INDEX(البيانات!$Y$2:$Y$265,A7))</f>
        <v>0556703168</v>
      </c>
      <c r="G7" s="281"/>
      <c r="H7" s="281"/>
      <c r="I7" s="184" cm="1">
        <f t="array" ref="I7">IF(A7="","",INDEX(البيانات!$P$2:$P$265,A7))</f>
        <v>46079</v>
      </c>
      <c r="J7" s="283" t="str" cm="1">
        <f t="array" ref="J7">IF(A7="","",INDEX(البيانات!$AI$2:$AI$265,A7))</f>
        <v>8/3/2026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تم الحظور</v>
      </c>
      <c r="M7" s="286"/>
      <c r="N7" s="288"/>
      <c r="O7" s="167"/>
    </row>
    <row r="8" spans="1:15">
      <c r="A8" s="112" cm="1">
        <f t="array" ref="A8">IFERROR(SMALL(IF(البيانات!$AS$2:$AS$265="مستشفى جازان العام",البيانات!$AT$2:$AT$265),5),"")</f>
        <v>7</v>
      </c>
      <c r="B8" s="112" t="str" cm="1">
        <f t="array" ref="B8">IF(A8="","",INDEX(البيانات!$V$2:$V$265,A8))</f>
        <v>1101328571</v>
      </c>
      <c r="C8" s="112" t="str" cm="1">
        <f t="array" ref="C8">IF(A8="","",INDEX(البيانات!$U$2:$U$265,A8))</f>
        <v>سمية علي محمد حكمي</v>
      </c>
      <c r="D8" s="112" cm="1">
        <f t="array" ref="D8">IF(A8="","",INDEX(البيانات!$T$2:$T$265,A8))</f>
        <v>35</v>
      </c>
      <c r="E8" s="112" t="str" cm="1">
        <f t="array" ref="E8">IF(A8="","",INDEX(البيانات!$F$2:$F$265,A8))</f>
        <v>القطاع المركزي</v>
      </c>
      <c r="F8" s="112" t="str" cm="1">
        <f t="array" ref="F8">IF(A8="","",INDEX(البيانات!$Y$2:$Y$265,A8))</f>
        <v>0591556502</v>
      </c>
      <c r="G8" s="280"/>
      <c r="H8" s="280"/>
      <c r="I8" s="181" cm="1">
        <f t="array" ref="I8">IF(A8="","",INDEX(البيانات!$P$2:$P$265,A8))</f>
        <v>46086</v>
      </c>
      <c r="J8" s="282">
        <v>46095</v>
      </c>
      <c r="K8" s="109" t="str">
        <f>IF(OR(A8="",J8="",I8=""),"",IF(NETWORKDAYS.INTL(I8,J8,"0000011")-1&lt;=2,"✅ ملتزم","❌ غير ملتزم"))</f>
        <v>❌ غير ملتزم</v>
      </c>
      <c r="L8" s="284" t="str" cm="1">
        <f t="array" ref="L8">IF(A8="","",INDEX(البيانات!$AJ$2:$AJ$265,A8))</f>
        <v>لم يتم الرد اكثر من مرة</v>
      </c>
      <c r="M8" s="286"/>
      <c r="N8" s="288"/>
      <c r="O8" s="167"/>
    </row>
    <row r="9" spans="1:15">
      <c r="A9" s="182" cm="1">
        <f t="array" ref="A9">IFERROR(SMALL(IF(البيانات!$AS$2:$AS$265="مستشفى جازان العام",البيانات!$AT$2:$AT$265),6),"")</f>
        <v>10</v>
      </c>
      <c r="B9" s="182" t="str" cm="1">
        <f t="array" ref="B9">IF(A9="","",INDEX(البيانات!$V$2:$V$265,A9))</f>
        <v>1115598771</v>
      </c>
      <c r="C9" s="182" t="str" cm="1">
        <f t="array" ref="C9">IF(A9="","",INDEX(البيانات!$U$2:$U$265,A9))</f>
        <v>احلام ابراهيم احمد جابر</v>
      </c>
      <c r="D9" s="182" cm="1">
        <f t="array" ref="D9">IF(A9="","",INDEX(البيانات!$T$2:$T$265,A9))</f>
        <v>28</v>
      </c>
      <c r="E9" s="182" t="str" cm="1">
        <f t="array" ref="E9">IF(A9="","",INDEX(البيانات!$F$2:$F$265,A9))</f>
        <v>القطاع المركزي</v>
      </c>
      <c r="F9" s="182" t="str" cm="1">
        <f t="array" ref="F9">IF(A9="","",INDEX(البيانات!$Y$2:$Y$265,A9))</f>
        <v>0551831583</v>
      </c>
      <c r="G9" s="281"/>
      <c r="H9" s="281"/>
      <c r="I9" s="184" cm="1">
        <f t="array" ref="I9">IF(A9="","",INDEX(البيانات!$P$2:$P$265,A9))</f>
        <v>46086</v>
      </c>
      <c r="J9" s="283">
        <v>46095</v>
      </c>
      <c r="K9" s="183" t="str">
        <f>IF(OR(A9="",J9="",I9=""),"",IF(NETWORKDAYS.INTL(I9,J9,"0000011")-1&lt;=2,"✅ ملتزم","❌ غير ملتزم"))</f>
        <v>❌ غير ملتزم</v>
      </c>
      <c r="L9" s="285" t="str" cm="1">
        <f t="array" ref="L9">IF(A9="","",INDEX(البيانات!$AJ$2:$AJ$265,A9))</f>
        <v>تم الحظور</v>
      </c>
      <c r="M9" s="286"/>
      <c r="N9" s="288"/>
      <c r="O9" s="167"/>
    </row>
    <row r="10" spans="1:15">
      <c r="A10" s="112" cm="1">
        <f t="array" ref="A10">IFERROR(SMALL(IF(البيانات!$AS$2:$AS$265="مستشفى جازان العام",البيانات!$AT$2:$AT$265),7),"")</f>
        <v>12</v>
      </c>
      <c r="B10" s="112" t="str" cm="1">
        <f t="array" ref="B10">IF(A10="","",INDEX(البيانات!$V$2:$V$265,A10))</f>
        <v>1139635757</v>
      </c>
      <c r="C10" s="112" t="str" cm="1">
        <f t="array" ref="C10">IF(A10="","",INDEX(البيانات!$U$2:$U$265,A10))</f>
        <v>Renad Mohammed ali ahmdini</v>
      </c>
      <c r="D10" s="112" cm="1">
        <f t="array" ref="D10">IF(A10="","",INDEX(البيانات!$T$2:$T$265,A10))</f>
        <v>18</v>
      </c>
      <c r="E10" s="112" t="str" cm="1">
        <f t="array" ref="E10">IF(A10="","",INDEX(البيانات!$F$2:$F$265,A10))</f>
        <v>القطاع المركزي</v>
      </c>
      <c r="F10" s="112" t="str" cm="1">
        <f t="array" ref="F10">IF(A10="","",INDEX(البيانات!$Y$2:$Y$265,A10))</f>
        <v>0556650141</v>
      </c>
      <c r="G10" s="280"/>
      <c r="H10" s="280"/>
      <c r="I10" s="181" cm="1">
        <f t="array" ref="I10">IF(A10="","",INDEX(البيانات!$P$2:$P$265,A10))</f>
        <v>46089</v>
      </c>
      <c r="J10" s="282" t="str" cm="1">
        <f t="array" ref="J10">IF(A10="","",INDEX(البيانات!$AI$2:$AI$265,A10))</f>
        <v>18/3/2026</v>
      </c>
      <c r="K10" s="109" t="str">
        <f>IF(OR(A10="",J10="",I10=""),"",IF(NETWORKDAYS.INTL(I10,J10,"0000011")-1&lt;=2,"✅ ملتزم","❌ غير ملتزم"))</f>
        <v>❌ غير ملتزم</v>
      </c>
      <c r="L10" s="284" t="str" cm="1">
        <f t="array" ref="L10">IF(A10="","",INDEX(البيانات!$AJ$2:$AJ$265,A10))</f>
        <v>تم الحظور</v>
      </c>
      <c r="M10" s="286"/>
      <c r="N10" s="288"/>
      <c r="O10" s="167"/>
    </row>
    <row r="11" spans="1:15">
      <c r="A11" s="182" cm="1">
        <f t="array" ref="A11">IFERROR(SMALL(IF(البيانات!$AS$2:$AS$265="مستشفى جازان العام",البيانات!$AT$2:$AT$265),8),"")</f>
        <v>14</v>
      </c>
      <c r="B11" s="182" t="str" cm="1">
        <f t="array" ref="B11">IF(A11="","",INDEX(البيانات!$V$2:$V$265,A11))</f>
        <v>1080104324</v>
      </c>
      <c r="C11" s="182" t="str" cm="1">
        <f t="array" ref="C11">IF(A11="","",INDEX(البيانات!$U$2:$U$265,A11))</f>
        <v>EMAN MOHAMMED ABU TUMAYHI</v>
      </c>
      <c r="D11" s="182" cm="1">
        <f t="array" ref="D11">IF(A11="","",INDEX(البيانات!$T$2:$T$265,A11))</f>
        <v>33</v>
      </c>
      <c r="E11" s="182" t="str" cm="1">
        <f t="array" ref="E11">IF(A11="","",INDEX(البيانات!$F$2:$F$265,A11))</f>
        <v>القطاع الغربي</v>
      </c>
      <c r="F11" s="182" t="str" cm="1">
        <f t="array" ref="F11">IF(A11="","",INDEX(البيانات!$Y$2:$Y$265,A11))</f>
        <v>0535806606</v>
      </c>
      <c r="G11" s="281"/>
      <c r="H11" s="281"/>
      <c r="I11" s="184" cm="1">
        <f t="array" ref="I11">IF(A11="","",INDEX(البيانات!$P$2:$P$265,A11))</f>
        <v>46089</v>
      </c>
      <c r="J11" s="283">
        <v>46103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لم تحضر وتم حجز موعد جديد 6/4/2026</v>
      </c>
      <c r="M11" s="286"/>
      <c r="N11" s="288"/>
      <c r="O11" s="167"/>
    </row>
    <row r="12" spans="1:15">
      <c r="A12" s="112" cm="1">
        <f t="array" ref="A12">IFERROR(SMALL(IF(البيانات!$AS$2:$AS$265="مستشفى جازان العام",البيانات!$AT$2:$AT$265),9),"")</f>
        <v>19</v>
      </c>
      <c r="B12" s="112" t="str" cm="1">
        <f t="array" ref="B12">IF(A12="","",INDEX(البيانات!$V$2:$V$265,A12))</f>
        <v>1133877017</v>
      </c>
      <c r="C12" s="112" t="str" cm="1">
        <f t="array" ref="C12">IF(A12="","",INDEX(البيانات!$U$2:$U$265,A12))</f>
        <v>جيهان عبده حيدر مغفوري</v>
      </c>
      <c r="D12" s="112" cm="1">
        <f t="array" ref="D12">IF(A12="","",INDEX(البيانات!$T$2:$T$265,A12))</f>
        <v>25</v>
      </c>
      <c r="E12" s="112" t="str" cm="1">
        <f t="array" ref="E12">IF(A12="","",INDEX(البيانات!$F$2:$F$265,A12))</f>
        <v>القطاع المركزي</v>
      </c>
      <c r="F12" s="112" cm="1">
        <f t="array" ref="F12">IF(A12="","",INDEX(البيانات!$Y$2:$Y$265,A12))</f>
        <v>508643312</v>
      </c>
      <c r="G12" s="280"/>
      <c r="H12" s="280"/>
      <c r="I12" s="181" cm="1">
        <f t="array" ref="I12">IF(A12="","",INDEX(البيانات!$P$2:$P$265,A12))</f>
        <v>46090</v>
      </c>
      <c r="J12" s="282" t="str" cm="1">
        <f t="array" ref="J12">IF(A12="","",INDEX(البيانات!$AI$2:$AI$265,A12))</f>
        <v>16/3/2026</v>
      </c>
      <c r="K12" s="109" t="str">
        <f>IF(OR(A12="",J12="",I12=""),"",IF(NETWORKDAYS.INTL(I12,J12,"0000011")-1&lt;=2,"✅ ملتزم","❌ غير ملتزم"))</f>
        <v>❌ غير ملتزم</v>
      </c>
      <c r="L12" s="284" t="str" cm="1">
        <f t="array" ref="L12">IF(A12="","",INDEX(البيانات!$AJ$2:$AJ$265,A12))</f>
        <v>تم الحظور</v>
      </c>
      <c r="M12" s="286"/>
      <c r="N12" s="288"/>
      <c r="O12" s="167"/>
    </row>
    <row r="13" spans="1:15">
      <c r="A13" s="182" cm="1">
        <f t="array" ref="A13">IFERROR(SMALL(IF(البيانات!$AS$2:$AS$265="مستشفى جازان العام",البيانات!$AT$2:$AT$265),10),"")</f>
        <v>21</v>
      </c>
      <c r="B13" s="182" t="str" cm="1">
        <f t="array" ref="B13">IF(A13="","",INDEX(البيانات!$V$2:$V$265,A13))</f>
        <v>1116401827</v>
      </c>
      <c r="C13" s="182" t="str" cm="1">
        <f t="array" ref="C13">IF(A13="","",INDEX(البيانات!$U$2:$U$265,A13))</f>
        <v>امل احمد قاسم جعفر</v>
      </c>
      <c r="D13" s="182" cm="1">
        <f t="array" ref="D13">IF(A13="","",INDEX(البيانات!$T$2:$T$265,A13))</f>
        <v>23</v>
      </c>
      <c r="E13" s="182" t="str" cm="1">
        <f t="array" ref="E13">IF(A13="","",INDEX(البيانات!$F$2:$F$265,A13))</f>
        <v>القطاع المركزي</v>
      </c>
      <c r="F13" s="182" t="str" cm="1">
        <f t="array" ref="F13">IF(A13="","",INDEX(البيانات!$Y$2:$Y$265,A13))</f>
        <v>0590426652</v>
      </c>
      <c r="G13" s="281"/>
      <c r="H13" s="281"/>
      <c r="I13" s="184" cm="1">
        <f t="array" ref="I13">IF(A13="","",INDEX(البيانات!$P$2:$P$265,A13))</f>
        <v>46090</v>
      </c>
      <c r="J13" s="283" t="str" cm="1">
        <f t="array" ref="J13">IF(A13="","",INDEX(البيانات!$AI$2:$AI$265,A13))</f>
        <v>15/3/2026</v>
      </c>
      <c r="K13" s="183" t="str">
        <f>IF(OR(A13="",J13="",I13=""),"",IF(NETWORKDAYS.INTL(I13,J13,"0000011")-1&lt;=2,"✅ ملتزم","❌ غير ملتزم"))</f>
        <v>❌ غير ملتزم</v>
      </c>
      <c r="L13" s="285" t="str" cm="1">
        <f t="array" ref="L13">IF(A13="","",INDEX(البيانات!$AJ$2:$AJ$265,A13))</f>
        <v>تم الحظور</v>
      </c>
      <c r="M13" s="286"/>
      <c r="N13" s="288"/>
      <c r="O13" s="167"/>
    </row>
    <row r="14" spans="1:15">
      <c r="A14" s="112" cm="1">
        <f t="array" ref="A14">IFERROR(SMALL(IF(البيانات!$AS$2:$AS$265="مستشفى جازان العام",البيانات!$AT$2:$AT$265),11),"")</f>
        <v>22</v>
      </c>
      <c r="B14" s="112" t="str" cm="1">
        <f t="array" ref="B14">IF(A14="","",INDEX(البيانات!$V$2:$V$265,A14))</f>
        <v>1080159708</v>
      </c>
      <c r="C14" s="112" t="str" cm="1">
        <f t="array" ref="C14">IF(A14="","",INDEX(البيانات!$U$2:$U$265,A14))</f>
        <v>ريم داوود قاضي</v>
      </c>
      <c r="D14" s="112" cm="1">
        <f t="array" ref="D14">IF(A14="","",INDEX(البيانات!$T$2:$T$265,A14))</f>
        <v>34</v>
      </c>
      <c r="E14" s="112" t="str" cm="1">
        <f t="array" ref="E14">IF(A14="","",INDEX(البيانات!$F$2:$F$265,A14))</f>
        <v>القطاع المركزي</v>
      </c>
      <c r="F14" s="112" t="str" cm="1">
        <f t="array" ref="F14">IF(A14="","",INDEX(البيانات!$Y$2:$Y$265,A14))</f>
        <v>0509407238</v>
      </c>
      <c r="G14" s="280"/>
      <c r="H14" s="280"/>
      <c r="I14" s="181" cm="1">
        <f t="array" ref="I14">IF(A14="","",INDEX(البيانات!$P$2:$P$265,A14))</f>
        <v>46090</v>
      </c>
      <c r="J14" s="282">
        <v>46099</v>
      </c>
      <c r="K14" s="109" t="str">
        <f>IF(OR(A14="",J14="",I14=""),"",IF(NETWORKDAYS.INTL(I14,J14,"0000011")-1&lt;=2,"✅ ملتزم","❌ غير ملتزم"))</f>
        <v>❌ غير ملتزم</v>
      </c>
      <c r="L14" s="284" t="str" cm="1">
        <f t="array" ref="L14">IF(A14="","",INDEX(البيانات!$AJ$2:$AJ$265,A14))</f>
        <v>تم الحظور</v>
      </c>
      <c r="M14" s="286"/>
      <c r="N14" s="288"/>
      <c r="O14" s="167"/>
    </row>
    <row r="15" spans="1:15">
      <c r="A15" s="182" cm="1">
        <f t="array" ref="A15">IFERROR(SMALL(IF(البيانات!$AS$2:$AS$265="مستشفى جازان العام",البيانات!$AT$2:$AT$265),12),"")</f>
        <v>23</v>
      </c>
      <c r="B15" s="182" cm="1">
        <f t="array" ref="B15">IF(A15="","",INDEX(البيانات!$V$2:$V$265,A15))</f>
        <v>2161489097</v>
      </c>
      <c r="C15" s="182" t="str" cm="1">
        <f t="array" ref="C15">IF(A15="","",INDEX(البيانات!$U$2:$U$265,A15))</f>
        <v>NEIMA OMER MOHAMED HASSAN</v>
      </c>
      <c r="D15" s="182" cm="1">
        <f t="array" ref="D15">IF(A15="","",INDEX(البيانات!$T$2:$T$265,A15))</f>
        <v>37</v>
      </c>
      <c r="E15" s="182" t="str" cm="1">
        <f t="array" ref="E15">IF(A15="","",INDEX(البيانات!$F$2:$F$265,A15))</f>
        <v>القطاع المركزي</v>
      </c>
      <c r="F15" s="182" t="str" cm="1">
        <f t="array" ref="F15">IF(A15="","",INDEX(البيانات!$Y$2:$Y$265,A15))</f>
        <v>0532905342</v>
      </c>
      <c r="G15" s="281"/>
      <c r="H15" s="281"/>
      <c r="I15" s="184" cm="1">
        <f t="array" ref="I15">IF(A15="","",INDEX(البيانات!$P$2:$P$265,A15))</f>
        <v>46090</v>
      </c>
      <c r="J15" s="283" t="str" cm="1">
        <f t="array" ref="J15">IF(A15="","",INDEX(البيانات!$AI$2:$AI$265,A15))</f>
        <v>15/3/2026</v>
      </c>
      <c r="K15" s="183" t="str">
        <f>IF(OR(A15="",J15="",I15=""),"",IF(NETWORKDAYS.INTL(I15,J15,"0000011")-1&lt;=2,"✅ ملتزم","❌ غير ملتزم"))</f>
        <v>❌ غير ملتزم</v>
      </c>
      <c r="L15" s="285" t="str" cm="1">
        <f t="array" ref="L15">IF(A15="","",INDEX(البيانات!$AJ$2:$AJ$265,A15))</f>
        <v>تم الحظور</v>
      </c>
      <c r="M15" s="286"/>
      <c r="N15" s="288"/>
      <c r="O15" s="167"/>
    </row>
    <row r="16" spans="1:15">
      <c r="A16" s="112" cm="1">
        <f t="array" ref="A16">IFERROR(SMALL(IF(البيانات!$AS$2:$AS$265="مستشفى جازان العام",البيانات!$AT$2:$AT$265),13),"")</f>
        <v>24</v>
      </c>
      <c r="B16" s="112" t="str" cm="1">
        <f t="array" ref="B16">IF(A16="","",INDEX(البيانات!$V$2:$V$265,A16))</f>
        <v>1094145172</v>
      </c>
      <c r="C16" s="112" t="str" cm="1">
        <f t="array" ref="C16">IF(A16="","",INDEX(البيانات!$U$2:$U$265,A16))</f>
        <v>AMAL ABDULLAH ALI QAYSI</v>
      </c>
      <c r="D16" s="112" cm="1">
        <f t="array" ref="D16">IF(A16="","",INDEX(البيانات!$T$2:$T$265,A16))</f>
        <v>34</v>
      </c>
      <c r="E16" s="112" t="str" cm="1">
        <f t="array" ref="E16">IF(A16="","",INDEX(البيانات!$F$2:$F$265,A16))</f>
        <v>القطاع المركزي</v>
      </c>
      <c r="F16" s="112" t="str" cm="1">
        <f t="array" ref="F16">IF(A16="","",INDEX(البيانات!$Y$2:$Y$265,A16))</f>
        <v>0547484170</v>
      </c>
      <c r="G16" s="280"/>
      <c r="H16" s="280"/>
      <c r="I16" s="181" cm="1">
        <f t="array" ref="I16">IF(A16="","",INDEX(البيانات!$P$2:$P$265,A16))</f>
        <v>46090</v>
      </c>
      <c r="J16" s="282">
        <v>46099</v>
      </c>
      <c r="K16" s="109" t="str">
        <f>IF(OR(A16="",J16="",I16=""),"",IF(NETWORKDAYS.INTL(I16,J16,"0000011")-1&lt;=2,"✅ ملتزم","❌ غير ملتزم"))</f>
        <v>❌ غير ملتزم</v>
      </c>
      <c r="L16" s="284" t="str" cm="1">
        <f t="array" ref="L16">IF(A16="","",INDEX(البيانات!$AJ$2:$AJ$265,A16))</f>
        <v>تم الحظور</v>
      </c>
      <c r="M16" s="286"/>
      <c r="N16" s="288"/>
      <c r="O16" s="167"/>
    </row>
    <row r="17" spans="1:15">
      <c r="A17" s="182" cm="1">
        <f t="array" ref="A17">IFERROR(SMALL(IF(البيانات!$AS$2:$AS$265="مستشفى جازان العام",البيانات!$AT$2:$AT$265),14),"")</f>
        <v>25</v>
      </c>
      <c r="B17" s="182" t="str" cm="1">
        <f t="array" ref="B17">IF(A17="","",INDEX(البيانات!$V$2:$V$265,A17))</f>
        <v>1058788454</v>
      </c>
      <c r="C17" s="182" t="str" cm="1">
        <f t="array" ref="C17">IF(A17="","",INDEX(البيانات!$U$2:$U$265,A17))</f>
        <v>SADIQA SAEED ALI ALMONTASHERI</v>
      </c>
      <c r="D17" s="182" cm="1">
        <f t="array" ref="D17">IF(A17="","",INDEX(البيانات!$T$2:$T$265,A17))</f>
        <v>0</v>
      </c>
      <c r="E17" s="182" t="str" cm="1">
        <f t="array" ref="E17">IF(A17="","",INDEX(البيانات!$F$2:$F$265,A17))</f>
        <v>القطاع المركزي</v>
      </c>
      <c r="F17" s="182" t="str" cm="1">
        <f t="array" ref="F17">IF(A17="","",INDEX(البيانات!$Y$2:$Y$265,A17))</f>
        <v>0506281308</v>
      </c>
      <c r="G17" s="281"/>
      <c r="H17" s="281"/>
      <c r="I17" s="184" cm="1">
        <f t="array" ref="I17">IF(A17="","",INDEX(البيانات!$P$2:$P$265,A17))</f>
        <v>46090</v>
      </c>
      <c r="J17" s="283" t="str" cm="1">
        <f t="array" ref="J17">IF(A17="","",INDEX(البيانات!$AI$2:$AI$265,A17))</f>
        <v>10/3/2026</v>
      </c>
      <c r="K17" s="183" t="str">
        <f>IF(OR(A17="",J17="",I17=""),"",IF(NETWORKDAYS.INTL(I17,J17,"0000011")-1&lt;=2,"✅ ملتزم","❌ غير ملتزم"))</f>
        <v>✅ ملتزم</v>
      </c>
      <c r="L17" s="285" t="str" cm="1">
        <f t="array" ref="L17">IF(A17="","",INDEX(البيانات!$AJ$2:$AJ$265,A17))</f>
        <v>تم الحظور</v>
      </c>
      <c r="M17" s="286"/>
      <c r="N17" s="288"/>
      <c r="O17" s="167"/>
    </row>
    <row r="18" spans="1:15">
      <c r="A18" s="112" cm="1">
        <f t="array" ref="A18">IFERROR(SMALL(IF(البيانات!$AS$2:$AS$265="مستشفى جازان العام",البيانات!$AT$2:$AT$265),15),"")</f>
        <v>26</v>
      </c>
      <c r="B18" s="112" t="str" cm="1">
        <f t="array" ref="B18">IF(A18="","",INDEX(البيانات!$V$2:$V$265,A18))</f>
        <v>1100312543</v>
      </c>
      <c r="C18" s="112" t="str" cm="1">
        <f t="array" ref="C18">IF(A18="","",INDEX(البيانات!$U$2:$U$265,A18))</f>
        <v>Fatimah Mohammed Yahya Alizzi</v>
      </c>
      <c r="D18" s="112" cm="1">
        <f t="array" ref="D18">IF(A18="","",INDEX(البيانات!$T$2:$T$265,A18))</f>
        <v>0</v>
      </c>
      <c r="E18" s="112" t="str" cm="1">
        <f t="array" ref="E18">IF(A18="","",INDEX(البيانات!$F$2:$F$265,A18))</f>
        <v>القطاع الغربي</v>
      </c>
      <c r="F18" s="112" t="str" cm="1">
        <f t="array" ref="F18">IF(A18="","",INDEX(البيانات!$Y$2:$Y$265,A18))</f>
        <v>506705169</v>
      </c>
      <c r="G18" s="280"/>
      <c r="H18" s="280"/>
      <c r="I18" s="181" cm="1">
        <f t="array" ref="I18">IF(A18="","",INDEX(البيانات!$P$2:$P$265,A18))</f>
        <v>46091</v>
      </c>
      <c r="J18" s="282" t="str" cm="1">
        <f t="array" ref="J18">IF(A18="","",INDEX(البيانات!$AI$2:$AI$265,A18))</f>
        <v>2/4/2026</v>
      </c>
      <c r="K18" s="109" t="str">
        <f>IF(OR(A18="",J18="",I18=""),"",IF(NETWORKDAYS.INTL(I18,J18,"0000011")-1&lt;=2,"✅ ملتزم","❌ غير ملتزم"))</f>
        <v>❌ غير ملتزم</v>
      </c>
      <c r="L18" s="284" t="str" cm="1">
        <f t="array" ref="L18">IF(A18="","",INDEX(البيانات!$AJ$2:$AJ$265,A18))</f>
        <v>لم يتم الرد اكثر من مرة</v>
      </c>
      <c r="M18" s="286"/>
      <c r="N18" s="288"/>
      <c r="O18" s="167"/>
    </row>
    <row r="19" spans="1:15">
      <c r="A19" s="182" cm="1">
        <f t="array" ref="A19">IFERROR(SMALL(IF(البيانات!$AS$2:$AS$265="مستشفى جازان العام",البيانات!$AT$2:$AT$265),16),"")</f>
        <v>27</v>
      </c>
      <c r="B19" s="182" t="str" cm="1">
        <f t="array" ref="B19">IF(A19="","",INDEX(البيانات!$V$2:$V$265,A19))</f>
        <v>1108050699</v>
      </c>
      <c r="C19" s="182" t="str" cm="1">
        <f t="array" ref="C19">IF(A19="","",INDEX(البيانات!$U$2:$U$265,A19))</f>
        <v>لجين محسن حسين خردلي</v>
      </c>
      <c r="D19" s="182" cm="1">
        <f t="array" ref="D19">IF(A19="","",INDEX(البيانات!$T$2:$T$265,A19))</f>
        <v>0</v>
      </c>
      <c r="E19" s="182" t="str" cm="1">
        <f t="array" ref="E19">IF(A19="","",INDEX(البيانات!$F$2:$F$265,A19))</f>
        <v>القطاع المركزي</v>
      </c>
      <c r="F19" s="182" t="str" cm="1">
        <f t="array" ref="F19">IF(A19="","",INDEX(البيانات!$Y$2:$Y$265,A19))</f>
        <v>0552211853</v>
      </c>
      <c r="G19" s="281"/>
      <c r="H19" s="281"/>
      <c r="I19" s="184" cm="1">
        <f t="array" ref="I19">IF(A19="","",INDEX(البيانات!$P$2:$P$265,A19))</f>
        <v>46090</v>
      </c>
      <c r="J19" s="283">
        <v>46096</v>
      </c>
      <c r="K19" s="183" t="str">
        <f>IF(OR(A19="",J19="",I19=""),"",IF(NETWORKDAYS.INTL(I19,J19,"0000011")-1&lt;=2,"✅ ملتزم","❌ غير ملتزم"))</f>
        <v>❌ غير ملتزم</v>
      </c>
      <c r="L19" s="285" t="str" cm="1">
        <f t="array" ref="L19">IF(A19="","",INDEX(البيانات!$AJ$2:$AJ$265,A19))</f>
        <v>تم الحظور</v>
      </c>
      <c r="M19" s="286"/>
      <c r="N19" s="288"/>
      <c r="O19" s="167"/>
    </row>
    <row r="20" spans="1:15">
      <c r="A20" s="112" cm="1">
        <f t="array" ref="A20">IFERROR(SMALL(IF(البيانات!$AS$2:$AS$265="مستشفى جازان العام",البيانات!$AT$2:$AT$265),17),"")</f>
        <v>29</v>
      </c>
      <c r="B20" s="112" t="str" cm="1">
        <f t="array" ref="B20">IF(A20="","",INDEX(البيانات!$V$2:$V$265,A20))</f>
        <v>2371681582</v>
      </c>
      <c r="C20" s="112" t="str" cm="1">
        <f t="array" ref="C20">IF(A20="","",INDEX(البيانات!$U$2:$U$265,A20))</f>
        <v>FARRUKH SOBIA MOHD MOHD ASGHAR</v>
      </c>
      <c r="D20" s="112" cm="1">
        <f t="array" ref="D20">IF(A20="","",INDEX(البيانات!$T$2:$T$265,A20))</f>
        <v>0</v>
      </c>
      <c r="E20" s="112" t="str" cm="1">
        <f t="array" ref="E20">IF(A20="","",INDEX(البيانات!$F$2:$F$265,A20))</f>
        <v>القطاع المركزي</v>
      </c>
      <c r="F20" s="112" t="str" cm="1">
        <f t="array" ref="F20">IF(A20="","",INDEX(البيانات!$Y$2:$Y$265,A20))</f>
        <v>0538587629</v>
      </c>
      <c r="G20" s="280"/>
      <c r="H20" s="280"/>
      <c r="I20" s="181" cm="1">
        <f t="array" ref="I20">IF(A20="","",INDEX(البيانات!$P$2:$P$265,A20))</f>
        <v>46091</v>
      </c>
      <c r="J20" s="282" t="str" cm="1">
        <f t="array" ref="J20">IF(A20="","",INDEX(البيانات!$AI$2:$AI$265,A20))</f>
        <v>19/3/2026</v>
      </c>
      <c r="K20" s="109" t="str">
        <f>IF(OR(A20="",J20="",I20=""),"",IF(NETWORKDAYS.INTL(I20,J20,"0000011")-1&lt;=2,"✅ ملتزم","❌ غير ملتزم"))</f>
        <v>❌ غير ملتزم</v>
      </c>
      <c r="L20" s="284" t="str" cm="1">
        <f t="array" ref="L20">IF(A20="","",INDEX(البيانات!$AJ$2:$AJ$265,A20))</f>
        <v>تم الحظور</v>
      </c>
      <c r="M20" s="286"/>
      <c r="N20" s="288"/>
      <c r="O20" s="167"/>
    </row>
    <row r="21" spans="1:15">
      <c r="A21" s="182" cm="1">
        <f t="array" ref="A21">IFERROR(SMALL(IF(البيانات!$AS$2:$AS$265="مستشفى جازان العام",البيانات!$AT$2:$AT$265),18),"")</f>
        <v>30</v>
      </c>
      <c r="B21" s="182" t="str" cm="1">
        <f t="array" ref="B21">IF(A21="","",INDEX(البيانات!$V$2:$V$265,A21))</f>
        <v>1089244964</v>
      </c>
      <c r="C21" s="182" t="str" cm="1">
        <f t="array" ref="C21">IF(A21="","",INDEX(البيانات!$U$2:$U$265,A21))</f>
        <v>اريج قاسم علي الحفاف</v>
      </c>
      <c r="D21" s="182" cm="1">
        <f t="array" ref="D21">IF(A21="","",INDEX(البيانات!$T$2:$T$265,A21))</f>
        <v>0</v>
      </c>
      <c r="E21" s="182" t="str" cm="1">
        <f t="array" ref="E21">IF(A21="","",INDEX(البيانات!$F$2:$F$265,A21))</f>
        <v>القطاع المركزي</v>
      </c>
      <c r="F21" s="182" t="str" cm="1">
        <f t="array" ref="F21">IF(A21="","",INDEX(البيانات!$Y$2:$Y$265,A21))</f>
        <v>0556696317</v>
      </c>
      <c r="G21" s="281"/>
      <c r="H21" s="281"/>
      <c r="I21" s="184" cm="1">
        <f t="array" ref="I21">IF(A21="","",INDEX(البيانات!$P$2:$P$265,A21))</f>
        <v>46091</v>
      </c>
      <c r="J21" s="283" t="str" cm="1">
        <f t="array" ref="J21">IF(A21="","",INDEX(البيانات!$AI$2:$AI$265,A21))</f>
        <v>23/4/2026</v>
      </c>
      <c r="K21" s="183" t="str">
        <f>IF(OR(A21="",J21="",I21=""),"",IF(NETWORKDAYS.INTL(I21,J21,"0000011")-1&lt;=2,"✅ ملتزم","❌ غير ملتزم"))</f>
        <v>❌ غير ملتزم</v>
      </c>
      <c r="L21" s="285" t="str" cm="1">
        <f t="array" ref="L21">IF(A21="","",INDEX(البيانات!$AJ$2:$AJ$265,A21))</f>
        <v>تم الحظور</v>
      </c>
      <c r="M21" s="286"/>
      <c r="N21" s="288"/>
      <c r="O21" s="167"/>
    </row>
    <row r="22" spans="1:15">
      <c r="A22" s="112" cm="1">
        <f t="array" ref="A22">IFERROR(SMALL(IF(البيانات!$AS$2:$AS$265="مستشفى جازان العام",البيانات!$AT$2:$AT$265),19),"")</f>
        <v>31</v>
      </c>
      <c r="B22" s="112" t="str" cm="1">
        <f t="array" ref="B22">IF(A22="","",INDEX(البيانات!$V$2:$V$265,A22))</f>
        <v>2491520140</v>
      </c>
      <c r="C22" s="112" t="str" cm="1">
        <f t="array" ref="C22">IF(A22="","",INDEX(البيانات!$U$2:$U$265,A22))</f>
        <v>Eman alsayed mohamed fayad</v>
      </c>
      <c r="D22" s="112" cm="1">
        <f t="array" ref="D22">IF(A22="","",INDEX(البيانات!$T$2:$T$265,A22))</f>
        <v>0</v>
      </c>
      <c r="E22" s="112" t="str" cm="1">
        <f t="array" ref="E22">IF(A22="","",INDEX(البيانات!$F$2:$F$265,A22))</f>
        <v>القطاع المركزي</v>
      </c>
      <c r="F22" s="112" t="str" cm="1">
        <f t="array" ref="F22">IF(A22="","",INDEX(البيانات!$Y$2:$Y$265,A22))</f>
        <v>0505104465</v>
      </c>
      <c r="G22" s="280"/>
      <c r="H22" s="280"/>
      <c r="I22" s="181" cm="1">
        <f t="array" ref="I22">IF(A22="","",INDEX(البيانات!$P$2:$P$265,A22))</f>
        <v>46091</v>
      </c>
      <c r="J22" s="282" t="str" cm="1">
        <f t="array" ref="J22">IF(A22="","",INDEX(البيانات!$AI$2:$AI$265,A22))</f>
        <v>19/3/2026</v>
      </c>
      <c r="K22" s="109" t="str">
        <f>IF(OR(A22="",J22="",I22=""),"",IF(NETWORKDAYS.INTL(I22,J22,"0000011")-1&lt;=2,"✅ ملتزم","❌ غير ملتزم"))</f>
        <v>❌ غير ملتزم</v>
      </c>
      <c r="L22" s="284" t="str" cm="1">
        <f t="array" ref="L22">IF(A22="","",INDEX(البيانات!$AJ$2:$AJ$265,A22))</f>
        <v>تم الحظور</v>
      </c>
      <c r="M22" s="286"/>
      <c r="N22" s="288"/>
      <c r="O22" s="167"/>
    </row>
    <row r="23" spans="1:15">
      <c r="A23" s="182" cm="1">
        <f t="array" ref="A23">IFERROR(SMALL(IF(البيانات!$AS$2:$AS$265="مستشفى جازان العام",البيانات!$AT$2:$AT$265),20),"")</f>
        <v>34</v>
      </c>
      <c r="B23" s="182" t="str" cm="1">
        <f t="array" ref="B23">IF(A23="","",INDEX(البيانات!$V$2:$V$265,A23))</f>
        <v>1079527022</v>
      </c>
      <c r="C23" s="182" t="str" cm="1">
        <f t="array" ref="C23">IF(A23="","",INDEX(البيانات!$U$2:$U$265,A23))</f>
        <v>FATIMAH WALI ALI MAGHFURI</v>
      </c>
      <c r="D23" s="182" cm="1">
        <f t="array" ref="D23">IF(A23="","",INDEX(البيانات!$T$2:$T$265,A23))</f>
        <v>0</v>
      </c>
      <c r="E23" s="182" t="str" cm="1">
        <f t="array" ref="E23">IF(A23="","",INDEX(البيانات!$F$2:$F$265,A23))</f>
        <v>القطاع المركزي</v>
      </c>
      <c r="F23" s="182" t="str" cm="1">
        <f t="array" ref="F23">IF(A23="","",INDEX(البيانات!$Y$2:$Y$265,A23))</f>
        <v>0533487424</v>
      </c>
      <c r="G23" s="281"/>
      <c r="H23" s="281"/>
      <c r="I23" s="184" cm="1">
        <f t="array" ref="I23">IF(A23="","",INDEX(البيانات!$P$2:$P$265,A23))</f>
        <v>46090</v>
      </c>
      <c r="J23" s="283" t="str" cm="1">
        <f t="array" ref="J23">IF(A23="","",INDEX(البيانات!$AI$2:$AI$265,A23))</f>
        <v>19/3/2026</v>
      </c>
      <c r="K23" s="183" t="str">
        <f>IF(OR(A23="",J23="",I23=""),"",IF(NETWORKDAYS.INTL(I23,J23,"0000011")-1&lt;=2,"✅ ملتزم","❌ غير ملتزم"))</f>
        <v>❌ غير ملتزم</v>
      </c>
      <c r="L23" s="285" t="str" cm="1">
        <f t="array" ref="L23">IF(A23="","",INDEX(البيانات!$AJ$2:$AJ$265,A23))</f>
        <v>تم الحظور</v>
      </c>
      <c r="M23" s="286"/>
      <c r="N23" s="288"/>
      <c r="O23" s="167"/>
    </row>
    <row r="24" spans="1:15">
      <c r="A24" s="112" cm="1">
        <f t="array" ref="A24">IFERROR(SMALL(IF(البيانات!$AS$2:$AS$265="مستشفى جازان العام",البيانات!$AT$2:$AT$265),21),"")</f>
        <v>39</v>
      </c>
      <c r="B24" s="112" t="str" cm="1">
        <f t="array" ref="B24">IF(A24="","",INDEX(البيانات!$V$2:$V$265,A24))</f>
        <v>1059980852</v>
      </c>
      <c r="C24" s="112" t="str" cm="1">
        <f t="array" ref="C24">IF(A24="","",INDEX(البيانات!$U$2:$U$265,A24))</f>
        <v>ثريا طاهر عبده حمدي</v>
      </c>
      <c r="D24" s="112" cm="1">
        <f t="array" ref="D24">IF(A24="","",INDEX(البيانات!$T$2:$T$265,A24))</f>
        <v>0</v>
      </c>
      <c r="E24" s="112" t="str" cm="1">
        <f t="array" ref="E24">IF(A24="","",INDEX(البيانات!$F$2:$F$265,A24))</f>
        <v>القطاع المركزي</v>
      </c>
      <c r="F24" s="112" t="str" cm="1">
        <f t="array" ref="F24">IF(A24="","",INDEX(البيانات!$Y$2:$Y$265,A24))</f>
        <v>0543864232</v>
      </c>
      <c r="G24" s="280"/>
      <c r="H24" s="280"/>
      <c r="I24" s="181" cm="1">
        <f t="array" ref="I24">IF(A24="","",INDEX(البيانات!$P$2:$P$265,A24))</f>
        <v>46092</v>
      </c>
      <c r="J24" s="282">
        <v>46103</v>
      </c>
      <c r="K24" s="109" t="str">
        <f>IF(OR(A24="",J24="",I24=""),"",IF(NETWORKDAYS.INTL(I24,J24,"0000011")-1&lt;=2,"✅ ملتزم","❌ غير ملتزم"))</f>
        <v>❌ غير ملتزم</v>
      </c>
      <c r="L24" s="284" t="str" cm="1">
        <f t="array" ref="L24">IF(A24="","",INDEX(البيانات!$AJ$2:$AJ$265,A24))</f>
        <v>تم الحظور</v>
      </c>
      <c r="M24" s="286"/>
      <c r="N24" s="288"/>
      <c r="O24" s="167"/>
    </row>
    <row r="25" spans="1:15">
      <c r="A25" s="182" cm="1">
        <f t="array" ref="A25">IFERROR(SMALL(IF(البيانات!$AS$2:$AS$265="مستشفى جازان العام",البيانات!$AT$2:$AT$265),22),"")</f>
        <v>40</v>
      </c>
      <c r="B25" s="182" t="str" cm="1">
        <f t="array" ref="B25">IF(A25="","",INDEX(البيانات!$V$2:$V$265,A25))</f>
        <v>1098022054</v>
      </c>
      <c r="C25" s="182" t="str" cm="1">
        <f t="array" ref="C25">IF(A25="","",INDEX(البيانات!$U$2:$U$265,A25))</f>
        <v>خديجه مفرح محمد المالكي</v>
      </c>
      <c r="D25" s="182" cm="1">
        <f t="array" ref="D25">IF(A25="","",INDEX(البيانات!$T$2:$T$265,A25))</f>
        <v>0</v>
      </c>
      <c r="E25" s="182" t="str" cm="1">
        <f t="array" ref="E25">IF(A25="","",INDEX(البيانات!$F$2:$F$265,A25))</f>
        <v>القطاع المركزي</v>
      </c>
      <c r="F25" s="182" t="str" cm="1">
        <f t="array" ref="F25">IF(A25="","",INDEX(البيانات!$Y$2:$Y$265,A25))</f>
        <v>0507740419</v>
      </c>
      <c r="G25" s="281"/>
      <c r="H25" s="281"/>
      <c r="I25" s="184" cm="1">
        <f t="array" ref="I25">IF(A25="","",INDEX(البيانات!$P$2:$P$265,A25))</f>
        <v>46092</v>
      </c>
      <c r="J25" s="283" t="str" cm="1">
        <f t="array" ref="J25">IF(A25="","",INDEX(البيانات!$AI$2:$AI$265,A25))</f>
        <v>16/3/2026</v>
      </c>
      <c r="K25" s="183" t="str">
        <f>IF(OR(A25="",J25="",I25=""),"",IF(NETWORKDAYS.INTL(I25,J25,"0000011")-1&lt;=2,"✅ ملتزم","❌ غير ملتزم"))</f>
        <v>❌ غير ملتزم</v>
      </c>
      <c r="L25" s="285" t="str" cm="1">
        <f t="array" ref="L25">IF(A25="","",INDEX(البيانات!$AJ$2:$AJ$265,A25))</f>
        <v>تم الحظور</v>
      </c>
      <c r="M25" s="286"/>
      <c r="N25" s="288"/>
      <c r="O25" s="167"/>
    </row>
    <row r="26" spans="1:15">
      <c r="A26" s="112" cm="1">
        <f t="array" ref="A26">IFERROR(SMALL(IF(البيانات!$AS$2:$AS$265="مستشفى جازان العام",البيانات!$AT$2:$AT$265),23),"")</f>
        <v>41</v>
      </c>
      <c r="B26" s="112" t="str" cm="1">
        <f t="array" ref="B26">IF(A26="","",INDEX(البيانات!$V$2:$V$265,A26))</f>
        <v>1143229811</v>
      </c>
      <c r="C26" s="112" t="str" cm="1">
        <f t="array" ref="C26">IF(A26="","",INDEX(البيانات!$U$2:$U$265,A26))</f>
        <v>لميس حسن مغفوري</v>
      </c>
      <c r="D26" s="112" cm="1">
        <f t="array" ref="D26">IF(A26="","",INDEX(البيانات!$T$2:$T$265,A26))</f>
        <v>0</v>
      </c>
      <c r="E26" s="112" t="str" cm="1">
        <f t="array" ref="E26">IF(A26="","",INDEX(البيانات!$F$2:$F$265,A26))</f>
        <v>القطاع المركزي</v>
      </c>
      <c r="F26" s="112" t="str" cm="1">
        <f t="array" ref="F26">IF(A26="","",INDEX(البيانات!$Y$2:$Y$265,A26))</f>
        <v>0503617899</v>
      </c>
      <c r="G26" s="280"/>
      <c r="H26" s="280"/>
      <c r="I26" s="181" cm="1">
        <f t="array" ref="I26">IF(A26="","",INDEX(البيانات!$P$2:$P$265,A26))</f>
        <v>46090</v>
      </c>
      <c r="J26" s="282">
        <v>46103</v>
      </c>
      <c r="K26" s="109" t="str">
        <f>IF(OR(A26="",J26="",I26=""),"",IF(NETWORKDAYS.INTL(I26,J26,"0000011")-1&lt;=2,"✅ ملتزم","❌ غير ملتزم"))</f>
        <v>❌ غير ملتزم</v>
      </c>
      <c r="L26" s="284" t="str" cm="1">
        <f t="array" ref="L26">IF(A26="","",INDEX(البيانات!$AJ$2:$AJ$265,A26))</f>
        <v>تم الحظور</v>
      </c>
      <c r="M26" s="286"/>
      <c r="N26" s="288"/>
      <c r="O26" s="167"/>
    </row>
    <row r="27" spans="1:15">
      <c r="A27" s="182" cm="1">
        <f t="array" ref="A27">IFERROR(SMALL(IF(البيانات!$AS$2:$AS$265="مستشفى جازان العام",البيانات!$AT$2:$AT$265),24),"")</f>
        <v>42</v>
      </c>
      <c r="B27" s="182" t="str" cm="1">
        <f t="array" ref="B27">IF(A27="","",INDEX(البيانات!$V$2:$V$265,A27))</f>
        <v>1112084494</v>
      </c>
      <c r="C27" s="182" t="str" cm="1">
        <f t="array" ref="C27">IF(A27="","",INDEX(البيانات!$U$2:$U$265,A27))</f>
        <v>عائشة ولي بالقاسم مغفوري</v>
      </c>
      <c r="D27" s="182" cm="1">
        <f t="array" ref="D27">IF(A27="","",INDEX(البيانات!$T$2:$T$265,A27))</f>
        <v>0</v>
      </c>
      <c r="E27" s="182" t="str" cm="1">
        <f t="array" ref="E27">IF(A27="","",INDEX(البيانات!$F$2:$F$265,A27))</f>
        <v>القطاع المركزي</v>
      </c>
      <c r="F27" s="182" t="str" cm="1">
        <f t="array" ref="F27">IF(A27="","",INDEX(البيانات!$Y$2:$Y$265,A27))</f>
        <v>0533906126</v>
      </c>
      <c r="G27" s="281"/>
      <c r="H27" s="281"/>
      <c r="I27" s="184" cm="1">
        <f t="array" ref="I27">IF(A27="","",INDEX(البيانات!$P$2:$P$265,A27))</f>
        <v>46092</v>
      </c>
      <c r="J27" s="283">
        <v>46099</v>
      </c>
      <c r="K27" s="183" t="str">
        <f>IF(OR(A27="",J27="",I27=""),"",IF(NETWORKDAYS.INTL(I27,J27,"0000011")-1&lt;=2,"✅ ملتزم","❌ غير ملتزم"))</f>
        <v>❌ غير ملتزم</v>
      </c>
      <c r="L27" s="285" t="str" cm="1">
        <f t="array" ref="L27">IF(A27="","",INDEX(البيانات!$AJ$2:$AJ$265,A27))</f>
        <v>تم الحظور</v>
      </c>
      <c r="M27" s="286"/>
      <c r="N27" s="288"/>
      <c r="O27" s="167"/>
    </row>
    <row r="28" spans="1:15">
      <c r="A28" s="112" cm="1">
        <f t="array" ref="A28">IFERROR(SMALL(IF(البيانات!$AS$2:$AS$265="مستشفى جازان العام",البيانات!$AT$2:$AT$265),25),"")</f>
        <v>43</v>
      </c>
      <c r="B28" s="112" t="str" cm="1">
        <f t="array" ref="B28">IF(A28="","",INDEX(البيانات!$V$2:$V$265,A28))</f>
        <v>1130716325</v>
      </c>
      <c r="C28" s="112" t="str" cm="1">
        <f t="array" ref="C28">IF(A28="","",INDEX(البيانات!$U$2:$U$265,A28))</f>
        <v>SAMAH AHMED ALI KHARDALI</v>
      </c>
      <c r="D28" s="112" cm="1">
        <f t="array" ref="D28">IF(A28="","",INDEX(البيانات!$T$2:$T$265,A28))</f>
        <v>0</v>
      </c>
      <c r="E28" s="112" t="str" cm="1">
        <f t="array" ref="E28">IF(A28="","",INDEX(البيانات!$F$2:$F$265,A28))</f>
        <v>القطاع المركزي</v>
      </c>
      <c r="F28" s="112" t="str" cm="1">
        <f t="array" ref="F28">IF(A28="","",INDEX(البيانات!$Y$2:$Y$265,A28))</f>
        <v>0506294322</v>
      </c>
      <c r="G28" s="280"/>
      <c r="H28" s="280"/>
      <c r="I28" s="181" cm="1">
        <f t="array" ref="I28">IF(A28="","",INDEX(البيانات!$P$2:$P$265,A28))</f>
        <v>46092</v>
      </c>
      <c r="J28" s="282">
        <v>46099</v>
      </c>
      <c r="K28" s="109" t="str">
        <f>IF(OR(A28="",J28="",I28=""),"",IF(NETWORKDAYS.INTL(I28,J28,"0000011")-1&lt;=2,"✅ ملتزم","❌ غير ملتزم"))</f>
        <v>❌ غير ملتزم</v>
      </c>
      <c r="L28" s="284" t="str" cm="1">
        <f t="array" ref="L28">IF(A28="","",INDEX(البيانات!$AJ$2:$AJ$265,A28))</f>
        <v>لم تحضر وتم حجز موعد جديد 2/4/2026</v>
      </c>
      <c r="M28" s="286"/>
      <c r="N28" s="288"/>
      <c r="O28" s="167"/>
    </row>
    <row r="29" spans="1:15">
      <c r="A29" s="182" cm="1">
        <f t="array" ref="A29">IFERROR(SMALL(IF(البيانات!$AS$2:$AS$265="مستشفى جازان العام",البيانات!$AT$2:$AT$265),26),"")</f>
        <v>44</v>
      </c>
      <c r="B29" s="182" t="str" cm="1">
        <f t="array" ref="B29">IF(A29="","",INDEX(البيانات!$V$2:$V$265,A29))</f>
        <v>1099910513</v>
      </c>
      <c r="C29" s="182" t="str" cm="1">
        <f t="array" ref="C29">IF(A29="","",INDEX(البيانات!$U$2:$U$265,A29))</f>
        <v>IBTEHAJ ALI ABKAR AGIL</v>
      </c>
      <c r="D29" s="182" cm="1">
        <f t="array" ref="D29">IF(A29="","",INDEX(البيانات!$T$2:$T$265,A29))</f>
        <v>0</v>
      </c>
      <c r="E29" s="182" t="str" cm="1">
        <f t="array" ref="E29">IF(A29="","",INDEX(البيانات!$F$2:$F$265,A29))</f>
        <v>القطاع المركزي</v>
      </c>
      <c r="F29" s="182" t="str" cm="1">
        <f t="array" ref="F29">IF(A29="","",INDEX(البيانات!$Y$2:$Y$265,A29))</f>
        <v>0531115298</v>
      </c>
      <c r="G29" s="281"/>
      <c r="H29" s="281"/>
      <c r="I29" s="184" cm="1">
        <f t="array" ref="I29">IF(A29="","",INDEX(البيانات!$P$2:$P$265,A29))</f>
        <v>46092</v>
      </c>
      <c r="J29" s="283">
        <v>46099</v>
      </c>
      <c r="K29" s="183" t="str">
        <f>IF(OR(A29="",J29="",I29=""),"",IF(NETWORKDAYS.INTL(I29,J29,"0000011")-1&lt;=2,"✅ ملتزم","❌ غير ملتزم"))</f>
        <v>❌ غير ملتزم</v>
      </c>
      <c r="L29" s="285" t="str" cm="1">
        <f t="array" ref="L29">IF(A29="","",INDEX(البيانات!$AJ$2:$AJ$265,A29))</f>
        <v>تم الحظور</v>
      </c>
      <c r="M29" s="286"/>
      <c r="N29" s="288"/>
      <c r="O29" s="167"/>
    </row>
    <row r="30" spans="1:15">
      <c r="A30" s="112" cm="1">
        <f t="array" ref="A30">IFERROR(SMALL(IF(البيانات!$AS$2:$AS$265="مستشفى جازان العام",البيانات!$AT$2:$AT$265),27),"")</f>
        <v>45</v>
      </c>
      <c r="B30" s="112" cm="1">
        <f t="array" ref="B30">IF(A30="","",INDEX(البيانات!$V$2:$V$265,A30))</f>
        <v>1067399939</v>
      </c>
      <c r="C30" s="112" t="str" cm="1">
        <f t="array" ref="C30">IF(A30="","",INDEX(البيانات!$U$2:$U$265,A30))</f>
        <v>عائشة علي حكمي</v>
      </c>
      <c r="D30" s="112" cm="1">
        <f t="array" ref="D30">IF(A30="","",INDEX(البيانات!$T$2:$T$265,A30))</f>
        <v>0</v>
      </c>
      <c r="E30" s="112" t="str" cm="1">
        <f t="array" ref="E30">IF(A30="","",INDEX(البيانات!$F$2:$F$265,A30))</f>
        <v>القطاع المركزي</v>
      </c>
      <c r="F30" s="112" t="str" cm="1">
        <f t="array" ref="F30">IF(A30="","",INDEX(البيانات!$Y$2:$Y$265,A30))</f>
        <v>0554810728</v>
      </c>
      <c r="G30" s="280"/>
      <c r="H30" s="280"/>
      <c r="I30" s="181" cm="1">
        <f t="array" ref="I30">IF(A30="","",INDEX(البيانات!$P$2:$P$265,A30))</f>
        <v>46092</v>
      </c>
      <c r="J30" s="282" t="str" cm="1">
        <f t="array" ref="J30">IF(A30="","",INDEX(البيانات!$AI$2:$AI$265,A30))</f>
        <v>15/3/2026</v>
      </c>
      <c r="K30" s="109" t="str">
        <f>IF(OR(A30="",J30="",I30=""),"",IF(NETWORKDAYS.INTL(I30,J30,"0000011")-1&lt;=2,"✅ ملتزم","❌ غير ملتزم"))</f>
        <v>✅ ملتزم</v>
      </c>
      <c r="L30" s="284" t="str" cm="1">
        <f t="array" ref="L30">IF(A30="","",INDEX(البيانات!$AJ$2:$AJ$265,A30))</f>
        <v>تم الحظور</v>
      </c>
      <c r="M30" s="286"/>
      <c r="N30" s="288"/>
      <c r="O30" s="167"/>
    </row>
    <row r="31" spans="1:15">
      <c r="A31" s="182" cm="1">
        <f t="array" ref="A31">IFERROR(SMALL(IF(البيانات!$AS$2:$AS$265="مستشفى جازان العام",البيانات!$AT$2:$AT$265),28),"")</f>
        <v>47</v>
      </c>
      <c r="B31" s="182" t="str" cm="1">
        <f t="array" ref="B31">IF(A31="","",INDEX(البيانات!$V$2:$V$265,A31))</f>
        <v>1079390033</v>
      </c>
      <c r="C31" s="182" t="str" cm="1">
        <f t="array" ref="C31">IF(A31="","",INDEX(البيانات!$U$2:$U$265,A31))</f>
        <v>فاطمة ولي مغفوري</v>
      </c>
      <c r="D31" s="182" cm="1">
        <f t="array" ref="D31">IF(A31="","",INDEX(البيانات!$T$2:$T$265,A31))</f>
        <v>0</v>
      </c>
      <c r="E31" s="182" t="str" cm="1">
        <f t="array" ref="E31">IF(A31="","",INDEX(البيانات!$F$2:$F$265,A31))</f>
        <v>القطاع المركزي</v>
      </c>
      <c r="F31" s="182" t="str" cm="1">
        <f t="array" ref="F31">IF(A31="","",INDEX(البيانات!$Y$2:$Y$265,A31))</f>
        <v>0551790141</v>
      </c>
      <c r="G31" s="281"/>
      <c r="H31" s="281"/>
      <c r="I31" s="184" cm="1">
        <f t="array" ref="I31">IF(A31="","",INDEX(البيانات!$P$2:$P$265,A31))</f>
        <v>46092</v>
      </c>
      <c r="J31" s="283" t="str" cm="1">
        <f t="array" ref="J31">IF(A31="","",INDEX(البيانات!$AI$2:$AI$265,A31))</f>
        <v>2/4/2026</v>
      </c>
      <c r="K31" s="183" t="str">
        <f>IF(OR(A31="",J31="",I31=""),"",IF(NETWORKDAYS.INTL(I31,J31,"0000011")-1&lt;=2,"✅ ملتزم","❌ غير ملتزم"))</f>
        <v>❌ غير ملتزم</v>
      </c>
      <c r="L31" s="285" t="str" cm="1">
        <f t="array" ref="L31">IF(A31="","",INDEX(البيانات!$AJ$2:$AJ$265,A31))</f>
        <v>تم الحظور</v>
      </c>
      <c r="M31" s="286"/>
      <c r="N31" s="288"/>
      <c r="O31" s="167"/>
    </row>
    <row r="32" spans="1:15">
      <c r="A32" s="112" cm="1">
        <f t="array" ref="A32">IFERROR(SMALL(IF(البيانات!$AS$2:$AS$265="مستشفى جازان العام",البيانات!$AT$2:$AT$265),29),"")</f>
        <v>52</v>
      </c>
      <c r="B32" s="112" t="str" cm="1">
        <f t="array" ref="B32">IF(A32="","",INDEX(البيانات!$V$2:$V$265,A32))</f>
        <v>1076329596</v>
      </c>
      <c r="C32" s="112" t="str" cm="1">
        <f t="array" ref="C32">IF(A32="","",INDEX(البيانات!$U$2:$U$265,A32))</f>
        <v>رقيه علي محمد حكمي</v>
      </c>
      <c r="D32" s="112" cm="1">
        <f t="array" ref="D32">IF(A32="","",INDEX(البيانات!$T$2:$T$265,A32))</f>
        <v>0</v>
      </c>
      <c r="E32" s="112" t="str" cm="1">
        <f t="array" ref="E32">IF(A32="","",INDEX(البيانات!$F$2:$F$265,A32))</f>
        <v>القطاع المركزي</v>
      </c>
      <c r="F32" s="112" t="str" cm="1">
        <f t="array" ref="F32">IF(A32="","",INDEX(البيانات!$Y$2:$Y$265,A32))</f>
        <v>0556475731</v>
      </c>
      <c r="G32" s="280"/>
      <c r="H32" s="280"/>
      <c r="I32" s="181" cm="1">
        <f t="array" ref="I32">IF(A32="","",INDEX(البيانات!$P$2:$P$265,A32))</f>
        <v>46096</v>
      </c>
      <c r="J32" s="282" t="str" cm="1">
        <f t="array" ref="J32">IF(A32="","",INDEX(البيانات!$AI$2:$AI$265,A32))</f>
        <v>18/3/2026</v>
      </c>
      <c r="K32" s="109" t="str">
        <f>IF(OR(A32="",J32="",I32=""),"",IF(NETWORKDAYS.INTL(I32,J32,"0000011")-1&lt;=2,"✅ ملتزم","❌ غير ملتزم"))</f>
        <v>✅ ملتزم</v>
      </c>
      <c r="L32" s="284" t="str" cm="1">
        <f t="array" ref="L32">IF(A32="","",INDEX(البيانات!$AJ$2:$AJ$265,A32))</f>
        <v>تم الحظور</v>
      </c>
      <c r="M32" s="286"/>
      <c r="N32" s="288"/>
      <c r="O32" s="167"/>
    </row>
    <row r="33" spans="1:15">
      <c r="A33" s="182" cm="1">
        <f t="array" ref="A33">IFERROR(SMALL(IF(البيانات!$AS$2:$AS$265="مستشفى جازان العام",البيانات!$AT$2:$AT$265),30),"")</f>
        <v>54</v>
      </c>
      <c r="B33" s="182" t="str" cm="1">
        <f t="array" ref="B33">IF(A33="","",INDEX(البيانات!$V$2:$V$265,A33))</f>
        <v>1112983141</v>
      </c>
      <c r="C33" s="182" t="str" cm="1">
        <f t="array" ref="C33">IF(A33="","",INDEX(البيانات!$U$2:$U$265,A33))</f>
        <v>شيخه محمد محسن دهمان</v>
      </c>
      <c r="D33" s="182" cm="1">
        <f t="array" ref="D33">IF(A33="","",INDEX(البيانات!$T$2:$T$265,A33))</f>
        <v>0</v>
      </c>
      <c r="E33" s="182" t="str" cm="1">
        <f t="array" ref="E33">IF(A33="","",INDEX(البيانات!$F$2:$F$265,A33))</f>
        <v>القطاع المركزي</v>
      </c>
      <c r="F33" s="182" t="str" cm="1">
        <f t="array" ref="F33">IF(A33="","",INDEX(البيانات!$Y$2:$Y$265,A33))</f>
        <v>0536522309</v>
      </c>
      <c r="G33" s="281"/>
      <c r="H33" s="281"/>
      <c r="I33" s="184" cm="1">
        <f t="array" ref="I33">IF(A33="","",INDEX(البيانات!$P$2:$P$265,A33))</f>
        <v>46096</v>
      </c>
      <c r="J33" s="283" t="str" cm="1">
        <f t="array" ref="J33">IF(A33="","",INDEX(البيانات!$AI$2:$AI$265,A33))</f>
        <v>19/3/2026</v>
      </c>
      <c r="K33" s="183" t="str">
        <f>IF(OR(A33="",J33="",I33=""),"",IF(NETWORKDAYS.INTL(I33,J33,"0000011")-1&lt;=2,"✅ ملتزم","❌ غير ملتزم"))</f>
        <v>❌ غير ملتزم</v>
      </c>
      <c r="L33" s="285" t="str" cm="1">
        <f t="array" ref="L33">IF(A33="","",INDEX(البيانات!$AJ$2:$AJ$265,A33))</f>
        <v>تم الحظور</v>
      </c>
      <c r="M33" s="286"/>
      <c r="N33" s="288"/>
      <c r="O33" s="167"/>
    </row>
    <row r="34" spans="1:15">
      <c r="A34" s="112" cm="1">
        <f t="array" ref="A34">IFERROR(SMALL(IF(البيانات!$AS$2:$AS$265="مستشفى جازان العام",البيانات!$AT$2:$AT$265),31),"")</f>
        <v>56</v>
      </c>
      <c r="B34" s="112" t="str" cm="1">
        <f t="array" ref="B34">IF(A34="","",INDEX(البيانات!$V$2:$V$265,A34))</f>
        <v>1124972496</v>
      </c>
      <c r="C34" s="112" t="str" cm="1">
        <f t="array" ref="C34">IF(A34="","",INDEX(البيانات!$U$2:$U$265,A34))</f>
        <v>REHAM AMEN MUHAMAD GOHAL</v>
      </c>
      <c r="D34" s="112" cm="1">
        <f t="array" ref="D34">IF(A34="","",INDEX(البيانات!$T$2:$T$265,A34))</f>
        <v>0</v>
      </c>
      <c r="E34" s="112" t="str" cm="1">
        <f t="array" ref="E34">IF(A34="","",INDEX(البيانات!$F$2:$F$265,A34))</f>
        <v>القطاع المركزي</v>
      </c>
      <c r="F34" s="112" t="str" cm="1">
        <f t="array" ref="F34">IF(A34="","",INDEX(البيانات!$Y$2:$Y$265,A34))</f>
        <v>0507054257</v>
      </c>
      <c r="G34" s="280"/>
      <c r="H34" s="280"/>
      <c r="I34" s="181" cm="1">
        <f t="array" ref="I34">IF(A34="","",INDEX(البيانات!$P$2:$P$265,A34))</f>
        <v>46097</v>
      </c>
      <c r="J34" s="282" t="str" cm="1">
        <f t="array" ref="J34">IF(A34="","",INDEX(البيانات!$AI$2:$AI$265,A34))</f>
        <v>18/3/2026</v>
      </c>
      <c r="K34" s="109" t="str">
        <f>IF(OR(A34="",J34="",I34=""),"",IF(NETWORKDAYS.INTL(I34,J34,"0000011")-1&lt;=2,"✅ ملتزم","❌ غير ملتزم"))</f>
        <v>✅ ملتزم</v>
      </c>
      <c r="L34" s="284" t="str" cm="1">
        <f t="array" ref="L34">IF(A34="","",INDEX(البيانات!$AJ$2:$AJ$265,A34))</f>
        <v>تم الحظور</v>
      </c>
      <c r="M34" s="286"/>
      <c r="N34" s="288"/>
      <c r="O34" s="167"/>
    </row>
    <row r="35" spans="1:15">
      <c r="A35" s="182" cm="1">
        <f t="array" ref="A35">IFERROR(SMALL(IF(البيانات!$AS$2:$AS$265="مستشفى جازان العام",البيانات!$AT$2:$AT$265),32),"")</f>
        <v>57</v>
      </c>
      <c r="B35" s="182" t="str" cm="1">
        <f t="array" ref="B35">IF(A35="","",INDEX(البيانات!$V$2:$V$265,A35))</f>
        <v>1067399939</v>
      </c>
      <c r="C35" s="182" t="str" cm="1">
        <f t="array" ref="C35">IF(A35="","",INDEX(البيانات!$U$2:$U$265,A35))</f>
        <v>عائشة علي حسين حكمي</v>
      </c>
      <c r="D35" s="182" cm="1">
        <f t="array" ref="D35">IF(A35="","",INDEX(البيانات!$T$2:$T$265,A35))</f>
        <v>0</v>
      </c>
      <c r="E35" s="182" t="str" cm="1">
        <f t="array" ref="E35">IF(A35="","",INDEX(البيانات!$F$2:$F$265,A35))</f>
        <v>القطاع المركزي</v>
      </c>
      <c r="F35" s="182" t="str" cm="1">
        <f t="array" ref="F35">IF(A35="","",INDEX(البيانات!$Y$2:$Y$265,A35))</f>
        <v>0554810728</v>
      </c>
      <c r="G35" s="281"/>
      <c r="H35" s="281"/>
      <c r="I35" s="184" cm="1">
        <f t="array" ref="I35">IF(A35="","",INDEX(البيانات!$P$2:$P$265,A35))</f>
        <v>46097</v>
      </c>
      <c r="J35" s="283" t="str" cm="1">
        <f t="array" ref="J35">IF(A35="","",INDEX(البيانات!$AI$2:$AI$265,A35))</f>
        <v>18/3/2026</v>
      </c>
      <c r="K35" s="183" t="str">
        <f>IF(OR(A35="",J35="",I35=""),"",IF(NETWORKDAYS.INTL(I35,J35,"0000011")-1&lt;=2,"✅ ملتزم","❌ غير ملتزم"))</f>
        <v>✅ ملتزم</v>
      </c>
      <c r="L35" s="285" t="str" cm="1">
        <f t="array" ref="L35">IF(A35="","",INDEX(البيانات!$AJ$2:$AJ$265,A35))</f>
        <v>تم الحظور</v>
      </c>
      <c r="M35" s="286"/>
      <c r="N35" s="288"/>
      <c r="O35" s="167"/>
    </row>
    <row r="36" spans="1:15">
      <c r="A36" s="112" cm="1">
        <f t="array" ref="A36">IFERROR(SMALL(IF(البيانات!$AS$2:$AS$265="مستشفى جازان العام",البيانات!$AT$2:$AT$265),33),"")</f>
        <v>58</v>
      </c>
      <c r="B36" s="112" t="str" cm="1">
        <f t="array" ref="B36">IF(A36="","",INDEX(البيانات!$V$2:$V$265,A36))</f>
        <v>1086822606</v>
      </c>
      <c r="C36" s="112" t="str" cm="1">
        <f t="array" ref="C36">IF(A36="","",INDEX(البيانات!$U$2:$U$265,A36))</f>
        <v>KHULUD MOHAMMED JOBRAN JOBRAN</v>
      </c>
      <c r="D36" s="112" cm="1">
        <f t="array" ref="D36">IF(A36="","",INDEX(البيانات!$T$2:$T$265,A36))</f>
        <v>0</v>
      </c>
      <c r="E36" s="112" t="str" cm="1">
        <f t="array" ref="E36">IF(A36="","",INDEX(البيانات!$F$2:$F$265,A36))</f>
        <v>القطاع المركزي</v>
      </c>
      <c r="F36" s="112" t="str" cm="1">
        <f t="array" ref="F36">IF(A36="","",INDEX(البيانات!$Y$2:$Y$265,A36))</f>
        <v>0532932247</v>
      </c>
      <c r="G36" s="280"/>
      <c r="H36" s="280"/>
      <c r="I36" s="181" cm="1">
        <f t="array" ref="I36">IF(A36="","",INDEX(البيانات!$P$2:$P$265,A36))</f>
        <v>46097</v>
      </c>
      <c r="J36" s="282" t="str" cm="1">
        <f t="array" ref="J36">IF(A36="","",INDEX(البيانات!$AI$2:$AI$265,A36))</f>
        <v>18/3/2026</v>
      </c>
      <c r="K36" s="109" t="str">
        <f>IF(OR(A36="",J36="",I36=""),"",IF(NETWORKDAYS.INTL(I36,J36,"0000011")-1&lt;=2,"✅ ملتزم","❌ غير ملتزم"))</f>
        <v>✅ ملتزم</v>
      </c>
      <c r="L36" s="284" t="str" cm="1">
        <f t="array" ref="L36">IF(A36="","",INDEX(البيانات!$AJ$2:$AJ$265,A36))</f>
        <v>تم الحظور</v>
      </c>
      <c r="M36" s="286"/>
      <c r="N36" s="288"/>
      <c r="O36" s="167"/>
    </row>
    <row r="37" spans="1:15">
      <c r="A37" s="182" cm="1">
        <f t="array" ref="A37">IFERROR(SMALL(IF(البيانات!$AS$2:$AS$265="مستشفى جازان العام",البيانات!$AT$2:$AT$265),34),"")</f>
        <v>61</v>
      </c>
      <c r="B37" s="182" t="str" cm="1">
        <f t="array" ref="B37">IF(A37="","",INDEX(البيانات!$V$2:$V$265,A37))</f>
        <v>1071453136</v>
      </c>
      <c r="C37" s="182" t="str" cm="1">
        <f t="array" ref="C37">IF(A37="","",INDEX(البيانات!$U$2:$U$265,A37))</f>
        <v>منى مهدي احمد حكمي</v>
      </c>
      <c r="D37" s="182" cm="1">
        <f t="array" ref="D37">IF(A37="","",INDEX(البيانات!$T$2:$T$265,A37))</f>
        <v>0</v>
      </c>
      <c r="E37" s="182" t="str" cm="1">
        <f t="array" ref="E37">IF(A37="","",INDEX(البيانات!$F$2:$F$265,A37))</f>
        <v>القطاع المركزي</v>
      </c>
      <c r="F37" s="182" t="str" cm="1">
        <f t="array" ref="F37">IF(A37="","",INDEX(البيانات!$Y$2:$Y$265,A37))</f>
        <v>0507412685</v>
      </c>
      <c r="G37" s="281"/>
      <c r="H37" s="281"/>
      <c r="I37" s="184" cm="1">
        <f t="array" ref="I37">IF(A37="","",INDEX(البيانات!$P$2:$P$265,A37))</f>
        <v>46098</v>
      </c>
      <c r="J37" s="283" t="str" cm="1">
        <f t="array" ref="J37">IF(A37="","",INDEX(البيانات!$AI$2:$AI$265,A37))</f>
        <v>18/3/2026</v>
      </c>
      <c r="K37" s="183" t="str">
        <f>IF(OR(A37="",J37="",I37=""),"",IF(NETWORKDAYS.INTL(I37,J37,"0000011")-1&lt;=2,"✅ ملتزم","❌ غير ملتزم"))</f>
        <v>✅ ملتزم</v>
      </c>
      <c r="L37" s="285" t="str" cm="1">
        <f t="array" ref="L37">IF(A37="","",INDEX(البيانات!$AJ$2:$AJ$265,A37))</f>
        <v>تم الحظور</v>
      </c>
      <c r="M37" s="286"/>
      <c r="N37" s="288"/>
      <c r="O37" s="167"/>
    </row>
    <row r="38" spans="1:15">
      <c r="A38" s="112" cm="1">
        <f t="array" ref="A38">IFERROR(SMALL(IF(البيانات!$AS$2:$AS$265="مستشفى جازان العام",البيانات!$AT$2:$AT$265),35),"")</f>
        <v>63</v>
      </c>
      <c r="B38" s="112" t="str" cm="1">
        <f t="array" ref="B38">IF(A38="","",INDEX(البيانات!$V$2:$V$265,A38))</f>
        <v>1046769541</v>
      </c>
      <c r="C38" s="112" t="str" cm="1">
        <f t="array" ref="C38">IF(A38="","",INDEX(البيانات!$U$2:$U$265,A38))</f>
        <v>BADRIAH HUSSAIN ALI RUBAYYI</v>
      </c>
      <c r="D38" s="112" cm="1">
        <f t="array" ref="D38">IF(A38="","",INDEX(البيانات!$T$2:$T$265,A38))</f>
        <v>0</v>
      </c>
      <c r="E38" s="112" t="str" cm="1">
        <f t="array" ref="E38">IF(A38="","",INDEX(البيانات!$F$2:$F$265,A38))</f>
        <v>القطاع المركزي</v>
      </c>
      <c r="F38" s="112" t="str" cm="1">
        <f t="array" ref="F38">IF(A38="","",INDEX(البيانات!$Y$2:$Y$265,A38))</f>
        <v>0531157891</v>
      </c>
      <c r="G38" s="280"/>
      <c r="H38" s="280"/>
      <c r="I38" s="181" cm="1">
        <f t="array" ref="I38">IF(A38="","",INDEX(البيانات!$P$2:$P$265,A38))</f>
        <v>46098</v>
      </c>
      <c r="J38" s="282" t="str" cm="1">
        <f t="array" ref="J38">IF(A38="","",INDEX(البيانات!$AI$2:$AI$265,A38))</f>
        <v>19/3/2026</v>
      </c>
      <c r="K38" s="109" t="str">
        <f>IF(OR(A38="",J38="",I38=""),"",IF(NETWORKDAYS.INTL(I38,J38,"0000011")-1&lt;=2,"✅ ملتزم","❌ غير ملتزم"))</f>
        <v>✅ ملتزم</v>
      </c>
      <c r="L38" s="284" t="str" cm="1">
        <f t="array" ref="L38">IF(A38="","",INDEX(البيانات!$AJ$2:$AJ$265,A38))</f>
        <v>تم الحظور</v>
      </c>
      <c r="M38" s="286"/>
      <c r="N38" s="288"/>
      <c r="O38" s="167"/>
    </row>
    <row r="39" spans="1:15">
      <c r="A39" s="182" cm="1">
        <f t="array" ref="A39">IFERROR(SMALL(IF(البيانات!$AS$2:$AS$265="مستشفى جازان العام",البيانات!$AT$2:$AT$265),36),"")</f>
        <v>64</v>
      </c>
      <c r="B39" s="182" t="str" cm="1">
        <f t="array" ref="B39">IF(A39="","",INDEX(البيانات!$V$2:$V$265,A39))</f>
        <v>1121662694</v>
      </c>
      <c r="C39" s="182" t="str" cm="1">
        <f t="array" ref="C39">IF(A39="","",INDEX(البيانات!$U$2:$U$265,A39))</f>
        <v>AMNAH MOHAMMED AHMED HIFTHI</v>
      </c>
      <c r="D39" s="182" cm="1">
        <f t="array" ref="D39">IF(A39="","",INDEX(البيانات!$T$2:$T$265,A39))</f>
        <v>0</v>
      </c>
      <c r="E39" s="182" t="str" cm="1">
        <f t="array" ref="E39">IF(A39="","",INDEX(البيانات!$F$2:$F$265,A39))</f>
        <v>القطاع المركزي</v>
      </c>
      <c r="F39" s="182" t="str" cm="1">
        <f t="array" ref="F39">IF(A39="","",INDEX(البيانات!$Y$2:$Y$265,A39))</f>
        <v>0550905278</v>
      </c>
      <c r="G39" s="281"/>
      <c r="H39" s="281"/>
      <c r="I39" s="184" cm="1">
        <f t="array" ref="I39">IF(A39="","",INDEX(البيانات!$P$2:$P$265,A39))</f>
        <v>46099</v>
      </c>
      <c r="J39" s="283" t="str" cm="1">
        <f t="array" ref="J39">IF(A39="","",INDEX(البيانات!$AI$2:$AI$265,A39))</f>
        <v>25/3/2026</v>
      </c>
      <c r="K39" s="183" t="str">
        <f>IF(OR(A39="",J39="",I39=""),"",IF(NETWORKDAYS.INTL(I39,J39,"0000011")-1&lt;=2,"✅ ملتزم","❌ غير ملتزم"))</f>
        <v>❌ غير ملتزم</v>
      </c>
      <c r="L39" s="285" t="str" cm="1">
        <f t="array" ref="L39">IF(A39="","",INDEX(البيانات!$AJ$2:$AJ$265,A39))</f>
        <v>تم الحظور</v>
      </c>
      <c r="M39" s="286"/>
      <c r="N39" s="288"/>
      <c r="O39" s="167"/>
    </row>
    <row r="40" spans="1:15">
      <c r="A40" s="112" cm="1">
        <f t="array" ref="A40">IFERROR(SMALL(IF(البيانات!$AS$2:$AS$265="مستشفى جازان العام",البيانات!$AT$2:$AT$265),37),"")</f>
        <v>70</v>
      </c>
      <c r="B40" s="112" t="str" cm="1">
        <f t="array" ref="B40">IF(A40="","",INDEX(البيانات!$V$2:$V$265,A40))</f>
        <v>1077771630</v>
      </c>
      <c r="C40" s="112" t="str" cm="1">
        <f t="array" ref="C40">IF(A40="","",INDEX(البيانات!$U$2:$U$265,A40))</f>
        <v>فاطمة احمد قاسم مغفوري</v>
      </c>
      <c r="D40" s="112" cm="1">
        <f t="array" ref="D40">IF(A40="","",INDEX(البيانات!$T$2:$T$265,A40))</f>
        <v>0</v>
      </c>
      <c r="E40" s="112" t="str" cm="1">
        <f t="array" ref="E40">IF(A40="","",INDEX(البيانات!$F$2:$F$265,A40))</f>
        <v>القطاع المركزي</v>
      </c>
      <c r="F40" s="112" t="str" cm="1">
        <f t="array" ref="F40">IF(A40="","",INDEX(البيانات!$Y$2:$Y$265,A40))</f>
        <v>0533313722</v>
      </c>
      <c r="G40" s="280"/>
      <c r="H40" s="280"/>
      <c r="I40" s="181" cm="1">
        <f t="array" ref="I40">IF(A40="","",INDEX(البيانات!$P$2:$P$265,A40))</f>
        <v>46106</v>
      </c>
      <c r="J40" s="282" t="str" cm="1">
        <f t="array" ref="J40">IF(A40="","",INDEX(البيانات!$AI$2:$AI$265,A40))</f>
        <v>26/3/2026</v>
      </c>
      <c r="K40" s="109" t="str">
        <f>IF(OR(A40="",J40="",I40=""),"",IF(NETWORKDAYS.INTL(I40,J40,"0000011")-1&lt;=2,"✅ ملتزم","❌ غير ملتزم"))</f>
        <v>✅ ملتزم</v>
      </c>
      <c r="L40" s="284" t="str" cm="1">
        <f t="array" ref="L40">IF(A40="","",INDEX(البيانات!$AJ$2:$AJ$265,A40))</f>
        <v>تم الحظور</v>
      </c>
      <c r="M40" s="286"/>
      <c r="N40" s="288"/>
      <c r="O40" s="167"/>
    </row>
    <row r="41" spans="1:15">
      <c r="A41" s="182" cm="1">
        <f t="array" ref="A41">IFERROR(SMALL(IF(البيانات!$AS$2:$AS$265="مستشفى جازان العام",البيانات!$AT$2:$AT$265),38),"")</f>
        <v>73</v>
      </c>
      <c r="B41" s="182" t="str" cm="1">
        <f t="array" ref="B41">IF(A41="","",INDEX(البيانات!$V$2:$V$265,A41))</f>
        <v>1081520718</v>
      </c>
      <c r="C41" s="182" t="str" cm="1">
        <f t="array" ref="C41">IF(A41="","",INDEX(البيانات!$U$2:$U$265,A41))</f>
        <v>بدريه علي محمد جلي</v>
      </c>
      <c r="D41" s="182" cm="1">
        <f t="array" ref="D41">IF(A41="","",INDEX(البيانات!$T$2:$T$265,A41))</f>
        <v>0</v>
      </c>
      <c r="E41" s="182" t="str" cm="1">
        <f t="array" ref="E41">IF(A41="","",INDEX(البيانات!$F$2:$F$265,A41))</f>
        <v>القطاع المركزي</v>
      </c>
      <c r="F41" s="182" t="str" cm="1">
        <f t="array" ref="F41">IF(A41="","",INDEX(البيانات!$Y$2:$Y$265,A41))</f>
        <v>0567774406</v>
      </c>
      <c r="G41" s="281"/>
      <c r="H41" s="281"/>
      <c r="I41" s="184" cm="1">
        <f t="array" ref="I41">IF(A41="","",INDEX(البيانات!$P$2:$P$265,A41))</f>
        <v>46107</v>
      </c>
      <c r="J41" s="283" t="str" cm="1">
        <f t="array" ref="J41">IF(A41="","",INDEX(البيانات!$AI$2:$AI$265,A41))</f>
        <v>1/4/2026</v>
      </c>
      <c r="K41" s="183" t="str">
        <f>IF(OR(A41="",J41="",I41=""),"",IF(NETWORKDAYS.INTL(I41,J41,"0000011")-1&lt;=2,"✅ ملتزم","❌ غير ملتزم"))</f>
        <v>❌ غير ملتزم</v>
      </c>
      <c r="L41" s="285" t="str" cm="1">
        <f t="array" ref="L41">IF(A41="","",INDEX(البيانات!$AJ$2:$AJ$265,A41))</f>
        <v>تم الحضور</v>
      </c>
      <c r="M41" s="286"/>
      <c r="N41" s="288"/>
      <c r="O41" s="167"/>
    </row>
    <row r="42" spans="1:15">
      <c r="A42" s="112" cm="1">
        <f t="array" ref="A42">IFERROR(SMALL(IF(البيانات!$AS$2:$AS$265="مستشفى جازان العام",البيانات!$AT$2:$AT$265),40),"")</f>
        <v>78</v>
      </c>
      <c r="B42" s="112" t="str" cm="1">
        <f t="array" ref="B42">IF(A42="","",INDEX(البيانات!$V$2:$V$265,A42))</f>
        <v>2396444701</v>
      </c>
      <c r="C42" s="112" t="str" cm="1">
        <f t="array" ref="C42">IF(A42="","",INDEX(البيانات!$U$2:$U$265,A42))</f>
        <v>فوزية خالد حماد عمر</v>
      </c>
      <c r="D42" s="112" cm="1">
        <f t="array" ref="D42">IF(A42="","",INDEX(البيانات!$T$2:$T$265,A42))</f>
        <v>0</v>
      </c>
      <c r="E42" s="112" t="str" cm="1">
        <f t="array" ref="E42">IF(A42="","",INDEX(البيانات!$F$2:$F$265,A42))</f>
        <v>القطاع المركزي</v>
      </c>
      <c r="F42" s="112" t="str" cm="1">
        <f t="array" ref="F42">IF(A42="","",INDEX(البيانات!$Y$2:$Y$265,A42))</f>
        <v>0532804359</v>
      </c>
      <c r="G42" s="280"/>
      <c r="H42" s="280"/>
      <c r="I42" s="181" cm="1">
        <f t="array" ref="I42">IF(A42="","",INDEX(البيانات!$P$2:$P$265,A42))</f>
        <v>46110</v>
      </c>
      <c r="J42" s="282" t="str" cm="1">
        <f t="array" ref="J42">IF(A42="","",INDEX(البيانات!$AI$2:$AI$265,A42))</f>
        <v>31/3/2026</v>
      </c>
      <c r="K42" s="109" t="str">
        <f>IF(OR(A42="",J42="",I42=""),"",IF(NETWORKDAYS.INTL(I42,J42,"0000011")-1&lt;=2,"✅ ملتزم","❌ غير ملتزم"))</f>
        <v>✅ ملتزم</v>
      </c>
      <c r="L42" s="284" t="str" cm="1">
        <f t="array" ref="L42">IF(A42="","",INDEX(البيانات!$AJ$2:$AJ$265,A42))</f>
        <v>تم الحضور</v>
      </c>
      <c r="M42" s="286"/>
      <c r="N42" s="288"/>
      <c r="O42" s="167"/>
    </row>
    <row r="43" spans="1:15">
      <c r="A43" s="182" cm="1">
        <f t="array" ref="A43">IFERROR(SMALL(IF(البيانات!$AS$2:$AS$265="مستشفى جازان العام",البيانات!$AT$2:$AT$265),41),"")</f>
        <v>79</v>
      </c>
      <c r="B43" s="182" t="str" cm="1">
        <f t="array" ref="B43">IF(A43="","",INDEX(البيانات!$V$2:$V$265,A43))</f>
        <v>1038283618</v>
      </c>
      <c r="C43" s="182" t="str" cm="1">
        <f t="array" ref="C43">IF(A43="","",INDEX(البيانات!$U$2:$U$265,A43))</f>
        <v>صفاء ناصر هوداني</v>
      </c>
      <c r="D43" s="182" cm="1">
        <f t="array" ref="D43">IF(A43="","",INDEX(البيانات!$T$2:$T$265,A43))</f>
        <v>0</v>
      </c>
      <c r="E43" s="182" t="str" cm="1">
        <f t="array" ref="E43">IF(A43="","",INDEX(البيانات!$F$2:$F$265,A43))</f>
        <v>القطاع المركزي</v>
      </c>
      <c r="F43" s="182" t="str" cm="1">
        <f t="array" ref="F43">IF(A43="","",INDEX(البيانات!$Y$2:$Y$265,A43))</f>
        <v>0536670662</v>
      </c>
      <c r="G43" s="281"/>
      <c r="H43" s="281"/>
      <c r="I43" s="184" cm="1">
        <f t="array" ref="I43">IF(A43="","",INDEX(البيانات!$P$2:$P$265,A43))</f>
        <v>46110</v>
      </c>
      <c r="J43" s="283" t="str" cm="1">
        <f t="array" ref="J43">IF(A43="","",INDEX(البيانات!$AI$2:$AI$265,A43))</f>
        <v>1/4/2026</v>
      </c>
      <c r="K43" s="183" t="str">
        <f>IF(OR(A43="",J43="",I43=""),"",IF(NETWORKDAYS.INTL(I43,J43,"0000011")-1&lt;=2,"✅ ملتزم","❌ غير ملتزم"))</f>
        <v>✅ ملتزم</v>
      </c>
      <c r="L43" s="285" t="str" cm="1">
        <f t="array" ref="L43">IF(A43="","",INDEX(البيانات!$AJ$2:$AJ$265,A43))</f>
        <v>تم الحضور</v>
      </c>
      <c r="M43" s="286"/>
      <c r="N43" s="288"/>
      <c r="O43" s="167"/>
    </row>
    <row r="44" spans="1:15">
      <c r="A44" s="112" cm="1">
        <f t="array" ref="A44">IFERROR(SMALL(IF(البيانات!$AS$2:$AS$265="مستشفى جازان العام",البيانات!$AT$2:$AT$265),42),"")</f>
        <v>80</v>
      </c>
      <c r="B44" s="112" t="str" cm="1">
        <f t="array" ref="B44">IF(A44="","",INDEX(البيانات!$V$2:$V$265,A44))</f>
        <v>1093971875</v>
      </c>
      <c r="C44" s="112" t="str" cm="1">
        <f t="array" ref="C44">IF(A44="","",INDEX(البيانات!$U$2:$U$265,A44))</f>
        <v>ZAHRAH ABDULAZIZ MOSA JAFARI</v>
      </c>
      <c r="D44" s="112" cm="1">
        <f t="array" ref="D44">IF(A44="","",INDEX(البيانات!$T$2:$T$265,A44))</f>
        <v>0</v>
      </c>
      <c r="E44" s="112" t="str" cm="1">
        <f t="array" ref="E44">IF(A44="","",INDEX(البيانات!$F$2:$F$265,A44))</f>
        <v>القطاع المركزي</v>
      </c>
      <c r="F44" s="112" t="str" cm="1">
        <f t="array" ref="F44">IF(A44="","",INDEX(البيانات!$Y$2:$Y$265,A44))</f>
        <v>0535620967</v>
      </c>
      <c r="G44" s="280"/>
      <c r="H44" s="280"/>
      <c r="I44" s="181" cm="1">
        <f t="array" ref="I44">IF(A44="","",INDEX(البيانات!$P$2:$P$265,A44))</f>
        <v>46110</v>
      </c>
      <c r="J44" s="282" t="str" cm="1">
        <f t="array" ref="J44">IF(A44="","",INDEX(البيانات!$AI$2:$AI$265,A44))</f>
        <v>30/3/2026</v>
      </c>
      <c r="K44" s="109" t="str">
        <f>IF(OR(A44="",J44="",I44=""),"",IF(NETWORKDAYS.INTL(I44,J44,"0000011")-1&lt;=2,"✅ ملتزم","❌ غير ملتزم"))</f>
        <v>✅ ملتزم</v>
      </c>
      <c r="L44" s="284" t="str" cm="1">
        <f t="array" ref="L44">IF(A44="","",INDEX(البيانات!$AJ$2:$AJ$265,A44))</f>
        <v>تم الحضور</v>
      </c>
      <c r="M44" s="286"/>
      <c r="N44" s="288"/>
      <c r="O44" s="167"/>
    </row>
    <row r="45" spans="1:15">
      <c r="A45" s="182" cm="1">
        <f t="array" ref="A45">IFERROR(SMALL(IF(البيانات!$AS$2:$AS$265="مستشفى جازان العام",البيانات!$AT$2:$AT$265),43),"")</f>
        <v>81</v>
      </c>
      <c r="B45" s="182" t="str" cm="1">
        <f t="array" ref="B45">IF(A45="","",INDEX(البيانات!$V$2:$V$265,A45))</f>
        <v>1081844332</v>
      </c>
      <c r="C45" s="182" t="str" cm="1">
        <f t="array" ref="C45">IF(A45="","",INDEX(البيانات!$U$2:$U$265,A45))</f>
        <v>عايشة حسن كعبي</v>
      </c>
      <c r="D45" s="182" cm="1">
        <f t="array" ref="D45">IF(A45="","",INDEX(البيانات!$T$2:$T$265,A45))</f>
        <v>0</v>
      </c>
      <c r="E45" s="182" t="str" cm="1">
        <f t="array" ref="E45">IF(A45="","",INDEX(البيانات!$F$2:$F$265,A45))</f>
        <v>القطاع المركزي</v>
      </c>
      <c r="F45" s="182" t="str" cm="1">
        <f t="array" ref="F45">IF(A45="","",INDEX(البيانات!$Y$2:$Y$265,A45))</f>
        <v>0554734665</v>
      </c>
      <c r="G45" s="281"/>
      <c r="H45" s="281"/>
      <c r="I45" s="184" cm="1">
        <f t="array" ref="I45">IF(A45="","",INDEX(البيانات!$P$2:$P$265,A45))</f>
        <v>46110</v>
      </c>
      <c r="J45" s="283" t="str" cm="1">
        <f t="array" ref="J45">IF(A45="","",INDEX(البيانات!$AI$2:$AI$265,A45))</f>
        <v>31/3/2026</v>
      </c>
      <c r="K45" s="183" t="str">
        <f>IF(OR(A45="",J45="",I45=""),"",IF(NETWORKDAYS.INTL(I45,J45,"0000011")-1&lt;=2,"✅ ملتزم","❌ غير ملتزم"))</f>
        <v>✅ ملتزم</v>
      </c>
      <c r="L45" s="285" t="str" cm="1">
        <f t="array" ref="L45">IF(A45="","",INDEX(البيانات!$AJ$2:$AJ$265,A45))</f>
        <v>تم الحضور</v>
      </c>
      <c r="M45" s="286"/>
      <c r="N45" s="288"/>
      <c r="O45" s="167"/>
    </row>
    <row r="46" spans="1:15">
      <c r="A46" s="112" cm="1">
        <f t="array" ref="A46">IFERROR(SMALL(IF(البيانات!$AS$2:$AS$265="مستشفى جازان العام",البيانات!$AT$2:$AT$265),44),"")</f>
        <v>87</v>
      </c>
      <c r="B46" s="112" t="str" cm="1">
        <f t="array" ref="B46">IF(A46="","",INDEX(البيانات!$V$2:$V$265,A46))</f>
        <v>1096368681</v>
      </c>
      <c r="C46" s="112" t="str" cm="1">
        <f t="array" ref="C46">IF(A46="","",INDEX(البيانات!$U$2:$U$265,A46))</f>
        <v>نوف جبريل محمد مسلط</v>
      </c>
      <c r="D46" s="112" cm="1">
        <f t="array" ref="D46">IF(A46="","",INDEX(البيانات!$T$2:$T$265,A46))</f>
        <v>0</v>
      </c>
      <c r="E46" s="112" t="str" cm="1">
        <f t="array" ref="E46">IF(A46="","",INDEX(البيانات!$F$2:$F$265,A46))</f>
        <v>القطاع المركزي</v>
      </c>
      <c r="F46" s="112" t="str" cm="1">
        <f t="array" ref="F46">IF(A46="","",INDEX(البيانات!$Y$2:$Y$265,A46))</f>
        <v>0501805894</v>
      </c>
      <c r="G46" s="280"/>
      <c r="H46" s="280"/>
      <c r="I46" s="181" cm="1">
        <f t="array" ref="I46">IF(A46="","",INDEX(البيانات!$P$2:$P$265,A46))</f>
        <v>46111</v>
      </c>
      <c r="J46" s="282" t="str" cm="1">
        <f t="array" ref="J46">IF(A46="","",INDEX(البيانات!$AI$2:$AI$265,A46))</f>
        <v>1/4/2026</v>
      </c>
      <c r="K46" s="109" t="str">
        <f>IF(OR(A46="",J46="",I46=""),"",IF(NETWORKDAYS.INTL(I46,J46,"0000011")-1&lt;=2,"✅ ملتزم","❌ غير ملتزم"))</f>
        <v>✅ ملتزم</v>
      </c>
      <c r="L46" s="284" t="str" cm="1">
        <f t="array" ref="L46">IF(A46="","",INDEX(البيانات!$AJ$2:$AJ$265,A46))</f>
        <v>تم الحضور</v>
      </c>
      <c r="M46" s="286"/>
      <c r="N46" s="288"/>
      <c r="O46" s="167"/>
    </row>
    <row r="47" spans="1:15">
      <c r="A47" s="182" cm="1">
        <f t="array" ref="A47">IFERROR(SMALL(IF(البيانات!$AS$2:$AS$265="مستشفى جازان العام",البيانات!$AT$2:$AT$265),45),"")</f>
        <v>88</v>
      </c>
      <c r="B47" s="182" t="str" cm="1">
        <f t="array" ref="B47">IF(A47="","",INDEX(البيانات!$V$2:$V$265,A47))</f>
        <v>1086837117</v>
      </c>
      <c r="C47" s="182" t="str" cm="1">
        <f t="array" ref="C47">IF(A47="","",INDEX(البيانات!$U$2:$U$265,A47))</f>
        <v>ليلى حيدر محمد الشريف</v>
      </c>
      <c r="D47" s="182" cm="1">
        <f t="array" ref="D47">IF(A47="","",INDEX(البيانات!$T$2:$T$265,A47))</f>
        <v>0</v>
      </c>
      <c r="E47" s="182" t="str" cm="1">
        <f t="array" ref="E47">IF(A47="","",INDEX(البيانات!$F$2:$F$265,A47))</f>
        <v>القطاع المركزي</v>
      </c>
      <c r="F47" s="182" t="str" cm="1">
        <f t="array" ref="F47">IF(A47="","",INDEX(البيانات!$Y$2:$Y$265,A47))</f>
        <v>0501967093</v>
      </c>
      <c r="G47" s="281"/>
      <c r="H47" s="281"/>
      <c r="I47" s="184" cm="1">
        <f t="array" ref="I47">IF(A47="","",INDEX(البيانات!$P$2:$P$265,A47))</f>
        <v>46111</v>
      </c>
      <c r="J47" s="283" t="str" cm="1">
        <f t="array" ref="J47">IF(A47="","",INDEX(البيانات!$AI$2:$AI$265,A47))</f>
        <v>1/4/2026</v>
      </c>
      <c r="K47" s="183" t="str">
        <f>IF(OR(A47="",J47="",I47=""),"",IF(NETWORKDAYS.INTL(I47,J47,"0000011")-1&lt;=2,"✅ ملتزم","❌ غير ملتزم"))</f>
        <v>✅ ملتزم</v>
      </c>
      <c r="L47" s="285" t="str" cm="1">
        <f t="array" ref="L47">IF(A47="","",INDEX(البيانات!$AJ$2:$AJ$265,A47))</f>
        <v>تم الحضور</v>
      </c>
      <c r="M47" s="286"/>
      <c r="N47" s="288"/>
      <c r="O47" s="167"/>
    </row>
    <row r="48" spans="1:15">
      <c r="A48" s="112" cm="1">
        <f t="array" ref="A48">IFERROR(SMALL(IF(البيانات!$AS$2:$AS$265="مستشفى جازان العام",البيانات!$AT$2:$AT$265),46),"")</f>
        <v>89</v>
      </c>
      <c r="B48" s="112" t="str" cm="1">
        <f t="array" ref="B48">IF(A48="","",INDEX(البيانات!$V$2:$V$265,A48))</f>
        <v>1078627823</v>
      </c>
      <c r="C48" s="112" t="str" cm="1">
        <f t="array" ref="C48">IF(A48="","",INDEX(البيانات!$U$2:$U$265,A48))</f>
        <v>همس محمد جبران</v>
      </c>
      <c r="D48" s="112" cm="1">
        <f t="array" ref="D48">IF(A48="","",INDEX(البيانات!$T$2:$T$265,A48))</f>
        <v>0</v>
      </c>
      <c r="E48" s="112" t="str" cm="1">
        <f t="array" ref="E48">IF(A48="","",INDEX(البيانات!$F$2:$F$265,A48))</f>
        <v>القطاع المركزي</v>
      </c>
      <c r="F48" s="112" t="str" cm="1">
        <f t="array" ref="F48">IF(A48="","",INDEX(البيانات!$Y$2:$Y$265,A48))</f>
        <v>0533880737</v>
      </c>
      <c r="G48" s="280"/>
      <c r="H48" s="280"/>
      <c r="I48" s="181" cm="1">
        <f t="array" ref="I48">IF(A48="","",INDEX(البيانات!$P$2:$P$265,A48))</f>
        <v>46111</v>
      </c>
      <c r="J48" s="282" t="str" cm="1">
        <f t="array" ref="J48">IF(A48="","",INDEX(البيانات!$AI$2:$AI$265,A48))</f>
        <v>1/4/2026</v>
      </c>
      <c r="K48" s="112" t="str">
        <f>IF(OR(A48="",J48="",I48=""),"",IF(NETWORKDAYS.INTL(I48,J48,"0000011")-1&lt;=2,"✅ ملتزم","❌ غير ملتزم"))</f>
        <v>✅ ملتزم</v>
      </c>
      <c r="L48" s="284" t="str" cm="1">
        <f t="array" ref="L48">IF(A48="","",INDEX(البيانات!$AJ$2:$AJ$265,A48))</f>
        <v>تم الحضور</v>
      </c>
      <c r="M48" s="286"/>
      <c r="N48" s="288"/>
      <c r="O48" s="167"/>
    </row>
    <row r="49" spans="1:15">
      <c r="A49" s="182" cm="1">
        <f t="array" ref="A49">IFERROR(SMALL(IF(البيانات!$AS$2:$AS$265="مستشفى جازان العام",البيانات!$AT$2:$AT$265),47),"")</f>
        <v>90</v>
      </c>
      <c r="B49" s="182" t="str" cm="1">
        <f t="array" ref="B49">IF(A49="","",INDEX(البيانات!$V$2:$V$265,A49))</f>
        <v>1112354889</v>
      </c>
      <c r="C49" s="182" t="str" cm="1">
        <f t="array" ref="C49">IF(A49="","",INDEX(البيانات!$U$2:$U$265,A49))</f>
        <v>فاتن ابراهيم اسماعيل العاكش</v>
      </c>
      <c r="D49" s="182" cm="1">
        <f t="array" ref="D49">IF(A49="","",INDEX(البيانات!$T$2:$T$265,A49))</f>
        <v>0</v>
      </c>
      <c r="E49" s="182" t="str" cm="1">
        <f t="array" ref="E49">IF(A49="","",INDEX(البيانات!$F$2:$F$265,A49))</f>
        <v>القطاع المركزي</v>
      </c>
      <c r="F49" s="182" t="str" cm="1">
        <f t="array" ref="F49">IF(A49="","",INDEX(البيانات!$Y$2:$Y$265,A49))</f>
        <v>0552724512</v>
      </c>
      <c r="G49" s="281"/>
      <c r="H49" s="281"/>
      <c r="I49" s="184" cm="1">
        <f t="array" ref="I49">IF(A49="","",INDEX(البيانات!$P$2:$P$265,A49))</f>
        <v>46111</v>
      </c>
      <c r="J49" s="283" t="str" cm="1">
        <f t="array" ref="J49">IF(A49="","",INDEX(البيانات!$AI$2:$AI$265,A49))</f>
        <v>1/4/2026</v>
      </c>
      <c r="K49" s="182" t="str">
        <f>IF(OR(A49="",J49="",I49=""),"",IF(NETWORKDAYS.INTL(I49,J49,"0000011")-1&lt;=2,"✅ ملتزم","❌ غير ملتزم"))</f>
        <v>✅ ملتزم</v>
      </c>
      <c r="L49" s="285" t="str" cm="1">
        <f t="array" ref="L49">IF(A49="","",INDEX(البيانات!$AJ$2:$AJ$265,A49))</f>
        <v>تم الحضور</v>
      </c>
      <c r="M49" s="286"/>
      <c r="N49" s="288"/>
      <c r="O49" s="167"/>
    </row>
    <row r="50" spans="1:15">
      <c r="A50" s="112" cm="1">
        <f t="array" ref="A50">IFERROR(SMALL(IF(البيانات!$AS$2:$AS$265="مستشفى جازان العام",البيانات!$AT$2:$AT$265),48),"")</f>
        <v>94</v>
      </c>
      <c r="B50" s="112" t="str" cm="1">
        <f t="array" ref="B50">IF(A50="","",INDEX(البيانات!$V$2:$V$265,A50))</f>
        <v>2351094525</v>
      </c>
      <c r="C50" s="112" t="str" cm="1">
        <f t="array" ref="C50">IF(A50="","",INDEX(البيانات!$U$2:$U$265,A50))</f>
        <v>geehan mohammed jaafer</v>
      </c>
      <c r="D50" s="112" cm="1">
        <f t="array" ref="D50">IF(A50="","",INDEX(البيانات!$T$2:$T$265,A50))</f>
        <v>0</v>
      </c>
      <c r="E50" s="112" t="str" cm="1">
        <f t="array" ref="E50">IF(A50="","",INDEX(البيانات!$F$2:$F$265,A50))</f>
        <v>القطاع المركزي</v>
      </c>
      <c r="F50" s="112" t="str" cm="1">
        <f t="array" ref="F50">IF(A50="","",INDEX(البيانات!$Y$2:$Y$265,A50))</f>
        <v>0533735547</v>
      </c>
      <c r="G50" s="280"/>
      <c r="H50" s="280"/>
      <c r="I50" s="181" cm="1">
        <f t="array" ref="I50">IF(A50="","",INDEX(البيانات!$P$2:$P$265,A50))</f>
        <v>46111</v>
      </c>
      <c r="J50" s="282" t="str" cm="1">
        <f t="array" ref="J50">IF(A50="","",INDEX(البيانات!$AI$2:$AI$265,A50))</f>
        <v>1/4/2026</v>
      </c>
      <c r="K50" s="109" t="str">
        <f>IF(OR(A50="",J50="",I50=""),"",IF(NETWORKDAYS.INTL(I50,J50,"0000011")-1&lt;=2,"✅ ملتزم","❌ غير ملتزم"))</f>
        <v>✅ ملتزم</v>
      </c>
      <c r="L50" s="284" t="str" cm="1">
        <f t="array" ref="L50">IF(A50="","",INDEX(البيانات!$AJ$2:$AJ$265,A50))</f>
        <v>تم الحضور</v>
      </c>
      <c r="M50" s="287"/>
      <c r="N50" s="288"/>
      <c r="O50" s="167"/>
    </row>
    <row r="51" spans="1:15">
      <c r="A51" s="182" cm="1">
        <f t="array" ref="A51">IFERROR(SMALL(IF(البيانات!$AS$2:$AS$265="مستشفى جازان العام",البيانات!$AT$2:$AT$265),49),"")</f>
        <v>96</v>
      </c>
      <c r="B51" s="182" t="str" cm="1">
        <f t="array" ref="B51">IF(A51="","",INDEX(البيانات!$V$2:$V$265,A51))</f>
        <v>1103225635</v>
      </c>
      <c r="C51" s="182" t="str" cm="1">
        <f t="array" ref="C51">IF(A51="","",INDEX(البيانات!$U$2:$U$265,A51))</f>
        <v>JAWAHER ABDULAZIZ ABDULATHIM MAHMOUD</v>
      </c>
      <c r="D51" s="182" cm="1">
        <f t="array" ref="D51">IF(A51="","",INDEX(البيانات!$T$2:$T$265,A51))</f>
        <v>0</v>
      </c>
      <c r="E51" s="182" t="str" cm="1">
        <f t="array" ref="E51">IF(A51="","",INDEX(البيانات!$F$2:$F$265,A51))</f>
        <v>القطاع المركزي</v>
      </c>
      <c r="F51" s="182" t="str" cm="1">
        <f t="array" ref="F51">IF(A51="","",INDEX(البيانات!$Y$2:$Y$265,A51))</f>
        <v>0550971142</v>
      </c>
      <c r="G51" s="281"/>
      <c r="H51" s="281"/>
      <c r="I51" s="184" cm="1">
        <f t="array" ref="I51">IF(A51="","",INDEX(البيانات!$P$2:$P$265,A51))</f>
        <v>46111</v>
      </c>
      <c r="J51" s="283" t="str" cm="1">
        <f t="array" ref="J51">IF(A51="","",INDEX(البيانات!$AI$2:$AI$265,A51))</f>
        <v>1/4/2026</v>
      </c>
      <c r="K51" s="183" t="str">
        <f>IF(OR(A51="",J51="",I51=""),"",IF(NETWORKDAYS.INTL(I51,J51,"0000011")-1&lt;=2,"✅ ملتزم","❌ غير ملتزم"))</f>
        <v>✅ ملتزم</v>
      </c>
      <c r="L51" s="285" t="str" cm="1">
        <f t="array" ref="L51">IF(A51="","",INDEX(البيانات!$AJ$2:$AJ$265,A51))</f>
        <v>لم يتم الرد</v>
      </c>
      <c r="M51" s="287"/>
      <c r="N51" s="288"/>
      <c r="O51" s="167"/>
    </row>
    <row r="52" spans="1:15">
      <c r="A52" s="112" cm="1">
        <f t="array" ref="A52">IFERROR(SMALL(IF(البيانات!$AS$2:$AS$265="مستشفى جازان العام",البيانات!$AT$2:$AT$265),50),"")</f>
        <v>98</v>
      </c>
      <c r="B52" s="112" t="str" cm="1">
        <f t="array" ref="B52">IF(A52="","",INDEX(البيانات!$V$2:$V$265,A52))</f>
        <v>1099762732</v>
      </c>
      <c r="C52" s="112" t="str" cm="1">
        <f t="array" ref="C52">IF(A52="","",INDEX(البيانات!$U$2:$U$265,A52))</f>
        <v>SARAB ALI HAKAMY</v>
      </c>
      <c r="D52" s="112" cm="1">
        <f t="array" ref="D52">IF(A52="","",INDEX(البيانات!$T$2:$T$265,A52))</f>
        <v>0</v>
      </c>
      <c r="E52" s="112" t="str" cm="1">
        <f t="array" ref="E52">IF(A52="","",INDEX(البيانات!$F$2:$F$265,A52))</f>
        <v>القطاع المركزي</v>
      </c>
      <c r="F52" s="112" t="str" cm="1">
        <f t="array" ref="F52">IF(A52="","",INDEX(البيانات!$Y$2:$Y$265,A52))</f>
        <v>0536561328</v>
      </c>
      <c r="G52" s="280"/>
      <c r="H52" s="280"/>
      <c r="I52" s="181" cm="1">
        <f t="array" ref="I52">IF(A52="","",INDEX(البيانات!$P$2:$P$265,A52))</f>
        <v>46112</v>
      </c>
      <c r="J52" s="282" t="str" cm="1">
        <f t="array" ref="J52">IF(A52="","",INDEX(البيانات!$AI$2:$AI$265,A52))</f>
        <v>1/4/2026</v>
      </c>
      <c r="K52" s="109" t="str">
        <f>IF(OR(A52="",J52="",I52=""),"",IF(NETWORKDAYS.INTL(I52,J52,"0000011")-1&lt;=2,"✅ ملتزم","❌ غير ملتزم"))</f>
        <v>✅ ملتزم</v>
      </c>
      <c r="L52" s="284" t="str" cm="1">
        <f t="array" ref="L52">IF(A52="","",INDEX(البيانات!$AJ$2:$AJ$265,A52))</f>
        <v>لم يتم الرد</v>
      </c>
      <c r="M52" s="287"/>
      <c r="N52" s="288"/>
      <c r="O52" s="167"/>
    </row>
    <row r="53" spans="1:15">
      <c r="A53" s="182" cm="1">
        <f t="array" ref="A53">IFERROR(SMALL(IF(البيانات!$AS$2:$AS$265="مستشفى جازان العام",البيانات!$AT$2:$AT$265),51),"")</f>
        <v>100</v>
      </c>
      <c r="B53" s="182" t="str" cm="1">
        <f t="array" ref="B53">IF(A53="","",INDEX(البيانات!$V$2:$V$265,A53))</f>
        <v>1112079874</v>
      </c>
      <c r="C53" s="182" t="str" cm="1">
        <f t="array" ref="C53">IF(A53="","",INDEX(البيانات!$U$2:$U$265,A53))</f>
        <v>FATIMA IBRAHIM</v>
      </c>
      <c r="D53" s="182" cm="1">
        <f t="array" ref="D53">IF(A53="","",INDEX(البيانات!$T$2:$T$265,A53))</f>
        <v>0</v>
      </c>
      <c r="E53" s="182" t="str" cm="1">
        <f t="array" ref="E53">IF(A53="","",INDEX(البيانات!$F$2:$F$265,A53))</f>
        <v>القطاع المركزي</v>
      </c>
      <c r="F53" s="182" t="str" cm="1">
        <f t="array" ref="F53">IF(A53="","",INDEX(البيانات!$Y$2:$Y$265,A53))</f>
        <v>0530464607</v>
      </c>
      <c r="G53" s="281"/>
      <c r="H53" s="281"/>
      <c r="I53" s="184" cm="1">
        <f t="array" ref="I53">IF(A53="","",INDEX(البيانات!$P$2:$P$265,A53))</f>
        <v>46112</v>
      </c>
      <c r="J53" s="283" t="str" cm="1">
        <f t="array" ref="J53">IF(A53="","",INDEX(البيانات!$AI$2:$AI$265,A53))</f>
        <v>1/4/2026</v>
      </c>
      <c r="K53" s="183" t="str">
        <f>IF(OR(A53="",J53="",I53=""),"",IF(NETWORKDAYS.INTL(I53,J53,"0000011")-1&lt;=2,"✅ ملتزم","❌ غير ملتزم"))</f>
        <v>✅ ملتزم</v>
      </c>
      <c r="L53" s="285" t="str" cm="1">
        <f t="array" ref="L53">IF(A53="","",INDEX(البيانات!$AJ$2:$AJ$265,A53))</f>
        <v>تم الحضور</v>
      </c>
      <c r="M53" s="287"/>
      <c r="N53" s="288"/>
      <c r="O53" s="167"/>
    </row>
    <row r="54" spans="1:15">
      <c r="A54" s="112" cm="1">
        <f t="array" ref="A54">IFERROR(SMALL(IF(البيانات!$AS$2:$AS$265="مستشفى جازان العام",البيانات!$AT$2:$AT$265),52),"")</f>
        <v>101</v>
      </c>
      <c r="B54" s="112" t="str" cm="1">
        <f t="array" ref="B54">IF(A54="","",INDEX(البيانات!$V$2:$V$265,A54))</f>
        <v>1068233848</v>
      </c>
      <c r="C54" s="112" t="str" cm="1">
        <f t="array" ref="C54">IF(A54="","",INDEX(البيانات!$U$2:$U$265,A54))</f>
        <v>RAJA OMER</v>
      </c>
      <c r="D54" s="112" cm="1">
        <f t="array" ref="D54">IF(A54="","",INDEX(البيانات!$T$2:$T$265,A54))</f>
        <v>0</v>
      </c>
      <c r="E54" s="112" t="str" cm="1">
        <f t="array" ref="E54">IF(A54="","",INDEX(البيانات!$F$2:$F$265,A54))</f>
        <v>القطاع المركزي</v>
      </c>
      <c r="F54" s="112" t="str" cm="1">
        <f t="array" ref="F54">IF(A54="","",INDEX(البيانات!$Y$2:$Y$265,A54))</f>
        <v>0535400811</v>
      </c>
      <c r="G54" s="280"/>
      <c r="H54" s="280"/>
      <c r="I54" s="181" cm="1">
        <f t="array" ref="I54">IF(A54="","",INDEX(البيانات!$P$2:$P$265,A54))</f>
        <v>46112</v>
      </c>
      <c r="J54" s="282" t="str" cm="1">
        <f t="array" ref="J54">IF(A54="","",INDEX(البيانات!$AI$2:$AI$265,A54))</f>
        <v>1/4/2026</v>
      </c>
      <c r="K54" s="109" t="str">
        <f>IF(OR(A54="",J54="",I54=""),"",IF(NETWORKDAYS.INTL(I54,J54,"0000011")-1&lt;=2,"✅ ملتزم","❌ غير ملتزم"))</f>
        <v>✅ ملتزم</v>
      </c>
      <c r="L54" s="284" t="str" cm="1">
        <f t="array" ref="L54">IF(A54="","",INDEX(البيانات!$AJ$2:$AJ$265,A54))</f>
        <v>تم الحضور</v>
      </c>
      <c r="M54" s="287"/>
      <c r="N54" s="288"/>
      <c r="O54" s="167"/>
    </row>
    <row r="55" spans="1:15">
      <c r="A55" s="182" cm="1">
        <f t="array" ref="A55">IFERROR(SMALL(IF(البيانات!$AS$2:$AS$265="مستشفى جازان العام",البيانات!$AT$2:$AT$265),53),"")</f>
        <v>102</v>
      </c>
      <c r="B55" s="182" t="str" cm="1">
        <f t="array" ref="B55">IF(A55="","",INDEX(البيانات!$V$2:$V$265,A55))</f>
        <v>2629412558</v>
      </c>
      <c r="C55" s="182" t="str" cm="1">
        <f t="array" ref="C55">IF(A55="","",INDEX(البيانات!$U$2:$U$265,A55))</f>
        <v>KULUD AHMED</v>
      </c>
      <c r="D55" s="182" cm="1">
        <f t="array" ref="D55">IF(A55="","",INDEX(البيانات!$T$2:$T$265,A55))</f>
        <v>0</v>
      </c>
      <c r="E55" s="182" t="str" cm="1">
        <f t="array" ref="E55">IF(A55="","",INDEX(البيانات!$F$2:$F$265,A55))</f>
        <v>القطاع المركزي</v>
      </c>
      <c r="F55" s="182" t="str" cm="1">
        <f t="array" ref="F55">IF(A55="","",INDEX(البيانات!$Y$2:$Y$265,A55))</f>
        <v>0533769399</v>
      </c>
      <c r="G55" s="281"/>
      <c r="H55" s="281"/>
      <c r="I55" s="184" cm="1">
        <f t="array" ref="I55">IF(A55="","",INDEX(البيانات!$P$2:$P$265,A55))</f>
        <v>46112</v>
      </c>
      <c r="J55" s="283" t="str" cm="1">
        <f t="array" ref="J55">IF(A55="","",INDEX(البيانات!$AI$2:$AI$265,A55))</f>
        <v>1/4/2026</v>
      </c>
      <c r="K55" s="183" t="str">
        <f>IF(OR(A55="",J55="",I55=""),"",IF(NETWORKDAYS.INTL(I55,J55,"0000011")-1&lt;=2,"✅ ملتزم","❌ غير ملتزم"))</f>
        <v>✅ ملتزم</v>
      </c>
      <c r="L55" s="285" t="str" cm="1">
        <f t="array" ref="L55">IF(A55="","",INDEX(البيانات!$AJ$2:$AJ$265,A55))</f>
        <v>تم الحضور</v>
      </c>
      <c r="M55" s="287"/>
      <c r="N55" s="288"/>
      <c r="O55" s="167"/>
    </row>
    <row r="56" spans="1:15">
      <c r="A56" s="112" cm="1">
        <f t="array" ref="A56">IFERROR(SMALL(IF(البيانات!$AS$2:$AS$265="مستشفى جازان العام",البيانات!$AT$2:$AT$265),54),"")</f>
        <v>104</v>
      </c>
      <c r="B56" s="112" t="str" cm="1">
        <f t="array" ref="B56">IF(A56="","",INDEX(البيانات!$V$2:$V$265,A56))</f>
        <v>1078210844</v>
      </c>
      <c r="C56" s="112" t="str" cm="1">
        <f t="array" ref="C56">IF(A56="","",INDEX(البيانات!$U$2:$U$265,A56))</f>
        <v>NORAH ARWAD</v>
      </c>
      <c r="D56" s="112" cm="1">
        <f t="array" ref="D56">IF(A56="","",INDEX(البيانات!$T$2:$T$265,A56))</f>
        <v>36</v>
      </c>
      <c r="E56" s="112" t="str" cm="1">
        <f t="array" ref="E56">IF(A56="","",INDEX(البيانات!$F$2:$F$265,A56))</f>
        <v>القطاع المركزي</v>
      </c>
      <c r="F56" s="112" t="str" cm="1">
        <f t="array" ref="F56">IF(A56="","",INDEX(البيانات!$Y$2:$Y$265,A56))</f>
        <v>0559165210</v>
      </c>
      <c r="G56" s="280"/>
      <c r="H56" s="280"/>
      <c r="I56" s="181" cm="1">
        <f t="array" ref="I56">IF(A56="","",INDEX(البيانات!$P$2:$P$265,A56))</f>
        <v>46112</v>
      </c>
      <c r="J56" s="282" t="str" cm="1">
        <f t="array" ref="J56">IF(A56="","",INDEX(البيانات!$AI$2:$AI$265,A56))</f>
        <v>1/4/2026</v>
      </c>
      <c r="K56" s="109" t="str">
        <f>IF(OR(A56="",J56="",I56=""),"",IF(NETWORKDAYS.INTL(I56,J56,"0000011")-1&lt;=2,"✅ ملتزم","❌ غير ملتزم"))</f>
        <v>✅ ملتزم</v>
      </c>
      <c r="L56" s="284" t="str" cm="1">
        <f t="array" ref="L56">IF(A56="","",INDEX(البيانات!$AJ$2:$AJ$265,A56))</f>
        <v>تم الحضور</v>
      </c>
      <c r="M56" s="287"/>
      <c r="N56" s="288"/>
      <c r="O56" s="167"/>
    </row>
    <row r="57" spans="1:15">
      <c r="A57" s="182" cm="1">
        <f t="array" ref="A57">IFERROR(SMALL(IF(البيانات!$AS$2:$AS$265="مستشفى جازان العام",البيانات!$AT$2:$AT$265),55),"")</f>
        <v>110</v>
      </c>
      <c r="B57" s="182" t="str" cm="1">
        <f t="array" ref="B57">IF(A57="","",INDEX(البيانات!$V$2:$V$265,A57))</f>
        <v>1042803070</v>
      </c>
      <c r="C57" s="182" t="str" cm="1">
        <f t="array" ref="C57">IF(A57="","",INDEX(البيانات!$U$2:$U$265,A57))</f>
        <v>WUSHAYLAH MOFAREH BIN YAHYA MUFDI</v>
      </c>
      <c r="D57" s="182" cm="1">
        <f t="array" ref="D57">IF(A57="","",INDEX(البيانات!$T$2:$T$265,A57))</f>
        <v>39</v>
      </c>
      <c r="E57" s="182" t="str" cm="1">
        <f t="array" ref="E57">IF(A57="","",INDEX(البيانات!$F$2:$F$265,A57))</f>
        <v>القطاع الجبلي Aljabaly Sector</v>
      </c>
      <c r="F57" s="182" t="str" cm="1">
        <f t="array" ref="F57">IF(A57="","",INDEX(البيانات!$Y$2:$Y$265,A57))</f>
        <v>0557493829</v>
      </c>
      <c r="G57" s="281"/>
      <c r="H57" s="281"/>
      <c r="I57" s="184" cm="1">
        <f t="array" ref="I57">IF(A57="","",INDEX(البيانات!$P$2:$P$265,A57))</f>
        <v>46113</v>
      </c>
      <c r="J57" s="283" cm="1">
        <f t="array" ref="J57">IF(A57="","",INDEX(البيانات!$AI$2:$AI$265,A57))</f>
        <v>46114</v>
      </c>
      <c r="K57" s="183" t="str">
        <f>IF(OR(A57="",J57="",I57=""),"",IF(NETWORKDAYS.INTL(I57,J57,"0000011")-1&lt;=2,"✅ ملتزم","❌ غير ملتزم"))</f>
        <v>✅ ملتزم</v>
      </c>
      <c r="L57" s="285" t="str" cm="1">
        <f t="array" ref="L57">IF(A57="","",INDEX(البيانات!$AJ$2:$AJ$265,A57))</f>
        <v>حضرت</v>
      </c>
      <c r="M57" s="287"/>
      <c r="N57" s="288"/>
      <c r="O57" s="167"/>
    </row>
    <row r="58" spans="1:15">
      <c r="A58" s="112" cm="1">
        <f t="array" ref="A58">IFERROR(SMALL(IF(البيانات!$AS$2:$AS$265="مستشفى جازان العام",البيانات!$AT$2:$AT$265),56),"")</f>
        <v>114</v>
      </c>
      <c r="B58" s="112" t="str" cm="1">
        <f t="array" ref="B58">IF(A58="","",INDEX(البيانات!$V$2:$V$265,A58))</f>
        <v>1131498006</v>
      </c>
      <c r="C58" s="112" t="str" cm="1">
        <f t="array" ref="C58">IF(A58="","",INDEX(البيانات!$U$2:$U$265,A58))</f>
        <v>KHADEJA AHMED ALI SARWI</v>
      </c>
      <c r="D58" s="112" cm="1">
        <f t="array" ref="D58">IF(A58="","",INDEX(البيانات!$T$2:$T$265,A58))</f>
        <v>34</v>
      </c>
      <c r="E58" s="112" t="str" cm="1">
        <f t="array" ref="E58">IF(A58="","",INDEX(البيانات!$F$2:$F$265,A58))</f>
        <v>القطاع الأوسط Middle Sector</v>
      </c>
      <c r="F58" s="112" t="str" cm="1">
        <f t="array" ref="F58">IF(A58="","",INDEX(البيانات!$Y$2:$Y$265,A58))</f>
        <v>0504465903</v>
      </c>
      <c r="G58" s="280"/>
      <c r="H58" s="280"/>
      <c r="I58" s="181" cm="1">
        <f t="array" ref="I58">IF(A58="","",INDEX(البيانات!$P$2:$P$265,A58))</f>
        <v>46114</v>
      </c>
      <c r="J58" s="282" cm="1">
        <f t="array" ref="J58">IF(A58="","",INDEX(البيانات!$AI$2:$AI$265,A58))</f>
        <v>46118</v>
      </c>
      <c r="K58" s="109" t="str">
        <f>IF(OR(A58="",J58="",I58=""),"",IF(NETWORKDAYS.INTL(I58,J58,"0000011")-1&lt;=2,"✅ ملتزم","❌ غير ملتزم"))</f>
        <v>✅ ملتزم</v>
      </c>
      <c r="L58" s="284" t="str" cm="1">
        <f t="array" ref="L58">IF(A58="","",INDEX(البيانات!$AJ$2:$AJ$265,A58))</f>
        <v>حضرت</v>
      </c>
      <c r="M58" s="287"/>
      <c r="N58" s="288"/>
      <c r="O58" s="167"/>
    </row>
    <row r="59" spans="1:15">
      <c r="A59" s="182" cm="1">
        <f t="array" ref="A59">IFERROR(SMALL(IF(البيانات!$AS$2:$AS$265="مستشفى جازان العام",البيانات!$AT$2:$AT$265),57),"")</f>
        <v>116</v>
      </c>
      <c r="B59" s="182" t="str" cm="1">
        <f t="array" ref="B59">IF(A59="","",INDEX(البيانات!$V$2:$V$265,A59))</f>
        <v>1083600526</v>
      </c>
      <c r="C59" s="182" t="str" cm="1">
        <f t="array" ref="C59">IF(A59="","",INDEX(البيانات!$U$2:$U$265,A59))</f>
        <v>laila zowalan hawas</v>
      </c>
      <c r="D59" s="182" cm="1">
        <f t="array" ref="D59">IF(A59="","",INDEX(البيانات!$T$2:$T$265,A59))</f>
        <v>39</v>
      </c>
      <c r="E59" s="182" t="str" cm="1">
        <f t="array" ref="E59">IF(A59="","",INDEX(البيانات!$F$2:$F$265,A59))</f>
        <v>القطاع الجبلي Aljabaly Sector</v>
      </c>
      <c r="F59" s="182" cm="1">
        <f t="array" ref="F59">IF(A59="","",INDEX(البيانات!$Y$2:$Y$265,A59))</f>
        <v>558710894</v>
      </c>
      <c r="G59" s="281"/>
      <c r="H59" s="281"/>
      <c r="I59" s="184" cm="1">
        <f t="array" ref="I59">IF(A59="","",INDEX(البيانات!$P$2:$P$265,A59))</f>
        <v>46114</v>
      </c>
      <c r="J59" s="283" cm="1">
        <f t="array" ref="J59">IF(A59="","",INDEX(البيانات!$AI$2:$AI$265,A59))</f>
        <v>46121</v>
      </c>
      <c r="K59" s="183" t="str">
        <f>IF(OR(A59="",J59="",I59=""),"",IF(NETWORKDAYS.INTL(I59,J59,"0000011")-1&lt;=2,"✅ ملتزم","❌ غير ملتزم"))</f>
        <v>❌ غير ملتزم</v>
      </c>
      <c r="L59" s="285" t="str" cm="1">
        <f t="array" ref="L59">IF(A59="","",INDEX(البيانات!$AJ$2:$AJ$265,A59))</f>
        <v>حضرت</v>
      </c>
      <c r="M59" s="287"/>
      <c r="N59" s="288"/>
      <c r="O59" s="167"/>
    </row>
    <row r="60" spans="1:15">
      <c r="A60" s="112" cm="1">
        <f t="array" ref="A60">IFERROR(SMALL(IF(البيانات!$AS$2:$AS$265="مستشفى جازان العام",البيانات!$AT$2:$AT$265),58),"")</f>
        <v>117</v>
      </c>
      <c r="B60" s="112" t="str" cm="1">
        <f t="array" ref="B60">IF(A60="","",INDEX(البيانات!$V$2:$V$265,A60))</f>
        <v>1102804414</v>
      </c>
      <c r="C60" s="112" t="str" cm="1">
        <f t="array" ref="C60">IF(A60="","",INDEX(البيانات!$U$2:$U$265,A60))</f>
        <v>عفراء حيدر عبده حكمي</v>
      </c>
      <c r="D60" s="112" cm="1">
        <f t="array" ref="D60">IF(A60="","",INDEX(البيانات!$T$2:$T$265,A60))</f>
        <v>29</v>
      </c>
      <c r="E60" s="112" t="str" cm="1">
        <f t="array" ref="E60">IF(A60="","",INDEX(البيانات!$F$2:$F$265,A60))</f>
        <v>القطاع المركزي Central Sector</v>
      </c>
      <c r="F60" s="112" t="str" cm="1">
        <f t="array" ref="F60">IF(A60="","",INDEX(البيانات!$Y$2:$Y$265,A60))</f>
        <v>559860193</v>
      </c>
      <c r="G60" s="280"/>
      <c r="H60" s="280"/>
      <c r="I60" s="181" cm="1">
        <f t="array" ref="I60">IF(A60="","",INDEX(البيانات!$P$2:$P$265,A60))</f>
        <v>46117</v>
      </c>
      <c r="J60" s="282" cm="1">
        <f t="array" ref="J60">IF(A60="","",INDEX(البيانات!$AI$2:$AI$265,A60))</f>
        <v>46121</v>
      </c>
      <c r="K60" s="109" t="str">
        <f>IF(OR(A60="",J60="",I60=""),"",IF(NETWORKDAYS.INTL(I60,J60,"0000011")-1&lt;=2,"✅ ملتزم","❌ غير ملتزم"))</f>
        <v>❌ غير ملتزم</v>
      </c>
      <c r="L60" s="284" t="str" cm="1">
        <f t="array" ref="L60">IF(A60="","",INDEX(البيانات!$AJ$2:$AJ$265,A60))</f>
        <v xml:space="preserve">لم تحضر </v>
      </c>
      <c r="M60" s="287"/>
      <c r="N60" s="288"/>
      <c r="O60" s="167"/>
    </row>
    <row r="61" spans="1:15">
      <c r="A61" s="182" cm="1">
        <f t="array" ref="A61">IFERROR(SMALL(IF(البيانات!$AS$2:$AS$265="مستشفى جازان العام",البيانات!$AT$2:$AT$265),59),"")</f>
        <v>118</v>
      </c>
      <c r="B61" s="182" t="str" cm="1">
        <f t="array" ref="B61">IF(A61="","",INDEX(البيانات!$V$2:$V$265,A61))</f>
        <v>1110832035</v>
      </c>
      <c r="C61" s="182" t="str" cm="1">
        <f t="array" ref="C61">IF(A61="","",INDEX(البيانات!$U$2:$U$265,A61))</f>
        <v>LAILA JABER ALI ADLAN</v>
      </c>
      <c r="D61" s="182" cm="1">
        <f t="array" ref="D61">IF(A61="","",INDEX(البيانات!$T$2:$T$265,A61))</f>
        <v>26</v>
      </c>
      <c r="E61" s="182" t="str" cm="1">
        <f t="array" ref="E61">IF(A61="","",INDEX(البيانات!$F$2:$F$265,A61))</f>
        <v>القطاع الغربي Western Sector</v>
      </c>
      <c r="F61" s="182" t="str" cm="1">
        <f t="array" ref="F61">IF(A61="","",INDEX(البيانات!$Y$2:$Y$265,A61))</f>
        <v>0504861278</v>
      </c>
      <c r="G61" s="281"/>
      <c r="H61" s="281"/>
      <c r="I61" s="184" cm="1">
        <f t="array" ref="I61">IF(A61="","",INDEX(البيانات!$P$2:$P$265,A61))</f>
        <v>46117</v>
      </c>
      <c r="J61" s="283" cm="1">
        <f t="array" ref="J61">IF(A61="","",INDEX(البيانات!$AI$2:$AI$265,A61))</f>
        <v>46128</v>
      </c>
      <c r="K61" s="183" t="str">
        <f>IF(OR(A61="",J61="",I61=""),"",IF(NETWORKDAYS.INTL(I61,J61,"0000011")-1&lt;=2,"✅ ملتزم","❌ غير ملتزم"))</f>
        <v>❌ غير ملتزم</v>
      </c>
      <c r="L61" s="285" t="str" cm="1">
        <f t="array" ref="L61">IF(A61="","",INDEX(البيانات!$AJ$2:$AJ$265,A61))</f>
        <v>تراجع بمستشفى اخر</v>
      </c>
      <c r="M61" s="287"/>
      <c r="N61" s="288"/>
      <c r="O61" s="167"/>
    </row>
    <row r="62" spans="1:15">
      <c r="A62" s="112" cm="1">
        <f t="array" ref="A62">IFERROR(SMALL(IF(البيانات!$AS$2:$AS$265="مستشفى جازان العام",البيانات!$AT$2:$AT$265),60),"")</f>
        <v>119</v>
      </c>
      <c r="B62" s="112" t="str" cm="1">
        <f t="array" ref="B62">IF(A62="","",INDEX(البيانات!$V$2:$V$265,A62))</f>
        <v>1012673784</v>
      </c>
      <c r="C62" s="112" t="str" cm="1">
        <f t="array" ref="C62">IF(A62="","",INDEX(البيانات!$U$2:$U$265,A62))</f>
        <v>خجة محمد حكمي</v>
      </c>
      <c r="D62" s="112" cm="1">
        <f t="array" ref="D62">IF(A62="","",INDEX(البيانات!$T$2:$T$265,A62))</f>
        <v>43</v>
      </c>
      <c r="E62" s="112" t="str" cm="1">
        <f t="array" ref="E62">IF(A62="","",INDEX(البيانات!$F$2:$F$265,A62))</f>
        <v>القطاع المركزي Central Sector</v>
      </c>
      <c r="F62" s="112" t="str" cm="1">
        <f t="array" ref="F62">IF(A62="","",INDEX(البيانات!$Y$2:$Y$265,A62))</f>
        <v>0509578967</v>
      </c>
      <c r="G62" s="280"/>
      <c r="H62" s="280"/>
      <c r="I62" s="181" cm="1">
        <f t="array" ref="I62">IF(A62="","",INDEX(البيانات!$P$2:$P$265,A62))</f>
        <v>46117</v>
      </c>
      <c r="J62" s="282" cm="1">
        <f t="array" ref="J62">IF(A62="","",INDEX(البيانات!$AI$2:$AI$265,A62))</f>
        <v>46121</v>
      </c>
      <c r="K62" s="109" t="str">
        <f>IF(OR(A62="",J62="",I62=""),"",IF(NETWORKDAYS.INTL(I62,J62,"0000011")-1&lt;=2,"✅ ملتزم","❌ غير ملتزم"))</f>
        <v>❌ غير ملتزم</v>
      </c>
      <c r="L62" s="284" t="str" cm="1">
        <f t="array" ref="L62">IF(A62="","",INDEX(البيانات!$AJ$2:$AJ$265,A62))</f>
        <v>حضرت</v>
      </c>
      <c r="M62" s="287"/>
      <c r="N62" s="288"/>
      <c r="O62" s="167"/>
    </row>
    <row r="63" spans="1:15">
      <c r="A63" s="182" cm="1">
        <f t="array" ref="A63">IFERROR(SMALL(IF(البيانات!$AS$2:$AS$265="مستشفى جازان العام",البيانات!$AT$2:$AT$265),61),"")</f>
        <v>120</v>
      </c>
      <c r="B63" s="182" t="str" cm="1">
        <f t="array" ref="B63">IF(A63="","",INDEX(البيانات!$V$2:$V$265,A63))</f>
        <v>1085003786</v>
      </c>
      <c r="C63" s="182" t="str" cm="1">
        <f t="array" ref="C63">IF(A63="","",INDEX(البيانات!$U$2:$U$265,A63))</f>
        <v>فاطمة علي حكمي</v>
      </c>
      <c r="D63" s="182" cm="1">
        <f t="array" ref="D63">IF(A63="","",INDEX(البيانات!$T$2:$T$265,A63))</f>
        <v>32</v>
      </c>
      <c r="E63" s="182" t="str" cm="1">
        <f t="array" ref="E63">IF(A63="","",INDEX(البيانات!$F$2:$F$265,A63))</f>
        <v>القطاع المركزي Central Sector</v>
      </c>
      <c r="F63" s="182" cm="1">
        <f t="array" ref="F63">IF(A63="","",INDEX(البيانات!$Y$2:$Y$265,A63))</f>
        <v>566787054</v>
      </c>
      <c r="G63" s="281"/>
      <c r="H63" s="281"/>
      <c r="I63" s="184" cm="1">
        <f t="array" ref="I63">IF(A63="","",INDEX(البيانات!$P$2:$P$265,A63))</f>
        <v>46117</v>
      </c>
      <c r="J63" s="283" cm="1">
        <f t="array" ref="J63">IF(A63="","",INDEX(البيانات!$AI$2:$AI$265,A63))</f>
        <v>46121</v>
      </c>
      <c r="K63" s="183" t="str">
        <f>IF(OR(A63="",J63="",I63=""),"",IF(NETWORKDAYS.INTL(I63,J63,"0000011")-1&lt;=2,"✅ ملتزم","❌ غير ملتزم"))</f>
        <v>❌ غير ملتزم</v>
      </c>
      <c r="L63" s="285" t="str" cm="1">
        <f t="array" ref="L63">IF(A63="","",INDEX(البيانات!$AJ$2:$AJ$265,A63))</f>
        <v>حضرت</v>
      </c>
      <c r="M63" s="287"/>
      <c r="N63" s="288"/>
      <c r="O63" s="167"/>
    </row>
    <row r="64" spans="1:15">
      <c r="A64" s="112" cm="1">
        <f t="array" ref="A64">IFERROR(SMALL(IF(البيانات!$AS$2:$AS$265="مستشفى جازان العام",البيانات!$AT$2:$AT$265),62),"")</f>
        <v>122</v>
      </c>
      <c r="B64" s="112" t="str" cm="1">
        <f t="array" ref="B64">IF(A64="","",INDEX(البيانات!$V$2:$V$265,A64))</f>
        <v>1064754193</v>
      </c>
      <c r="C64" s="112" t="str" cm="1">
        <f t="array" ref="C64">IF(A64="","",INDEX(البيانات!$U$2:$U$265,A64))</f>
        <v>اميرة حسن عيسى حكمي</v>
      </c>
      <c r="D64" s="112" cm="1">
        <f t="array" ref="D64">IF(A64="","",INDEX(البيانات!$T$2:$T$265,A64))</f>
        <v>36</v>
      </c>
      <c r="E64" s="112" t="str" cm="1">
        <f t="array" ref="E64">IF(A64="","",INDEX(البيانات!$F$2:$F$265,A64))</f>
        <v>القطاع المركزي Central Sector</v>
      </c>
      <c r="F64" s="112" t="str" cm="1">
        <f t="array" ref="F64">IF(A64="","",INDEX(البيانات!$Y$2:$Y$265,A64))</f>
        <v>0544499430</v>
      </c>
      <c r="G64" s="280"/>
      <c r="H64" s="280"/>
      <c r="I64" s="181" cm="1">
        <f t="array" ref="I64">IF(A64="","",INDEX(البيانات!$P$2:$P$265,A64))</f>
        <v>46117</v>
      </c>
      <c r="J64" s="282" cm="1">
        <f t="array" ref="J64">IF(A64="","",INDEX(البيانات!$AI$2:$AI$265,A64))</f>
        <v>46121</v>
      </c>
      <c r="K64" s="109" t="str">
        <f>IF(OR(A64="",J64="",I64=""),"",IF(NETWORKDAYS.INTL(I64,J64,"0000011")-1&lt;=2,"✅ ملتزم","❌ غير ملتزم"))</f>
        <v>❌ غير ملتزم</v>
      </c>
      <c r="L64" s="284" t="str" cm="1">
        <f t="array" ref="L64">IF(A64="","",INDEX(البيانات!$AJ$2:$AJ$265,A64))</f>
        <v>حضرت</v>
      </c>
      <c r="M64" s="287"/>
      <c r="N64" s="288"/>
      <c r="O64" s="167"/>
    </row>
    <row r="65" spans="1:15">
      <c r="A65" s="182" cm="1">
        <f t="array" ref="A65">IFERROR(SMALL(IF(البيانات!$AS$2:$AS$265="مستشفى جازان العام",البيانات!$AT$2:$AT$265),63),"")</f>
        <v>123</v>
      </c>
      <c r="B65" s="182" t="str" cm="1">
        <f t="array" ref="B65">IF(A65="","",INDEX(البيانات!$V$2:$V$265,A65))</f>
        <v>1098360264</v>
      </c>
      <c r="C65" s="182" t="str" cm="1">
        <f t="array" ref="C65">IF(A65="","",INDEX(البيانات!$U$2:$U$265,A65))</f>
        <v>AMAL MUSHARI ALKHAIRAT</v>
      </c>
      <c r="D65" s="182" cm="1">
        <f t="array" ref="D65">IF(A65="","",INDEX(البيانات!$T$2:$T$265,A65))</f>
        <v>29</v>
      </c>
      <c r="E65" s="182" t="str" cm="1">
        <f t="array" ref="E65">IF(A65="","",INDEX(البيانات!$F$2:$F$265,A65))</f>
        <v>القطاع المركزي Central Sector</v>
      </c>
      <c r="F65" s="182" t="str" cm="1">
        <f t="array" ref="F65">IF(A65="","",INDEX(البيانات!$Y$2:$Y$265,A65))</f>
        <v>0509699289</v>
      </c>
      <c r="G65" s="281"/>
      <c r="H65" s="281"/>
      <c r="I65" s="184" cm="1">
        <f t="array" ref="I65">IF(A65="","",INDEX(البيانات!$P$2:$P$265,A65))</f>
        <v>46117</v>
      </c>
      <c r="J65" s="283" cm="1">
        <f t="array" ref="J65">IF(A65="","",INDEX(البيانات!$AI$2:$AI$265,A65))</f>
        <v>46121</v>
      </c>
      <c r="K65" s="183" t="str">
        <f>IF(OR(A65="",J65="",I65=""),"",IF(NETWORKDAYS.INTL(I65,J65,"0000011")-1&lt;=2,"✅ ملتزم","❌ غير ملتزم"))</f>
        <v>❌ غير ملتزم</v>
      </c>
      <c r="L65" s="285" t="str" cm="1">
        <f t="array" ref="L65">IF(A65="","",INDEX(البيانات!$AJ$2:$AJ$265,A65))</f>
        <v>حضرت</v>
      </c>
      <c r="M65" s="287"/>
      <c r="N65" s="288"/>
      <c r="O65" s="167"/>
    </row>
    <row r="66" spans="1:15">
      <c r="A66" s="112" cm="1">
        <f t="array" ref="A66">IFERROR(SMALL(IF(البيانات!$AS$2:$AS$265="مستشفى جازان العام",البيانات!$AT$2:$AT$265),64),"")</f>
        <v>131</v>
      </c>
      <c r="B66" s="112" t="str" cm="1">
        <f t="array" ref="B66">IF(A66="","",INDEX(البيانات!$V$2:$V$265,A66))</f>
        <v>1100678240</v>
      </c>
      <c r="C66" s="112" t="str" cm="1">
        <f t="array" ref="C66">IF(A66="","",INDEX(البيانات!$U$2:$U$265,A66))</f>
        <v>لطيفه علي موسى حيدر</v>
      </c>
      <c r="D66" s="112" cm="1">
        <f t="array" ref="D66">IF(A66="","",INDEX(البيانات!$T$2:$T$265,A66))</f>
        <v>28</v>
      </c>
      <c r="E66" s="112" t="str" cm="1">
        <f t="array" ref="E66">IF(A66="","",INDEX(البيانات!$F$2:$F$265,A66))</f>
        <v>القطاع الغربي Western Sector</v>
      </c>
      <c r="F66" s="112" t="str" cm="1">
        <f t="array" ref="F66">IF(A66="","",INDEX(البيانات!$Y$2:$Y$265,A66))</f>
        <v>0538724440</v>
      </c>
      <c r="G66" s="280"/>
      <c r="H66" s="280"/>
      <c r="I66" s="181" cm="1">
        <f t="array" ref="I66">IF(A66="","",INDEX(البيانات!$P$2:$P$265,A66))</f>
        <v>46119</v>
      </c>
      <c r="J66" s="282" cm="1">
        <f t="array" ref="J66">IF(A66="","",INDEX(البيانات!$AI$2:$AI$265,A66))</f>
        <v>46121</v>
      </c>
      <c r="K66" s="109" t="str">
        <f>IF(OR(A66="",J66="",I66=""),"",IF(NETWORKDAYS.INTL(I66,J66,"0000011")-1&lt;=2,"✅ ملتزم","❌ غير ملتزم"))</f>
        <v>✅ ملتزم</v>
      </c>
      <c r="L66" s="284" t="str" cm="1">
        <f t="array" ref="L66">IF(A66="","",INDEX(البيانات!$AJ$2:$AJ$265,A66))</f>
        <v>حضرت</v>
      </c>
      <c r="M66" s="287"/>
      <c r="N66" s="288"/>
      <c r="O66" s="167"/>
    </row>
    <row r="67" spans="1:15">
      <c r="A67" s="182" cm="1">
        <f t="array" ref="A67">IFERROR(SMALL(IF(البيانات!$AS$2:$AS$265="مستشفى جازان العام",البيانات!$AT$2:$AT$265),65),"")</f>
        <v>134</v>
      </c>
      <c r="B67" s="182" t="str" cm="1">
        <f t="array" ref="B67">IF(A67="","",INDEX(البيانات!$V$2:$V$265,A67))</f>
        <v>1099873398</v>
      </c>
      <c r="C67" s="182" t="str" cm="1">
        <f t="array" ref="C67">IF(A67="","",INDEX(البيانات!$U$2:$U$265,A67))</f>
        <v>SHYMAA EISAA ALI</v>
      </c>
      <c r="D67" s="182" cm="1">
        <f t="array" ref="D67">IF(A67="","",INDEX(البيانات!$T$2:$T$265,A67))</f>
        <v>38</v>
      </c>
      <c r="E67" s="182" t="str" cm="1">
        <f t="array" ref="E67">IF(A67="","",INDEX(البيانات!$F$2:$F$265,A67))</f>
        <v>القطاع المركزي Central Sector</v>
      </c>
      <c r="F67" s="182" t="str" cm="1">
        <f t="array" ref="F67">IF(A67="","",INDEX(البيانات!$Y$2:$Y$265,A67))</f>
        <v>0532552417</v>
      </c>
      <c r="G67" s="281"/>
      <c r="H67" s="281"/>
      <c r="I67" s="184" cm="1">
        <f t="array" ref="I67">IF(A67="","",INDEX(البيانات!$P$2:$P$265,A67))</f>
        <v>46119</v>
      </c>
      <c r="J67" s="283" cm="1">
        <f t="array" ref="J67">IF(A67="","",INDEX(البيانات!$AI$2:$AI$265,A67))</f>
        <v>46121</v>
      </c>
      <c r="K67" s="183" t="str">
        <f>IF(OR(A67="",J67="",I67=""),"",IF(NETWORKDAYS.INTL(I67,J67,"0000011")-1&lt;=2,"✅ ملتزم","❌ غير ملتزم"))</f>
        <v>✅ ملتزم</v>
      </c>
      <c r="L67" s="285" t="str" cm="1">
        <f t="array" ref="L67">IF(A67="","",INDEX(البيانات!$AJ$2:$AJ$265,A67))</f>
        <v>حضرت</v>
      </c>
      <c r="M67" s="287"/>
      <c r="N67" s="288"/>
      <c r="O67" s="167"/>
    </row>
    <row r="68" spans="1:15">
      <c r="A68" s="112" cm="1">
        <f t="array" ref="A68">IFERROR(SMALL(IF(البيانات!$AS$2:$AS$265="مستشفى جازان العام",البيانات!$AT$2:$AT$265),66),"")</f>
        <v>135</v>
      </c>
      <c r="B68" s="112" t="str" cm="1">
        <f t="array" ref="B68">IF(A68="","",INDEX(البيانات!$V$2:$V$265,A68))</f>
        <v>1112003148</v>
      </c>
      <c r="C68" s="112" t="str" cm="1">
        <f t="array" ref="C68">IF(A68="","",INDEX(البيانات!$U$2:$U$265,A68))</f>
        <v>ZARAH MOFAREH ALI SUHLULI</v>
      </c>
      <c r="D68" s="112" cm="1">
        <f t="array" ref="D68">IF(A68="","",INDEX(البيانات!$T$2:$T$265,A68))</f>
        <v>24</v>
      </c>
      <c r="E68" s="112" t="str" cm="1">
        <f t="array" ref="E68">IF(A68="","",INDEX(البيانات!$F$2:$F$265,A68))</f>
        <v>القطاع الغربي Western Sector</v>
      </c>
      <c r="F68" s="112" t="str" cm="1">
        <f t="array" ref="F68">IF(A68="","",INDEX(البيانات!$Y$2:$Y$265,A68))</f>
        <v>0506561323</v>
      </c>
      <c r="G68" s="280"/>
      <c r="H68" s="280"/>
      <c r="I68" s="181" cm="1">
        <f t="array" ref="I68">IF(A68="","",INDEX(البيانات!$P$2:$P$265,A68))</f>
        <v>46119</v>
      </c>
      <c r="J68" s="282" cm="1">
        <f t="array" ref="J68">IF(A68="","",INDEX(البيانات!$AI$2:$AI$265,A68))</f>
        <v>46121</v>
      </c>
      <c r="K68" s="109" t="str">
        <f>IF(OR(A68="",J68="",I68=""),"",IF(NETWORKDAYS.INTL(I68,J68,"0000011")-1&lt;=2,"✅ ملتزم","❌ غير ملتزم"))</f>
        <v>✅ ملتزم</v>
      </c>
      <c r="L68" s="284" t="str" cm="1">
        <f t="array" ref="L68">IF(A68="","",INDEX(البيانات!$AJ$2:$AJ$265,A68))</f>
        <v>حضرت</v>
      </c>
      <c r="M68" s="287"/>
      <c r="N68" s="288"/>
      <c r="O68" s="167"/>
    </row>
    <row r="69" spans="1:15">
      <c r="A69" s="182" cm="1">
        <f t="array" ref="A69">IFERROR(SMALL(IF(البيانات!$AS$2:$AS$265="مستشفى جازان العام",البيانات!$AT$2:$AT$265),67),"")</f>
        <v>136</v>
      </c>
      <c r="B69" s="182" t="str" cm="1">
        <f t="array" ref="B69">IF(A69="","",INDEX(البيانات!$V$2:$V$265,A69))</f>
        <v>1078175161</v>
      </c>
      <c r="C69" s="182" t="str" cm="1">
        <f t="array" ref="C69">IF(A69="","",INDEX(البيانات!$U$2:$U$265,A69))</f>
        <v>Nada bahlul yahya kurmi</v>
      </c>
      <c r="D69" s="182" cm="1">
        <f t="array" ref="D69">IF(A69="","",INDEX(البيانات!$T$2:$T$265,A69))</f>
        <v>36</v>
      </c>
      <c r="E69" s="182" t="str" cm="1">
        <f t="array" ref="E69">IF(A69="","",INDEX(البيانات!$F$2:$F$265,A69))</f>
        <v>القطاع الأوسط Middle Sector</v>
      </c>
      <c r="F69" s="182" t="str" cm="1">
        <f t="array" ref="F69">IF(A69="","",INDEX(البيانات!$Y$2:$Y$265,A69))</f>
        <v>0507022707</v>
      </c>
      <c r="G69" s="281"/>
      <c r="H69" s="281"/>
      <c r="I69" s="184" cm="1">
        <f t="array" ref="I69">IF(A69="","",INDEX(البيانات!$P$2:$P$265,A69))</f>
        <v>46118</v>
      </c>
      <c r="J69" s="283" cm="1">
        <f t="array" ref="J69">IF(A69="","",INDEX(البيانات!$AI$2:$AI$265,A69))</f>
        <v>46121</v>
      </c>
      <c r="K69" s="183" t="str">
        <f>IF(OR(A69="",J69="",I69=""),"",IF(NETWORKDAYS.INTL(I69,J69,"0000011")-1&lt;=2,"✅ ملتزم","❌ غير ملتزم"))</f>
        <v>❌ غير ملتزم</v>
      </c>
      <c r="L69" s="285" t="str" cm="1">
        <f t="array" ref="L69">IF(A69="","",INDEX(البيانات!$AJ$2:$AJ$265,A69))</f>
        <v xml:space="preserve">لم تحضر </v>
      </c>
      <c r="M69" s="287"/>
      <c r="N69" s="288"/>
      <c r="O69" s="167"/>
    </row>
    <row r="70" spans="1:15">
      <c r="A70" s="112" cm="1">
        <f t="array" ref="A70">IFERROR(SMALL(IF(البيانات!$AS$2:$AS$265="مستشفى جازان العام",البيانات!$AT$2:$AT$265),68),"")</f>
        <v>138</v>
      </c>
      <c r="B70" s="112" t="str" cm="1">
        <f t="array" ref="B70">IF(A70="","",INDEX(البيانات!$V$2:$V$265,A70))</f>
        <v>1118015930</v>
      </c>
      <c r="C70" s="112" t="str" cm="1">
        <f t="array" ref="C70">IF(A70="","",INDEX(البيانات!$U$2:$U$265,A70))</f>
        <v>NORAH HUSSAIN OTHMAN HAKAMI</v>
      </c>
      <c r="D70" s="112" cm="1">
        <f t="array" ref="D70">IF(A70="","",INDEX(البيانات!$T$2:$T$265,A70))</f>
        <v>36</v>
      </c>
      <c r="E70" s="112" t="str" cm="1">
        <f t="array" ref="E70">IF(A70="","",INDEX(البيانات!$F$2:$F$265,A70))</f>
        <v>القطاع المركزي Central Sector</v>
      </c>
      <c r="F70" s="112" t="str" cm="1">
        <f t="array" ref="F70">IF(A70="","",INDEX(البيانات!$Y$2:$Y$265,A70))</f>
        <v>0533049632</v>
      </c>
      <c r="G70" s="280"/>
      <c r="H70" s="280"/>
      <c r="I70" s="181" cm="1">
        <f t="array" ref="I70">IF(A70="","",INDEX(البيانات!$P$2:$P$265,A70))</f>
        <v>46120</v>
      </c>
      <c r="J70" s="282" cm="1">
        <f t="array" ref="J70">IF(A70="","",INDEX(البيانات!$AI$2:$AI$265,A70))</f>
        <v>46132</v>
      </c>
      <c r="K70" s="109" t="str">
        <f>IF(OR(A70="",J70="",I70=""),"",IF(NETWORKDAYS.INTL(I70,J70,"0000011")-1&lt;=2,"✅ ملتزم","❌ غير ملتزم"))</f>
        <v>❌ غير ملتزم</v>
      </c>
      <c r="L70" s="284" t="str" cm="1">
        <f t="array" ref="L70">IF(A70="","",INDEX(البيانات!$AJ$2:$AJ$265,A70))</f>
        <v>حضرت</v>
      </c>
      <c r="M70" s="287"/>
      <c r="N70" s="288"/>
      <c r="O70" s="167"/>
    </row>
    <row r="71" spans="1:15">
      <c r="A71" s="182" cm="1">
        <f t="array" ref="A71">IFERROR(SMALL(IF(البيانات!$AS$2:$AS$265="مستشفى جازان العام",البيانات!$AT$2:$AT$265),69),"")</f>
        <v>139</v>
      </c>
      <c r="B71" s="182" t="str" cm="1">
        <f t="array" ref="B71">IF(A71="","",INDEX(البيانات!$V$2:$V$265,A71))</f>
        <v>1068377900</v>
      </c>
      <c r="C71" s="182" t="str" cm="1">
        <f t="array" ref="C71">IF(A71="","",INDEX(البيانات!$U$2:$U$265,A71))</f>
        <v>SALIHAH AHMED HUSSAIN GHAZWANI</v>
      </c>
      <c r="D71" s="182" cm="1">
        <f t="array" ref="D71">IF(A71="","",INDEX(البيانات!$T$2:$T$265,A71))</f>
        <v>35</v>
      </c>
      <c r="E71" s="182" t="str" cm="1">
        <f t="array" ref="E71">IF(A71="","",INDEX(البيانات!$F$2:$F$265,A71))</f>
        <v>القطاع المركزي Central Sector</v>
      </c>
      <c r="F71" s="182" t="str" cm="1">
        <f t="array" ref="F71">IF(A71="","",INDEX(البيانات!$Y$2:$Y$265,A71))</f>
        <v>0558680052</v>
      </c>
      <c r="G71" s="281"/>
      <c r="H71" s="281"/>
      <c r="I71" s="184" cm="1">
        <f t="array" ref="I71">IF(A71="","",INDEX(البيانات!$P$2:$P$265,A71))</f>
        <v>46120</v>
      </c>
      <c r="J71" s="283" cm="1">
        <f t="array" ref="J71">IF(A71="","",INDEX(البيانات!$AI$2:$AI$265,A71))</f>
        <v>46121</v>
      </c>
      <c r="K71" s="183" t="str">
        <f>IF(OR(A71="",J71="",I71=""),"",IF(NETWORKDAYS.INTL(I71,J71,"0000011")-1&lt;=2,"✅ ملتزم","❌ غير ملتزم"))</f>
        <v>✅ ملتزم</v>
      </c>
      <c r="L71" s="285" t="str" cm="1">
        <f t="array" ref="L71">IF(A71="","",INDEX(البيانات!$AJ$2:$AJ$265,A71))</f>
        <v>حضرت</v>
      </c>
      <c r="M71" s="287"/>
      <c r="N71" s="288"/>
      <c r="O71" s="167"/>
    </row>
    <row r="72" spans="1:15">
      <c r="A72" s="112" cm="1">
        <f t="array" ref="A72">IFERROR(SMALL(IF(البيانات!$AS$2:$AS$265="مستشفى جازان العام",البيانات!$AT$2:$AT$265),70),"")</f>
        <v>141</v>
      </c>
      <c r="B72" s="112" t="str" cm="1">
        <f t="array" ref="B72">IF(A72="","",INDEX(البيانات!$V$2:$V$265,A72))</f>
        <v>1095889521</v>
      </c>
      <c r="C72" s="112" t="str" cm="1">
        <f t="array" ref="C72">IF(A72="","",INDEX(البيانات!$U$2:$U$265,A72))</f>
        <v>RAHAF AHMED MOHAMMED ALRAJAB</v>
      </c>
      <c r="D72" s="112" cm="1">
        <f t="array" ref="D72">IF(A72="","",INDEX(البيانات!$T$2:$T$265,A72))</f>
        <v>28</v>
      </c>
      <c r="E72" s="112" t="str" cm="1">
        <f t="array" ref="E72">IF(A72="","",INDEX(البيانات!$F$2:$F$265,A72))</f>
        <v>القطاع المركزي Central Sector</v>
      </c>
      <c r="F72" s="112" t="str" cm="1">
        <f t="array" ref="F72">IF(A72="","",INDEX(البيانات!$Y$2:$Y$265,A72))</f>
        <v>0504299885</v>
      </c>
      <c r="G72" s="280"/>
      <c r="H72" s="280"/>
      <c r="I72" s="181" cm="1">
        <f t="array" ref="I72">IF(A72="","",INDEX(البيانات!$P$2:$P$265,A72))</f>
        <v>46120</v>
      </c>
      <c r="J72" s="282" cm="1">
        <f t="array" ref="J72">IF(A72="","",INDEX(البيانات!$AI$2:$AI$265,A72))</f>
        <v>46141</v>
      </c>
      <c r="K72" s="109" t="str">
        <f>IF(OR(A72="",J72="",I72=""),"",IF(NETWORKDAYS.INTL(I72,J72,"0000011")-1&lt;=2,"✅ ملتزم","❌ غير ملتزم"))</f>
        <v>❌ غير ملتزم</v>
      </c>
      <c r="L72" s="284" cm="1">
        <f t="array" ref="L72">IF(A72="","",INDEX(البيانات!$AJ$2:$AJ$265,A72))</f>
        <v>0</v>
      </c>
      <c r="M72" s="287"/>
      <c r="N72" s="288"/>
      <c r="O72" s="167"/>
    </row>
    <row r="73" spans="1:15">
      <c r="A73" s="182" cm="1">
        <f t="array" ref="A73">IFERROR(SMALL(IF(البيانات!$AS$2:$AS$265="مستشفى جازان العام",البيانات!$AT$2:$AT$265),71),"")</f>
        <v>142</v>
      </c>
      <c r="B73" s="182" t="str" cm="1">
        <f t="array" ref="B73">IF(A73="","",INDEX(البيانات!$V$2:$V$265,A73))</f>
        <v>1060745641</v>
      </c>
      <c r="C73" s="182" t="str" cm="1">
        <f t="array" ref="C73">IF(A73="","",INDEX(البيانات!$U$2:$U$265,A73))</f>
        <v>AHLAAM ALI GASSAB ALSHAMRANI</v>
      </c>
      <c r="D73" s="182" cm="1">
        <f t="array" ref="D73">IF(A73="","",INDEX(البيانات!$T$2:$T$265,A73))</f>
        <v>36</v>
      </c>
      <c r="E73" s="182" t="str" cm="1">
        <f t="array" ref="E73">IF(A73="","",INDEX(البيانات!$F$2:$F$265,A73))</f>
        <v>القطاع المركزي Central Sector</v>
      </c>
      <c r="F73" s="182" t="str" cm="1">
        <f t="array" ref="F73">IF(A73="","",INDEX(البيانات!$Y$2:$Y$265,A73))</f>
        <v>0507009367</v>
      </c>
      <c r="G73" s="281"/>
      <c r="H73" s="281"/>
      <c r="I73" s="184" cm="1">
        <f t="array" ref="I73">IF(A73="","",INDEX(البيانات!$P$2:$P$265,A73))</f>
        <v>46120</v>
      </c>
      <c r="J73" s="283" cm="1">
        <f t="array" ref="J73">IF(A73="","",INDEX(البيانات!$AI$2:$AI$265,A73))</f>
        <v>46121</v>
      </c>
      <c r="K73" s="183" t="str">
        <f>IF(OR(A73="",J73="",I73=""),"",IF(NETWORKDAYS.INTL(I73,J73,"0000011")-1&lt;=2,"✅ ملتزم","❌ غير ملتزم"))</f>
        <v>✅ ملتزم</v>
      </c>
      <c r="L73" s="285" t="str" cm="1">
        <f t="array" ref="L73">IF(A73="","",INDEX(البيانات!$AJ$2:$AJ$265,A73))</f>
        <v>حضرت</v>
      </c>
      <c r="M73" s="287"/>
      <c r="N73" s="288"/>
      <c r="O73" s="167"/>
    </row>
    <row r="74" spans="1:15">
      <c r="A74" s="112" cm="1">
        <f t="array" ref="A74">IFERROR(SMALL(IF(البيانات!$AS$2:$AS$265="مستشفى جازان العام",البيانات!$AT$2:$AT$265),72),"")</f>
        <v>144</v>
      </c>
      <c r="B74" s="112" t="str" cm="1">
        <f t="array" ref="B74">IF(A74="","",INDEX(البيانات!$V$2:$V$265,A74))</f>
        <v>1049993833</v>
      </c>
      <c r="C74" s="112" t="str" cm="1">
        <f t="array" ref="C74">IF(A74="","",INDEX(البيانات!$U$2:$U$265,A74))</f>
        <v>FATIMAH SIDDIQ YAHYA MASHYAKHI</v>
      </c>
      <c r="D74" s="112" t="str" cm="1">
        <f t="array" ref="D74">IF(A74="","",INDEX(البيانات!$T$2:$T$265,A74))</f>
        <v>41</v>
      </c>
      <c r="E74" s="112" t="str" cm="1">
        <f t="array" ref="E74">IF(A74="","",INDEX(البيانات!$F$2:$F$265,A74))</f>
        <v>Middle sectorالقطاع الاوسط</v>
      </c>
      <c r="F74" s="112" t="str" cm="1">
        <f t="array" ref="F74">IF(A74="","",INDEX(البيانات!$Y$2:$Y$265,A74))</f>
        <v>0557245808</v>
      </c>
      <c r="G74" s="280"/>
      <c r="H74" s="280"/>
      <c r="I74" s="181" cm="1">
        <f t="array" ref="I74">IF(A74="","",INDEX(البيانات!$P$2:$P$265,A74))</f>
        <v>46121</v>
      </c>
      <c r="J74" s="282" cm="1">
        <f t="array" ref="J74">IF(A74="","",INDEX(البيانات!$AI$2:$AI$265,A74))</f>
        <v>46126</v>
      </c>
      <c r="K74" s="109" t="str">
        <f>IF(OR(A74="",J74="",I74=""),"",IF(NETWORKDAYS.INTL(I74,J74,"0000011")-1&lt;=2,"✅ ملتزم","❌ غير ملتزم"))</f>
        <v>❌ غير ملتزم</v>
      </c>
      <c r="L74" s="284" t="str" cm="1">
        <f t="array" ref="L74">IF(A74="","",INDEX(البيانات!$AJ$2:$AJ$265,A74))</f>
        <v>حضرت</v>
      </c>
      <c r="M74" s="287"/>
      <c r="N74" s="288"/>
      <c r="O74" s="167"/>
    </row>
    <row r="75" spans="1:15">
      <c r="A75" s="182" cm="1">
        <f t="array" ref="A75">IFERROR(SMALL(IF(البيانات!$AS$2:$AS$265="مستشفى جازان العام",البيانات!$AT$2:$AT$265),73),"")</f>
        <v>146</v>
      </c>
      <c r="B75" s="182" t="str" cm="1">
        <f t="array" ref="B75">IF(A75="","",INDEX(البيانات!$V$2:$V$265,A75))</f>
        <v>1103036388</v>
      </c>
      <c r="C75" s="182" t="str" cm="1">
        <f t="array" ref="C75">IF(A75="","",INDEX(البيانات!$U$2:$U$265,A75))</f>
        <v>jumah ali ahmed</v>
      </c>
      <c r="D75" s="182" t="str" cm="1">
        <f t="array" ref="D75">IF(A75="","",INDEX(البيانات!$T$2:$T$265,A75))</f>
        <v>27</v>
      </c>
      <c r="E75" s="182" t="str" cm="1">
        <f t="array" ref="E75">IF(A75="","",INDEX(البيانات!$F$2:$F$265,A75))</f>
        <v>القطاع المركزي Central Sector</v>
      </c>
      <c r="F75" s="182" t="str" cm="1">
        <f t="array" ref="F75">IF(A75="","",INDEX(البيانات!$Y$2:$Y$265,A75))</f>
        <v>0538207686</v>
      </c>
      <c r="G75" s="281"/>
      <c r="H75" s="281"/>
      <c r="I75" s="184" cm="1">
        <f t="array" ref="I75">IF(A75="","",INDEX(البيانات!$P$2:$P$265,A75))</f>
        <v>46124</v>
      </c>
      <c r="J75" s="283" cm="1">
        <f t="array" ref="J75">IF(A75="","",INDEX(البيانات!$AI$2:$AI$265,A75))</f>
        <v>46134</v>
      </c>
      <c r="K75" s="183" t="str">
        <f>IF(OR(A75="",J75="",I75=""),"",IF(NETWORKDAYS.INTL(I75,J75,"0000011")-1&lt;=2,"✅ ملتزم","❌ غير ملتزم"))</f>
        <v>❌ غير ملتزم</v>
      </c>
      <c r="L75" s="285" t="str" cm="1">
        <f t="array" ref="L75">IF(A75="","",INDEX(البيانات!$AJ$2:$AJ$265,A75))</f>
        <v>حضرت</v>
      </c>
      <c r="M75" s="287"/>
      <c r="N75" s="288"/>
      <c r="O75" s="167"/>
    </row>
    <row r="76" spans="1:15">
      <c r="A76" s="112" cm="1">
        <f t="array" ref="A76">IFERROR(SMALL(IF(البيانات!$AS$2:$AS$265="مستشفى جازان العام",البيانات!$AT$2:$AT$265),74),"")</f>
        <v>147</v>
      </c>
      <c r="B76" s="112" t="str" cm="1">
        <f t="array" ref="B76">IF(A76="","",INDEX(البيانات!$V$2:$V$265,A76))</f>
        <v>1092252798</v>
      </c>
      <c r="C76" s="112" t="str" cm="1">
        <f t="array" ref="C76">IF(A76="","",INDEX(البيانات!$U$2:$U$265,A76))</f>
        <v>بدرية عبدالكريم حمدي</v>
      </c>
      <c r="D76" s="112" t="str" cm="1">
        <f t="array" ref="D76">IF(A76="","",INDEX(البيانات!$T$2:$T$265,A76))</f>
        <v>30</v>
      </c>
      <c r="E76" s="112" t="str" cm="1">
        <f t="array" ref="E76">IF(A76="","",INDEX(البيانات!$F$2:$F$265,A76))</f>
        <v>Central Sectorالقطاع المركزي</v>
      </c>
      <c r="F76" s="112" t="str" cm="1">
        <f t="array" ref="F76">IF(A76="","",INDEX(البيانات!$Y$2:$Y$265,A76))</f>
        <v>0534110016</v>
      </c>
      <c r="G76" s="280"/>
      <c r="H76" s="280"/>
      <c r="I76" s="181" cm="1">
        <f t="array" ref="I76">IF(A76="","",INDEX(البيانات!$P$2:$P$265,A76))</f>
        <v>46124</v>
      </c>
      <c r="J76" s="282" cm="1">
        <f t="array" ref="J76">IF(A76="","",INDEX(البيانات!$AI$2:$AI$265,A76))</f>
        <v>46134</v>
      </c>
      <c r="K76" s="109" t="str">
        <f>IF(OR(A76="",J76="",I76=""),"",IF(NETWORKDAYS.INTL(I76,J76,"0000011")-1&lt;=2,"✅ ملتزم","❌ غير ملتزم"))</f>
        <v>❌ غير ملتزم</v>
      </c>
      <c r="L76" s="284" t="str" cm="1">
        <f t="array" ref="L76">IF(A76="","",INDEX(البيانات!$AJ$2:$AJ$265,A76))</f>
        <v>حضرت</v>
      </c>
      <c r="M76" s="287"/>
      <c r="N76" s="288"/>
      <c r="O76" s="167"/>
    </row>
    <row r="77" spans="1:15">
      <c r="A77" s="182" cm="1">
        <f t="array" ref="A77">IFERROR(SMALL(IF(البيانات!$AS$2:$AS$265="مستشفى جازان العام",البيانات!$AT$2:$AT$265),75),"")</f>
        <v>149</v>
      </c>
      <c r="B77" s="182" t="str" cm="1">
        <f t="array" ref="B77">IF(A77="","",INDEX(البيانات!$V$2:$V$265,A77))</f>
        <v>1073180869</v>
      </c>
      <c r="C77" s="182" t="str" cm="1">
        <f t="array" ref="C77">IF(A77="","",INDEX(البيانات!$U$2:$U$265,A77))</f>
        <v>SHATHA HASSAN ALI DAHISH</v>
      </c>
      <c r="D77" s="182" t="str" cm="1">
        <f t="array" ref="D77">IF(A77="","",INDEX(البيانات!$T$2:$T$265,A77))</f>
        <v>34</v>
      </c>
      <c r="E77" s="182" t="str" cm="1">
        <f t="array" ref="E77">IF(A77="","",INDEX(البيانات!$F$2:$F$265,A77))</f>
        <v>Central Sectorالقطاع المركزي</v>
      </c>
      <c r="F77" s="182" t="str" cm="1">
        <f t="array" ref="F77">IF(A77="","",INDEX(البيانات!$Y$2:$Y$265,A77))</f>
        <v>0533068396</v>
      </c>
      <c r="G77" s="281"/>
      <c r="H77" s="281"/>
      <c r="I77" s="184" cm="1">
        <f t="array" ref="I77">IF(A77="","",INDEX(البيانات!$P$2:$P$265,A77))</f>
        <v>46124</v>
      </c>
      <c r="J77" s="283" cm="1">
        <f t="array" ref="J77">IF(A77="","",INDEX(البيانات!$AI$2:$AI$265,A77))</f>
        <v>46134</v>
      </c>
      <c r="K77" s="183" t="str">
        <f>IF(OR(A77="",J77="",I77=""),"",IF(NETWORKDAYS.INTL(I77,J77,"0000011")-1&lt;=2,"✅ ملتزم","❌ غير ملتزم"))</f>
        <v>❌ غير ملتزم</v>
      </c>
      <c r="L77" s="285" t="str" cm="1">
        <f t="array" ref="L77">IF(A77="","",INDEX(البيانات!$AJ$2:$AJ$265,A77))</f>
        <v>حضرت</v>
      </c>
      <c r="M77" s="287"/>
      <c r="N77" s="288"/>
      <c r="O77" s="167"/>
    </row>
    <row r="78" spans="1:15">
      <c r="A78" s="112" cm="1">
        <f t="array" ref="A78">IFERROR(SMALL(IF(البيانات!$AS$2:$AS$265="مستشفى جازان العام",البيانات!$AT$2:$AT$265),76),"")</f>
        <v>154</v>
      </c>
      <c r="B78" s="112" t="str" cm="1">
        <f t="array" ref="B78">IF(A78="","",INDEX(البيانات!$V$2:$V$265,A78))</f>
        <v>1067275899</v>
      </c>
      <c r="C78" s="112" t="str" cm="1">
        <f t="array" ref="C78">IF(A78="","",INDEX(البيانات!$U$2:$U$265,A78))</f>
        <v>نجود يحيى عبده قاسم</v>
      </c>
      <c r="D78" s="112" t="str" cm="1">
        <f t="array" ref="D78">IF(A78="","",INDEX(البيانات!$T$2:$T$265,A78))</f>
        <v>36</v>
      </c>
      <c r="E78" s="112" t="str" cm="1">
        <f t="array" ref="E78">IF(A78="","",INDEX(البيانات!$F$2:$F$265,A78))</f>
        <v>Central Sectorالقطاع المركزي</v>
      </c>
      <c r="F78" s="112" t="str" cm="1">
        <f t="array" ref="F78">IF(A78="","",INDEX(البيانات!$Y$2:$Y$265,A78))</f>
        <v>0556533484</v>
      </c>
      <c r="G78" s="280"/>
      <c r="H78" s="280"/>
      <c r="I78" s="181" cm="1">
        <f t="array" ref="I78">IF(A78="","",INDEX(البيانات!$P$2:$P$265,A78))</f>
        <v>46125</v>
      </c>
      <c r="J78" s="282" cm="1">
        <f t="array" ref="J78">IF(A78="","",INDEX(البيانات!$AI$2:$AI$265,A78))</f>
        <v>46131</v>
      </c>
      <c r="K78" s="109" t="str">
        <f>IF(OR(A78="",J78="",I78=""),"",IF(NETWORKDAYS.INTL(I78,J78,"0000011")-1&lt;=2,"✅ ملتزم","❌ غير ملتزم"))</f>
        <v>❌ غير ملتزم</v>
      </c>
      <c r="L78" s="284" t="str" cm="1">
        <f t="array" ref="L78">IF(A78="","",INDEX(البيانات!$AJ$2:$AJ$265,A78))</f>
        <v>حضرت</v>
      </c>
      <c r="M78" s="287"/>
      <c r="N78" s="288"/>
      <c r="O78" s="167"/>
    </row>
    <row r="79" spans="1:15">
      <c r="A79" s="182" cm="1">
        <f t="array" ref="A79">IFERROR(SMALL(IF(البيانات!$AS$2:$AS$265="مستشفى جازان العام",البيانات!$AT$2:$AT$265),77),"")</f>
        <v>155</v>
      </c>
      <c r="B79" s="182" t="str" cm="1">
        <f t="array" ref="B79">IF(A79="","",INDEX(البيانات!$V$2:$V$265,A79))</f>
        <v>1143043576</v>
      </c>
      <c r="C79" s="182" t="str" cm="1">
        <f t="array" ref="C79">IF(A79="","",INDEX(البيانات!$U$2:$U$265,A79))</f>
        <v>JAYDAA MOHAMMED IBRAHIM HADDAD</v>
      </c>
      <c r="D79" s="182" t="str" cm="1">
        <f t="array" ref="D79">IF(A79="","",INDEX(البيانات!$T$2:$T$265,A79))</f>
        <v>17Y 10M</v>
      </c>
      <c r="E79" s="182" t="str" cm="1">
        <f t="array" ref="E79">IF(A79="","",INDEX(البيانات!$F$2:$F$265,A79))</f>
        <v>Central Sectorالقطاع المركزي</v>
      </c>
      <c r="F79" s="182" t="str" cm="1">
        <f t="array" ref="F79">IF(A79="","",INDEX(البيانات!$Y$2:$Y$265,A79))</f>
        <v>552309188</v>
      </c>
      <c r="G79" s="281"/>
      <c r="H79" s="281"/>
      <c r="I79" s="184" cm="1">
        <f t="array" ref="I79">IF(A79="","",INDEX(البيانات!$P$2:$P$265,A79))</f>
        <v>46125</v>
      </c>
      <c r="J79" s="283" cm="1">
        <f t="array" ref="J79">IF(A79="","",INDEX(البيانات!$AI$2:$AI$265,A79))</f>
        <v>46147</v>
      </c>
      <c r="K79" s="183" t="str">
        <f>IF(OR(A79="",J79="",I79=""),"",IF(NETWORKDAYS.INTL(I79,J79,"0000011")-1&lt;=2,"✅ ملتزم","❌ غير ملتزم"))</f>
        <v>❌ غير ملتزم</v>
      </c>
      <c r="L79" s="285" t="str" cm="1">
        <f t="array" ref="L79">IF(A79="","",INDEX(البيانات!$AJ$2:$AJ$265,A79))</f>
        <v>حضرت</v>
      </c>
      <c r="M79" s="287"/>
      <c r="N79" s="288"/>
      <c r="O79" s="167"/>
    </row>
    <row r="80" spans="1:15">
      <c r="A80" s="112" cm="1">
        <f t="array" ref="A80">IFERROR(SMALL(IF(البيانات!$AS$2:$AS$265="مستشفى جازان العام",البيانات!$AT$2:$AT$265),78),"")</f>
        <v>156</v>
      </c>
      <c r="B80" s="112" t="str" cm="1">
        <f t="array" ref="B80">IF(A80="","",INDEX(البيانات!$V$2:$V$265,A80))</f>
        <v>1076797065</v>
      </c>
      <c r="C80" s="112" t="str" cm="1">
        <f t="array" ref="C80">IF(A80="","",INDEX(البيانات!$U$2:$U$265,A80))</f>
        <v>سكوت معيد</v>
      </c>
      <c r="D80" s="112" t="str" cm="1">
        <f t="array" ref="D80">IF(A80="","",INDEX(البيانات!$T$2:$T$265,A80))</f>
        <v>37</v>
      </c>
      <c r="E80" s="112" t="str" cm="1">
        <f t="array" ref="E80">IF(A80="","",INDEX(البيانات!$F$2:$F$265,A80))</f>
        <v>Central Sectorالقطاع المركزي</v>
      </c>
      <c r="F80" s="112" t="str" cm="1">
        <f t="array" ref="F80">IF(A80="","",INDEX(البيانات!$Y$2:$Y$265,A80))</f>
        <v>0508711518</v>
      </c>
      <c r="G80" s="280"/>
      <c r="H80" s="280"/>
      <c r="I80" s="181" cm="1">
        <f t="array" ref="I80">IF(A80="","",INDEX(البيانات!$P$2:$P$265,A80))</f>
        <v>46125</v>
      </c>
      <c r="J80" s="282" cm="1">
        <f t="array" ref="J80">IF(A80="","",INDEX(البيانات!$AI$2:$AI$265,A80))</f>
        <v>46131</v>
      </c>
      <c r="K80" s="109" t="str">
        <f>IF(OR(A80="",J80="",I80=""),"",IF(NETWORKDAYS.INTL(I80,J80,"0000011")-1&lt;=2,"✅ ملتزم","❌ غير ملتزم"))</f>
        <v>❌ غير ملتزم</v>
      </c>
      <c r="L80" s="284" t="str" cm="1">
        <f t="array" ref="L80">IF(A80="","",INDEX(البيانات!$AJ$2:$AJ$265,A80))</f>
        <v>حضرت</v>
      </c>
      <c r="M80" s="287"/>
      <c r="N80" s="288"/>
      <c r="O80" s="167"/>
    </row>
    <row r="81" spans="1:15">
      <c r="A81" s="182" cm="1">
        <f t="array" ref="A81">IFERROR(SMALL(IF(البيانات!$AS$2:$AS$265="مستشفى جازان العام",البيانات!$AT$2:$AT$265),79),"")</f>
        <v>159</v>
      </c>
      <c r="B81" s="182" t="str" cm="1">
        <f t="array" ref="B81">IF(A81="","",INDEX(البيانات!$V$2:$V$265,A81))</f>
        <v>1019481843</v>
      </c>
      <c r="C81" s="182" t="str" cm="1">
        <f t="array" ref="C81">IF(A81="","",INDEX(البيانات!$U$2:$U$265,A81))</f>
        <v>جميله محمد حسن غزواني</v>
      </c>
      <c r="D81" s="182" t="str" cm="1">
        <f t="array" ref="D81">IF(A81="","",INDEX(البيانات!$T$2:$T$265,A81))</f>
        <v>43</v>
      </c>
      <c r="E81" s="182" t="str" cm="1">
        <f t="array" ref="E81">IF(A81="","",INDEX(البيانات!$F$2:$F$265,A81))</f>
        <v>aljabaly sectorالقطاع الجبلي</v>
      </c>
      <c r="F81" s="182" t="str" cm="1">
        <f t="array" ref="F81">IF(A81="","",INDEX(البيانات!$Y$2:$Y$265,A81))</f>
        <v>509338874</v>
      </c>
      <c r="G81" s="281"/>
      <c r="H81" s="281"/>
      <c r="I81" s="184" cm="1">
        <f t="array" ref="I81">IF(A81="","",INDEX(البيانات!$P$2:$P$265,A81))</f>
        <v>46126</v>
      </c>
      <c r="J81" s="283" cm="1">
        <f t="array" ref="J81">IF(A81="","",INDEX(البيانات!$AI$2:$AI$265,A81))</f>
        <v>46131</v>
      </c>
      <c r="K81" s="183" t="str">
        <f>IF(OR(A81="",J81="",I81=""),"",IF(NETWORKDAYS.INTL(I81,J81,"0000011")-1&lt;=2,"✅ ملتزم","❌ غير ملتزم"))</f>
        <v>❌ غير ملتزم</v>
      </c>
      <c r="L81" s="285" t="str" cm="1">
        <f t="array" ref="L81">IF(A81="","",INDEX(البيانات!$AJ$2:$AJ$265,A81))</f>
        <v>حضرت</v>
      </c>
      <c r="M81" s="287"/>
      <c r="N81" s="288"/>
      <c r="O81" s="167"/>
    </row>
    <row r="82" spans="1:15">
      <c r="A82" s="112" cm="1">
        <f t="array" ref="A82">IFERROR(SMALL(IF(البيانات!$AS$2:$AS$265="مستشفى جازان العام",البيانات!$AT$2:$AT$265),80),"")</f>
        <v>161</v>
      </c>
      <c r="B82" s="112" t="str" cm="1">
        <f t="array" ref="B82">IF(A82="","",INDEX(البيانات!$V$2:$V$265,A82))</f>
        <v>2497025862</v>
      </c>
      <c r="C82" s="112" t="str" cm="1">
        <f t="array" ref="C82">IF(A82="","",INDEX(البيانات!$U$2:$U$265,A82))</f>
        <v>RAHMAH ABDOH IBRAHIM</v>
      </c>
      <c r="D82" s="112" t="str" cm="1">
        <f t="array" ref="D82">IF(A82="","",INDEX(البيانات!$T$2:$T$265,A82))</f>
        <v>31</v>
      </c>
      <c r="E82" s="112" t="str" cm="1">
        <f t="array" ref="E82">IF(A82="","",INDEX(البيانات!$F$2:$F$265,A82))</f>
        <v>Central Sectorالقطاع المركزي</v>
      </c>
      <c r="F82" s="112" t="str" cm="1">
        <f t="array" ref="F82">IF(A82="","",INDEX(البيانات!$Y$2:$Y$265,A82))</f>
        <v>0532437714</v>
      </c>
      <c r="G82" s="280"/>
      <c r="H82" s="280"/>
      <c r="I82" s="181" cm="1">
        <f t="array" ref="I82">IF(A82="","",INDEX(البيانات!$P$2:$P$265,A82))</f>
        <v>46126</v>
      </c>
      <c r="J82" s="282" cm="1">
        <f t="array" ref="J82">IF(A82="","",INDEX(البيانات!$AI$2:$AI$265,A82))</f>
        <v>46134</v>
      </c>
      <c r="K82" s="109" t="str">
        <f>IF(OR(A82="",J82="",I82=""),"",IF(NETWORKDAYS.INTL(I82,J82,"0000011")-1&lt;=2,"✅ ملتزم","❌ غير ملتزم"))</f>
        <v>❌ غير ملتزم</v>
      </c>
      <c r="L82" s="284" t="str" cm="1">
        <f t="array" ref="L82">IF(A82="","",INDEX(البيانات!$AJ$2:$AJ$265,A82))</f>
        <v>حضرت</v>
      </c>
      <c r="M82" s="287"/>
      <c r="N82" s="288"/>
      <c r="O82" s="167"/>
    </row>
    <row r="83" spans="1:15">
      <c r="A83" s="182" cm="1">
        <f t="array" ref="A83">IFERROR(SMALL(IF(البيانات!$AS$2:$AS$265="مستشفى جازان العام",البيانات!$AT$2:$AT$265),81),"")</f>
        <v>162</v>
      </c>
      <c r="B83" s="182" t="str" cm="1">
        <f t="array" ref="B83">IF(A83="","",INDEX(البيانات!$V$2:$V$265,A83))</f>
        <v>1077341780</v>
      </c>
      <c r="C83" s="182" t="str" cm="1">
        <f t="array" ref="C83">IF(A83="","",INDEX(البيانات!$U$2:$U$265,A83))</f>
        <v>EISHAH MOHAMMED AHMED ALJOHANI</v>
      </c>
      <c r="D83" s="182" t="str" cm="1">
        <f t="array" ref="D83">IF(A83="","",INDEX(البيانات!$T$2:$T$265,A83))</f>
        <v>34</v>
      </c>
      <c r="E83" s="182" t="str" cm="1">
        <f t="array" ref="E83">IF(A83="","",INDEX(البيانات!$F$2:$F$265,A83))</f>
        <v>Central Sectorالقطاع المركزي</v>
      </c>
      <c r="F83" s="182" t="str" cm="1">
        <f t="array" ref="F83">IF(A83="","",INDEX(البيانات!$Y$2:$Y$265,A83))</f>
        <v>0500430483</v>
      </c>
      <c r="G83" s="281"/>
      <c r="H83" s="281"/>
      <c r="I83" s="184" cm="1">
        <f t="array" ref="I83">IF(A83="","",INDEX(البيانات!$P$2:$P$265,A83))</f>
        <v>46126</v>
      </c>
      <c r="J83" s="283" cm="1">
        <f t="array" ref="J83">IF(A83="","",INDEX(البيانات!$AI$2:$AI$265,A83))</f>
        <v>46134</v>
      </c>
      <c r="K83" s="183" t="str">
        <f>IF(OR(A83="",J83="",I83=""),"",IF(NETWORKDAYS.INTL(I83,J83,"0000011")-1&lt;=2,"✅ ملتزم","❌ غير ملتزم"))</f>
        <v>❌ غير ملتزم</v>
      </c>
      <c r="L83" s="285" t="str" cm="1">
        <f t="array" ref="L83">IF(A83="","",INDEX(البيانات!$AJ$2:$AJ$265,A83))</f>
        <v>حضرت</v>
      </c>
      <c r="M83" s="287"/>
      <c r="N83" s="288"/>
      <c r="O83" s="167"/>
    </row>
    <row r="84" spans="1:15">
      <c r="A84" s="112" cm="1">
        <f t="array" ref="A84">IFERROR(SMALL(IF(البيانات!$AS$2:$AS$265="مستشفى جازان العام",البيانات!$AT$2:$AT$265),82),"")</f>
        <v>163</v>
      </c>
      <c r="B84" s="112" t="str" cm="1">
        <f t="array" ref="B84">IF(A84="","",INDEX(البيانات!$V$2:$V$265,A84))</f>
        <v>1054054844</v>
      </c>
      <c r="C84" s="112" t="str" cm="1">
        <f t="array" ref="C84">IF(A84="","",INDEX(البيانات!$U$2:$U$265,A84))</f>
        <v>KHULUD ESSA BINALI KHORMI</v>
      </c>
      <c r="D84" s="112" t="str" cm="1">
        <f t="array" ref="D84">IF(A84="","",INDEX(البيانات!$T$2:$T$265,A84))</f>
        <v>38</v>
      </c>
      <c r="E84" s="112" t="str" cm="1">
        <f t="array" ref="E84">IF(A84="","",INDEX(البيانات!$F$2:$F$265,A84))</f>
        <v>Central Sectorالقطاع المركزي</v>
      </c>
      <c r="F84" s="112" t="str" cm="1">
        <f t="array" ref="F84">IF(A84="","",INDEX(البيانات!$Y$2:$Y$265,A84))</f>
        <v>0534990488</v>
      </c>
      <c r="G84" s="280"/>
      <c r="H84" s="280"/>
      <c r="I84" s="181" cm="1">
        <f t="array" ref="I84">IF(A84="","",INDEX(البيانات!$P$2:$P$265,A84))</f>
        <v>46127</v>
      </c>
      <c r="J84" s="282" cm="1">
        <f t="array" ref="J84">IF(A84="","",INDEX(البيانات!$AI$2:$AI$265,A84))</f>
        <v>46134</v>
      </c>
      <c r="K84" s="109" t="str">
        <f>IF(OR(A84="",J84="",I84=""),"",IF(NETWORKDAYS.INTL(I84,J84,"0000011")-1&lt;=2,"✅ ملتزم","❌ غير ملتزم"))</f>
        <v>❌ غير ملتزم</v>
      </c>
      <c r="L84" s="284" t="str" cm="1">
        <f t="array" ref="L84">IF(A84="","",INDEX(البيانات!$AJ$2:$AJ$265,A84))</f>
        <v>حضرت</v>
      </c>
      <c r="M84" s="287"/>
      <c r="N84" s="288"/>
      <c r="O84" s="167"/>
    </row>
    <row r="85" spans="1:15">
      <c r="A85" s="182" cm="1">
        <f t="array" ref="A85">IFERROR(SMALL(IF(البيانات!$AS$2:$AS$265="مستشفى جازان العام",البيانات!$AT$2:$AT$265),83),"")</f>
        <v>164</v>
      </c>
      <c r="B85" s="182" t="str" cm="1">
        <f t="array" ref="B85">IF(A85="","",INDEX(البيانات!$V$2:$V$265,A85))</f>
        <v>1072268608</v>
      </c>
      <c r="C85" s="182" t="str" cm="1">
        <f t="array" ref="C85">IF(A85="","",INDEX(البيانات!$U$2:$U$265,A85))</f>
        <v>FATEMAH ABDULAZIZ ALI ALHAKAMI</v>
      </c>
      <c r="D85" s="182" t="str" cm="1">
        <f t="array" ref="D85">IF(A85="","",INDEX(البيانات!$T$2:$T$265,A85))</f>
        <v>35</v>
      </c>
      <c r="E85" s="182" t="str" cm="1">
        <f t="array" ref="E85">IF(A85="","",INDEX(البيانات!$F$2:$F$265,A85))</f>
        <v>Central Sectorالقطاع المركزي</v>
      </c>
      <c r="F85" s="182" t="str" cm="1">
        <f t="array" ref="F85">IF(A85="","",INDEX(البيانات!$Y$2:$Y$265,A85))</f>
        <v>0567330307</v>
      </c>
      <c r="G85" s="281"/>
      <c r="H85" s="281"/>
      <c r="I85" s="184" cm="1">
        <f t="array" ref="I85">IF(A85="","",INDEX(البيانات!$P$2:$P$265,A85))</f>
        <v>46127</v>
      </c>
      <c r="J85" s="283" cm="1">
        <f t="array" ref="J85">IF(A85="","",INDEX(البيانات!$AI$2:$AI$265,A85))</f>
        <v>46134</v>
      </c>
      <c r="K85" s="183" t="str">
        <f>IF(OR(A85="",J85="",I85=""),"",IF(NETWORKDAYS.INTL(I85,J85,"0000011")-1&lt;=2,"✅ ملتزم","❌ غير ملتزم"))</f>
        <v>❌ غير ملتزم</v>
      </c>
      <c r="L85" s="285" t="str" cm="1">
        <f t="array" ref="L85">IF(A85="","",INDEX(البيانات!$AJ$2:$AJ$265,A85))</f>
        <v>حضرت</v>
      </c>
      <c r="M85" s="287"/>
      <c r="N85" s="288"/>
      <c r="O85" s="167"/>
    </row>
    <row r="86" spans="1:15">
      <c r="A86" s="112" cm="1">
        <f t="array" ref="A86">IFERROR(SMALL(IF(البيانات!$AS$2:$AS$265="مستشفى جازان العام",البيانات!$AT$2:$AT$265),84),"")</f>
        <v>166</v>
      </c>
      <c r="B86" s="112" t="str" cm="1">
        <f t="array" ref="B86">IF(A86="","",INDEX(البيانات!$V$2:$V$265,A86))</f>
        <v>1101751707</v>
      </c>
      <c r="C86" s="112" t="str" cm="1">
        <f t="array" ref="C86">IF(A86="","",INDEX(البيانات!$U$2:$U$265,A86))</f>
        <v>فاطمه سنينس صوعان هزازي</v>
      </c>
      <c r="D86" s="112" t="str" cm="1">
        <f t="array" ref="D86">IF(A86="","",INDEX(البيانات!$T$2:$T$265,A86))</f>
        <v>28</v>
      </c>
      <c r="E86" s="112" t="str" cm="1">
        <f t="array" ref="E86">IF(A86="","",INDEX(البيانات!$F$2:$F$265,A86))</f>
        <v>Southern Sector القطاع الجنوبي</v>
      </c>
      <c r="F86" s="112" t="str" cm="1">
        <f t="array" ref="F86">IF(A86="","",INDEX(البيانات!$Y$2:$Y$265,A86))</f>
        <v>0554754966</v>
      </c>
      <c r="G86" s="280"/>
      <c r="H86" s="280"/>
      <c r="I86" s="181" cm="1">
        <f t="array" ref="I86">IF(A86="","",INDEX(البيانات!$P$2:$P$265,A86))</f>
        <v>46127</v>
      </c>
      <c r="J86" s="282" cm="1">
        <f t="array" ref="J86">IF(A86="","",INDEX(البيانات!$AI$2:$AI$265,A86))</f>
        <v>46134</v>
      </c>
      <c r="K86" s="109" t="str">
        <f>IF(OR(A86="",J86="",I86=""),"",IF(NETWORKDAYS.INTL(I86,J86,"0000011")-1&lt;=2,"✅ ملتزم","❌ غير ملتزم"))</f>
        <v>❌ غير ملتزم</v>
      </c>
      <c r="L86" s="284" t="str" cm="1">
        <f t="array" ref="L86">IF(A86="","",INDEX(البيانات!$AJ$2:$AJ$265,A86))</f>
        <v>حضرت</v>
      </c>
      <c r="M86" s="287"/>
      <c r="N86" s="288"/>
      <c r="O86" s="167"/>
    </row>
    <row r="87" spans="1:15">
      <c r="A87" s="182" cm="1">
        <f t="array" ref="A87">IFERROR(SMALL(IF(البيانات!$AS$2:$AS$265="مستشفى جازان العام",البيانات!$AT$2:$AT$265),85),"")</f>
        <v>167</v>
      </c>
      <c r="B87" s="182" t="str" cm="1">
        <f t="array" ref="B87">IF(A87="","",INDEX(البيانات!$V$2:$V$265,A87))</f>
        <v>1015011933</v>
      </c>
      <c r="C87" s="182" t="str" cm="1">
        <f t="array" ref="C87">IF(A87="","",INDEX(البيانات!$U$2:$U$265,A87))</f>
        <v>FATIMAH MANSOUR AHMED QASEM</v>
      </c>
      <c r="D87" s="182" t="str" cm="1">
        <f t="array" ref="D87">IF(A87="","",INDEX(البيانات!$T$2:$T$265,A87))</f>
        <v>41</v>
      </c>
      <c r="E87" s="182" t="str" cm="1">
        <f t="array" ref="E87">IF(A87="","",INDEX(البيانات!$F$2:$F$265,A87))</f>
        <v>Central Sectorالقطاع المركزي</v>
      </c>
      <c r="F87" s="182" t="str" cm="1">
        <f t="array" ref="F87">IF(A87="","",INDEX(البيانات!$Y$2:$Y$265,A87))</f>
        <v>0555771715</v>
      </c>
      <c r="G87" s="281"/>
      <c r="H87" s="281"/>
      <c r="I87" s="184" cm="1">
        <f t="array" ref="I87">IF(A87="","",INDEX(البيانات!$P$2:$P$265,A87))</f>
        <v>46127</v>
      </c>
      <c r="J87" s="283" cm="1">
        <f t="array" ref="J87">IF(A87="","",INDEX(البيانات!$AI$2:$AI$265,A87))</f>
        <v>46134</v>
      </c>
      <c r="K87" s="183" t="str">
        <f>IF(OR(A87="",J87="",I87=""),"",IF(NETWORKDAYS.INTL(I87,J87,"0000011")-1&lt;=2,"✅ ملتزم","❌ غير ملتزم"))</f>
        <v>❌ غير ملتزم</v>
      </c>
      <c r="L87" s="285" t="str" cm="1">
        <f t="array" ref="L87">IF(A87="","",INDEX(البيانات!$AJ$2:$AJ$265,A87))</f>
        <v>حضرت</v>
      </c>
      <c r="M87" s="287"/>
      <c r="N87" s="288"/>
      <c r="O87" s="167"/>
    </row>
    <row r="88" spans="1:15">
      <c r="A88" s="112" cm="1">
        <f t="array" ref="A88">IFERROR(SMALL(IF(البيانات!$AS$2:$AS$265="مستشفى جازان العام",البيانات!$AT$2:$AT$265),86),"")</f>
        <v>168</v>
      </c>
      <c r="B88" s="112" t="str" cm="1">
        <f t="array" ref="B88">IF(A88="","",INDEX(البيانات!$V$2:$V$265,A88))</f>
        <v>1090577048</v>
      </c>
      <c r="C88" s="112" t="str" cm="1">
        <f t="array" ref="C88">IF(A88="","",INDEX(البيانات!$U$2:$U$265,A88))</f>
        <v>Jumah hassan mohmmed hurubi</v>
      </c>
      <c r="D88" s="112" t="str" cm="1">
        <f t="array" ref="D88">IF(A88="","",INDEX(البيانات!$T$2:$T$265,A88))</f>
        <v>30</v>
      </c>
      <c r="E88" s="112" t="str" cm="1">
        <f t="array" ref="E88">IF(A88="","",INDEX(البيانات!$F$2:$F$265,A88))</f>
        <v>Western Sectorالقطاع الغربي</v>
      </c>
      <c r="F88" s="112" t="str" cm="1">
        <f t="array" ref="F88">IF(A88="","",INDEX(البيانات!$Y$2:$Y$265,A88))</f>
        <v>0558857184</v>
      </c>
      <c r="G88" s="280"/>
      <c r="H88" s="280"/>
      <c r="I88" s="181" cm="1">
        <f t="array" ref="I88">IF(A88="","",INDEX(البيانات!$P$2:$P$265,A88))</f>
        <v>46127</v>
      </c>
      <c r="J88" s="282" cm="1">
        <f t="array" ref="J88">IF(A88="","",INDEX(البيانات!$AI$2:$AI$265,A88))</f>
        <v>46134</v>
      </c>
      <c r="K88" s="109" t="str">
        <f>IF(OR(A88="",J88="",I88=""),"",IF(NETWORKDAYS.INTL(I88,J88,"0000011")-1&lt;=2,"✅ ملتزم","❌ غير ملتزم"))</f>
        <v>❌ غير ملتزم</v>
      </c>
      <c r="L88" s="284" t="str" cm="1">
        <f t="array" ref="L88">IF(A88="","",INDEX(البيانات!$AJ$2:$AJ$265,A88))</f>
        <v>حضرت</v>
      </c>
      <c r="M88" s="287"/>
      <c r="N88" s="288"/>
      <c r="O88" s="167"/>
    </row>
    <row r="89" spans="1:15">
      <c r="A89" s="182" cm="1">
        <f t="array" ref="A89">IFERROR(SMALL(IF(البيانات!$AS$2:$AS$265="مستشفى جازان العام",البيانات!$AT$2:$AT$265),87),"")</f>
        <v>169</v>
      </c>
      <c r="B89" s="182" t="str" cm="1">
        <f t="array" ref="B89">IF(A89="","",INDEX(البيانات!$V$2:$V$265,A89))</f>
        <v>1133130185</v>
      </c>
      <c r="C89" s="182" t="str" cm="1">
        <f t="array" ref="C89">IF(A89="","",INDEX(البيانات!$U$2:$U$265,A89))</f>
        <v>WAFA ZAHER YAHYA ALOTAYFI</v>
      </c>
      <c r="D89" s="182" t="str" cm="1">
        <f t="array" ref="D89">IF(A89="","",INDEX(البيانات!$T$2:$T$265,A89))</f>
        <v>25</v>
      </c>
      <c r="E89" s="182" t="str" cm="1">
        <f t="array" ref="E89">IF(A89="","",INDEX(البيانات!$F$2:$F$265,A89))</f>
        <v>Central Sectorالقطاع المركزي</v>
      </c>
      <c r="F89" s="182" t="str" cm="1">
        <f t="array" ref="F89">IF(A89="","",INDEX(البيانات!$Y$2:$Y$265,A89))</f>
        <v>0534353959</v>
      </c>
      <c r="G89" s="281"/>
      <c r="H89" s="281"/>
      <c r="I89" s="184" cm="1">
        <f t="array" ref="I89">IF(A89="","",INDEX(البيانات!$P$2:$P$265,A89))</f>
        <v>46127</v>
      </c>
      <c r="J89" s="283" cm="1">
        <f t="array" ref="J89">IF(A89="","",INDEX(البيانات!$AI$2:$AI$265,A89))</f>
        <v>46140</v>
      </c>
      <c r="K89" s="183" t="str">
        <f>IF(OR(A89="",J89="",I89=""),"",IF(NETWORKDAYS.INTL(I89,J89,"0000011")-1&lt;=2,"✅ ملتزم","❌ غير ملتزم"))</f>
        <v>❌ غير ملتزم</v>
      </c>
      <c r="L89" s="285" t="str" cm="1">
        <f t="array" ref="L89">IF(A89="","",INDEX(البيانات!$AJ$2:$AJ$265,A89))</f>
        <v>حضرت</v>
      </c>
      <c r="M89" s="287"/>
      <c r="N89" s="288"/>
      <c r="O89" s="167"/>
    </row>
    <row r="90" spans="1:15">
      <c r="A90" s="112" cm="1">
        <f t="array" ref="A90">IFERROR(SMALL(IF(البيانات!$AS$2:$AS$265="مستشفى جازان العام",البيانات!$AT$2:$AT$265),88),"")</f>
        <v>170</v>
      </c>
      <c r="B90" s="112" t="str" cm="1">
        <f t="array" ref="B90">IF(A90="","",INDEX(البيانات!$V$2:$V$265,A90))</f>
        <v>1107741249</v>
      </c>
      <c r="C90" s="112" t="str" cm="1">
        <f t="array" ref="C90">IF(A90="","",INDEX(البيانات!$U$2:$U$265,A90))</f>
        <v>WASAN OMAR BUHAYS ALNAJJAR</v>
      </c>
      <c r="D90" s="112" t="str" cm="1">
        <f t="array" ref="D90">IF(A90="","",INDEX(البيانات!$T$2:$T$265,A90))</f>
        <v>26</v>
      </c>
      <c r="E90" s="112" t="str" cm="1">
        <f t="array" ref="E90">IF(A90="","",INDEX(البيانات!$F$2:$F$265,A90))</f>
        <v>Central Sectorالقطاع المركزي</v>
      </c>
      <c r="F90" s="112" t="str" cm="1">
        <f t="array" ref="F90">IF(A90="","",INDEX(البيانات!$Y$2:$Y$265,A90))</f>
        <v>0537687678</v>
      </c>
      <c r="G90" s="280"/>
      <c r="H90" s="280"/>
      <c r="I90" s="181" cm="1">
        <f t="array" ref="I90">IF(A90="","",INDEX(البيانات!$P$2:$P$265,A90))</f>
        <v>46127</v>
      </c>
      <c r="J90" s="282" cm="1">
        <f t="array" ref="J90">IF(A90="","",INDEX(البيانات!$AI$2:$AI$265,A90))</f>
        <v>46134</v>
      </c>
      <c r="K90" s="109" t="str">
        <f>IF(OR(A90="",J90="",I90=""),"",IF(NETWORKDAYS.INTL(I90,J90,"0000011")-1&lt;=2,"✅ ملتزم","❌ غير ملتزم"))</f>
        <v>❌ غير ملتزم</v>
      </c>
      <c r="L90" s="284" t="str" cm="1">
        <f t="array" ref="L90">IF(A90="","",INDEX(البيانات!$AJ$2:$AJ$265,A90))</f>
        <v>حضرت</v>
      </c>
      <c r="M90" s="287"/>
      <c r="N90" s="288"/>
      <c r="O90" s="167"/>
    </row>
    <row r="91" spans="1:15">
      <c r="A91" s="182" cm="1">
        <f t="array" ref="A91">IFERROR(SMALL(IF(البيانات!$AS$2:$AS$265="مستشفى جازان العام",البيانات!$AT$2:$AT$265),89),"")</f>
        <v>171</v>
      </c>
      <c r="B91" s="182" t="str" cm="1">
        <f t="array" ref="B91">IF(A91="","",INDEX(البيانات!$V$2:$V$265,A91))</f>
        <v>1066057504</v>
      </c>
      <c r="C91" s="182" t="str" cm="1">
        <f t="array" ref="C91">IF(A91="","",INDEX(البيانات!$U$2:$U$265,A91))</f>
        <v>ABEER HASSAN MOHAMMED AGEELI</v>
      </c>
      <c r="D91" s="182" t="str" cm="1">
        <f t="array" ref="D91">IF(A91="","",INDEX(البيانات!$T$2:$T$265,A91))</f>
        <v>36</v>
      </c>
      <c r="E91" s="182" t="str" cm="1">
        <f t="array" ref="E91">IF(A91="","",INDEX(البيانات!$F$2:$F$265,A91))</f>
        <v>Central Sectorالقطاع المركزي</v>
      </c>
      <c r="F91" s="182" t="str" cm="1">
        <f t="array" ref="F91">IF(A91="","",INDEX(البيانات!$Y$2:$Y$265,A91))</f>
        <v>0545626311</v>
      </c>
      <c r="G91" s="281"/>
      <c r="H91" s="281"/>
      <c r="I91" s="184" cm="1">
        <f t="array" ref="I91">IF(A91="","",INDEX(البيانات!$P$2:$P$265,A91))</f>
        <v>46127</v>
      </c>
      <c r="J91" s="283" cm="1">
        <f t="array" ref="J91">IF(A91="","",INDEX(البيانات!$AI$2:$AI$265,A91))</f>
        <v>46134</v>
      </c>
      <c r="K91" s="183" t="str">
        <f>IF(OR(A91="",J91="",I91=""),"",IF(NETWORKDAYS.INTL(I91,J91,"0000011")-1&lt;=2,"✅ ملتزم","❌ غير ملتزم"))</f>
        <v>❌ غير ملتزم</v>
      </c>
      <c r="L91" s="285" t="str" cm="1">
        <f t="array" ref="L91">IF(A91="","",INDEX(البيانات!$AJ$2:$AJ$265,A91))</f>
        <v>حضرت</v>
      </c>
      <c r="M91" s="287"/>
      <c r="N91" s="288"/>
      <c r="O91" s="167"/>
    </row>
    <row r="92" spans="1:15">
      <c r="A92" s="112" cm="1">
        <f t="array" ref="A92">IFERROR(SMALL(IF(البيانات!$AS$2:$AS$265="مستشفى جازان العام",البيانات!$AT$2:$AT$265),90),"")</f>
        <v>173</v>
      </c>
      <c r="B92" s="112" t="str" cm="1">
        <f t="array" ref="B92">IF(A92="","",INDEX(البيانات!$V$2:$V$265,A92))</f>
        <v>1113502601</v>
      </c>
      <c r="C92" s="112" t="str" cm="1">
        <f t="array" ref="C92">IF(A92="","",INDEX(البيانات!$U$2:$U$265,A92))</f>
        <v>ALSHAYMAA MUSAAD IBRAHIM NAJDI</v>
      </c>
      <c r="D92" s="112" t="str" cm="1">
        <f t="array" ref="D92">IF(A92="","",INDEX(البيانات!$T$2:$T$265,A92))</f>
        <v>25</v>
      </c>
      <c r="E92" s="112" t="str" cm="1">
        <f t="array" ref="E92">IF(A92="","",INDEX(البيانات!$F$2:$F$265,A92))</f>
        <v>Central Sectorالقطاع المركزي</v>
      </c>
      <c r="F92" s="112" t="str" cm="1">
        <f t="array" ref="F92">IF(A92="","",INDEX(البيانات!$Y$2:$Y$265,A92))</f>
        <v>0507969112</v>
      </c>
      <c r="G92" s="280"/>
      <c r="H92" s="280"/>
      <c r="I92" s="181" cm="1">
        <f t="array" ref="I92">IF(A92="","",INDEX(البيانات!$P$2:$P$265,A92))</f>
        <v>46127</v>
      </c>
      <c r="J92" s="282" cm="1">
        <f t="array" ref="J92">IF(A92="","",INDEX(البيانات!$AI$2:$AI$265,A92))</f>
        <v>46134</v>
      </c>
      <c r="K92" s="109" t="str">
        <f>IF(OR(A92="",J92="",I92=""),"",IF(NETWORKDAYS.INTL(I92,J92,"0000011")-1&lt;=2,"✅ ملتزم","❌ غير ملتزم"))</f>
        <v>❌ غير ملتزم</v>
      </c>
      <c r="L92" s="284" cm="1">
        <f t="array" ref="L92">IF(A92="","",INDEX(البيانات!$AJ$2:$AJ$265,A92))</f>
        <v>0</v>
      </c>
      <c r="M92" s="287"/>
      <c r="N92" s="288"/>
      <c r="O92" s="167"/>
    </row>
    <row r="93" spans="1:15">
      <c r="A93" s="182" cm="1">
        <f t="array" ref="A93">IFERROR(SMALL(IF(البيانات!$AS$2:$AS$265="مستشفى جازان العام",البيانات!$AT$2:$AT$265),91),"")</f>
        <v>174</v>
      </c>
      <c r="B93" s="182" t="str" cm="1">
        <f t="array" ref="B93">IF(A93="","",INDEX(البيانات!$V$2:$V$265,A93))</f>
        <v>1119705216</v>
      </c>
      <c r="C93" s="182" t="str" cm="1">
        <f t="array" ref="C93">IF(A93="","",INDEX(البيانات!$U$2:$U$265,A93))</f>
        <v>REHAB HUSSAIN AHMED HAKAMI</v>
      </c>
      <c r="D93" s="182" t="str" cm="1">
        <f t="array" ref="D93">IF(A93="","",INDEX(البيانات!$T$2:$T$265,A93))</f>
        <v>26</v>
      </c>
      <c r="E93" s="182" t="str" cm="1">
        <f t="array" ref="E93">IF(A93="","",INDEX(البيانات!$F$2:$F$265,A93))</f>
        <v>Central Sectorالقطاع المركزي</v>
      </c>
      <c r="F93" s="182" t="str" cm="1">
        <f t="array" ref="F93">IF(A93="","",INDEX(البيانات!$Y$2:$Y$265,A93))</f>
        <v>0550603046</v>
      </c>
      <c r="G93" s="281"/>
      <c r="H93" s="281"/>
      <c r="I93" s="184" cm="1">
        <f t="array" ref="I93">IF(A93="","",INDEX(البيانات!$P$2:$P$265,A93))</f>
        <v>46127</v>
      </c>
      <c r="J93" s="283" cm="1">
        <f t="array" ref="J93">IF(A93="","",INDEX(البيانات!$AI$2:$AI$265,A93))</f>
        <v>46134</v>
      </c>
      <c r="K93" s="183" t="str">
        <f>IF(OR(A93="",J93="",I93=""),"",IF(NETWORKDAYS.INTL(I93,J93,"0000011")-1&lt;=2,"✅ ملتزم","❌ غير ملتزم"))</f>
        <v>❌ غير ملتزم</v>
      </c>
      <c r="L93" s="285" t="str" cm="1">
        <f t="array" ref="L93">IF(A93="","",INDEX(البيانات!$AJ$2:$AJ$265,A93))</f>
        <v>حضرت</v>
      </c>
      <c r="M93" s="287"/>
      <c r="N93" s="288"/>
      <c r="O93" s="167"/>
    </row>
    <row r="94" spans="1:15">
      <c r="A94" s="112" cm="1">
        <f t="array" ref="A94">IFERROR(SMALL(IF(البيانات!$AS$2:$AS$265="مستشفى جازان العام",البيانات!$AT$2:$AT$265),92),"")</f>
        <v>175</v>
      </c>
      <c r="B94" s="112" t="str" cm="1">
        <f t="array" ref="B94">IF(A94="","",INDEX(البيانات!$V$2:$V$265,A94))</f>
        <v>1133354827</v>
      </c>
      <c r="C94" s="112" t="str" cm="1">
        <f t="array" ref="C94">IF(A94="","",INDEX(البيانات!$U$2:$U$265,A94))</f>
        <v>Tasnin Basin Saad Hendi</v>
      </c>
      <c r="D94" s="112" t="str" cm="1">
        <f t="array" ref="D94">IF(A94="","",INDEX(البيانات!$T$2:$T$265,A94))</f>
        <v>21</v>
      </c>
      <c r="E94" s="112" t="str" cm="1">
        <f t="array" ref="E94">IF(A94="","",INDEX(البيانات!$F$2:$F$265,A94))</f>
        <v>Central Sectorالقطاع المركزي</v>
      </c>
      <c r="F94" s="112" t="str" cm="1">
        <f t="array" ref="F94">IF(A94="","",INDEX(البيانات!$Y$2:$Y$265,A94))</f>
        <v>539793334</v>
      </c>
      <c r="G94" s="280"/>
      <c r="H94" s="280"/>
      <c r="I94" s="181" cm="1">
        <f t="array" ref="I94">IF(A94="","",INDEX(البيانات!$P$2:$P$265,A94))</f>
        <v>46112</v>
      </c>
      <c r="J94" s="282" cm="1">
        <f t="array" ref="J94">IF(A94="","",INDEX(البيانات!$AI$2:$AI$265,A94))</f>
        <v>46134</v>
      </c>
      <c r="K94" s="109" t="str">
        <f>IF(OR(A94="",J94="",I94=""),"",IF(NETWORKDAYS.INTL(I94,J94,"0000011")-1&lt;=2,"✅ ملتزم","❌ غير ملتزم"))</f>
        <v>❌ غير ملتزم</v>
      </c>
      <c r="L94" s="284" t="str" cm="1">
        <f t="array" ref="L94">IF(A94="","",INDEX(البيانات!$AJ$2:$AJ$265,A94))</f>
        <v>حضرت</v>
      </c>
      <c r="M94" s="287"/>
      <c r="N94" s="288"/>
      <c r="O94" s="167"/>
    </row>
    <row r="95" spans="1:15">
      <c r="A95" s="182" cm="1">
        <f t="array" ref="A95">IFERROR(SMALL(IF(البيانات!$AS$2:$AS$265="مستشفى جازان العام",البيانات!$AT$2:$AT$265),93),"")</f>
        <v>176</v>
      </c>
      <c r="B95" s="182" t="str" cm="1">
        <f t="array" ref="B95">IF(A95="","",INDEX(البيانات!$V$2:$V$265,A95))</f>
        <v>1104535321</v>
      </c>
      <c r="C95" s="182" t="str" cm="1">
        <f t="array" ref="C95">IF(A95="","",INDEX(البيانات!$U$2:$U$265,A95))</f>
        <v>TAHANI WAHEEB JUHAYNI HABS</v>
      </c>
      <c r="D95" s="182" t="str" cm="1">
        <f t="array" ref="D95">IF(A95="","",INDEX(البيانات!$T$2:$T$265,A95))</f>
        <v>27</v>
      </c>
      <c r="E95" s="182" t="str" cm="1">
        <f t="array" ref="E95">IF(A95="","",INDEX(البيانات!$F$2:$F$265,A95))</f>
        <v>Central Sectorالقطاع المركزي</v>
      </c>
      <c r="F95" s="182" t="str" cm="1">
        <f t="array" ref="F95">IF(A95="","",INDEX(البيانات!$Y$2:$Y$265,A95))</f>
        <v>0530436642</v>
      </c>
      <c r="G95" s="281"/>
      <c r="H95" s="281"/>
      <c r="I95" s="184" cm="1">
        <f t="array" ref="I95">IF(A95="","",INDEX(البيانات!$P$2:$P$265,A95))</f>
        <v>46127</v>
      </c>
      <c r="J95" s="283" cm="1">
        <f t="array" ref="J95">IF(A95="","",INDEX(البيانات!$AI$2:$AI$265,A95))</f>
        <v>46134</v>
      </c>
      <c r="K95" s="183" t="str">
        <f>IF(OR(A95="",J95="",I95=""),"",IF(NETWORKDAYS.INTL(I95,J95,"0000011")-1&lt;=2,"✅ ملتزم","❌ غير ملتزم"))</f>
        <v>❌ غير ملتزم</v>
      </c>
      <c r="L95" s="285" t="str" cm="1">
        <f t="array" ref="L95">IF(A95="","",INDEX(البيانات!$AJ$2:$AJ$265,A95))</f>
        <v>حضرت</v>
      </c>
      <c r="M95" s="287"/>
      <c r="N95" s="288"/>
      <c r="O95" s="167"/>
    </row>
    <row r="96" spans="1:15">
      <c r="A96" s="112" cm="1">
        <f t="array" ref="A96">IFERROR(SMALL(IF(البيانات!$AS$2:$AS$265="مستشفى جازان العام",البيانات!$AT$2:$AT$265),94),"")</f>
        <v>178</v>
      </c>
      <c r="B96" s="112" t="str" cm="1">
        <f t="array" ref="B96">IF(A96="","",INDEX(البيانات!$V$2:$V$265,A96))</f>
        <v>1050676012</v>
      </c>
      <c r="C96" s="112" t="str" cm="1">
        <f t="array" ref="C96">IF(A96="","",INDEX(البيانات!$U$2:$U$265,A96))</f>
        <v>NASIYAH ALI AHMED HAZAZI</v>
      </c>
      <c r="D96" s="112" t="str" cm="1">
        <f t="array" ref="D96">IF(A96="","",INDEX(البيانات!$T$2:$T$265,A96))</f>
        <v>41</v>
      </c>
      <c r="E96" s="112" t="str" cm="1">
        <f t="array" ref="E96">IF(A96="","",INDEX(البيانات!$F$2:$F$265,A96))</f>
        <v>Central Sectorالقطاع المركزي</v>
      </c>
      <c r="F96" s="112" t="str" cm="1">
        <f t="array" ref="F96">IF(A96="","",INDEX(البيانات!$Y$2:$Y$265,A96))</f>
        <v>0533387606</v>
      </c>
      <c r="G96" s="280"/>
      <c r="H96" s="280"/>
      <c r="I96" s="181" cm="1">
        <f t="array" ref="I96">IF(A96="","",INDEX(البيانات!$P$2:$P$265,A96))</f>
        <v>46128</v>
      </c>
      <c r="J96" s="282" cm="1">
        <f t="array" ref="J96">IF(A96="","",INDEX(البيانات!$AI$2:$AI$265,A96))</f>
        <v>46134</v>
      </c>
      <c r="K96" s="109" t="str">
        <f>IF(OR(A96="",J96="",I96=""),"",IF(NETWORKDAYS.INTL(I96,J96,"0000011")-1&lt;=2,"✅ ملتزم","❌ غير ملتزم"))</f>
        <v>❌ غير ملتزم</v>
      </c>
      <c r="L96" s="284" t="str" cm="1">
        <f t="array" ref="L96">IF(A96="","",INDEX(البيانات!$AJ$2:$AJ$265,A96))</f>
        <v>حضرت</v>
      </c>
      <c r="M96" s="287"/>
      <c r="N96" s="288"/>
      <c r="O96" s="167"/>
    </row>
    <row r="97" spans="1:15">
      <c r="A97" s="182" cm="1">
        <f t="array" ref="A97">IFERROR(SMALL(IF(البيانات!$AS$2:$AS$265="مستشفى جازان العام",البيانات!$AT$2:$AT$265),95),"")</f>
        <v>180</v>
      </c>
      <c r="B97" s="182" t="str" cm="1">
        <f t="array" ref="B97">IF(A97="","",INDEX(البيانات!$V$2:$V$265,A97))</f>
        <v>1083154862</v>
      </c>
      <c r="C97" s="182" t="str" cm="1">
        <f t="array" ref="C97">IF(A97="","",INDEX(البيانات!$U$2:$U$265,A97))</f>
        <v xml:space="preserve">عائشة ثابت مهدي </v>
      </c>
      <c r="D97" s="182" cm="1">
        <f t="array" ref="D97">IF(A97="","",INDEX(البيانات!$T$2:$T$265,A97))</f>
        <v>37</v>
      </c>
      <c r="E97" s="182" t="str" cm="1">
        <f t="array" ref="E97">IF(A97="","",INDEX(البيانات!$F$2:$F$265,A97))</f>
        <v>Central Sectorالقطاع المركزي</v>
      </c>
      <c r="F97" s="182" t="str" cm="1">
        <f t="array" ref="F97">IF(A97="","",INDEX(البيانات!$Y$2:$Y$265,A97))</f>
        <v>0508063167</v>
      </c>
      <c r="G97" s="281"/>
      <c r="H97" s="281"/>
      <c r="I97" s="184" cm="1">
        <f t="array" ref="I97">IF(A97="","",INDEX(البيانات!$P$2:$P$265,A97))</f>
        <v>46131</v>
      </c>
      <c r="J97" s="283" cm="1">
        <f t="array" ref="J97">IF(A97="","",INDEX(البيانات!$AI$2:$AI$265,A97))</f>
        <v>46134</v>
      </c>
      <c r="K97" s="183" t="str">
        <f>IF(OR(A97="",J97="",I97=""),"",IF(NETWORKDAYS.INTL(I97,J97,"0000011")-1&lt;=2,"✅ ملتزم","❌ غير ملتزم"))</f>
        <v>✅ ملتزم</v>
      </c>
      <c r="L97" s="285" cm="1">
        <f t="array" ref="L97">IF(A97="","",INDEX(البيانات!$AJ$2:$AJ$265,A97))</f>
        <v>0</v>
      </c>
      <c r="M97" s="287"/>
      <c r="N97" s="288"/>
      <c r="O97" s="167"/>
    </row>
    <row r="98" spans="1:15">
      <c r="A98" s="112" cm="1">
        <f t="array" ref="A98">IFERROR(SMALL(IF(البيانات!$AS$2:$AS$265="مستشفى جازان العام",البيانات!$AT$2:$AT$265),96),"")</f>
        <v>181</v>
      </c>
      <c r="B98" s="112" t="str" cm="1">
        <f t="array" ref="B98">IF(A98="","",INDEX(البيانات!$V$2:$V$265,A98))</f>
        <v>1059980852</v>
      </c>
      <c r="C98" s="112" t="str" cm="1">
        <f t="array" ref="C98">IF(A98="","",INDEX(البيانات!$U$2:$U$265,A98))</f>
        <v xml:space="preserve">THURAYA </v>
      </c>
      <c r="D98" s="112" cm="1">
        <f t="array" ref="D98">IF(A98="","",INDEX(البيانات!$T$2:$T$265,A98))</f>
        <v>38</v>
      </c>
      <c r="E98" s="112" t="str" cm="1">
        <f t="array" ref="E98">IF(A98="","",INDEX(البيانات!$F$2:$F$265,A98))</f>
        <v xml:space="preserve">Southern Sector القطاع الجنوبي				</v>
      </c>
      <c r="F98" s="112" t="str" cm="1">
        <f t="array" ref="F98">IF(A98="","",INDEX(البيانات!$Y$2:$Y$265,A98))</f>
        <v>0543864232</v>
      </c>
      <c r="G98" s="280"/>
      <c r="H98" s="280"/>
      <c r="I98" s="181" cm="1">
        <f t="array" ref="I98">IF(A98="","",INDEX(البيانات!$P$2:$P$265,A98))</f>
        <v>46131</v>
      </c>
      <c r="J98" s="282" cm="1">
        <f t="array" ref="J98">IF(A98="","",INDEX(البيانات!$AI$2:$AI$265,A98))</f>
        <v>46134</v>
      </c>
      <c r="K98" s="109" t="str">
        <f>IF(OR(A98="",J98="",I98=""),"",IF(NETWORKDAYS.INTL(I98,J98,"0000011")-1&lt;=2,"✅ ملتزم","❌ غير ملتزم"))</f>
        <v>✅ ملتزم</v>
      </c>
      <c r="L98" s="284" t="str" cm="1">
        <f t="array" ref="L98">IF(A98="","",INDEX(البيانات!$AJ$2:$AJ$265,A98))</f>
        <v>حضرت</v>
      </c>
      <c r="M98" s="287"/>
      <c r="N98" s="288"/>
      <c r="O98" s="167"/>
    </row>
    <row r="99" spans="1:15">
      <c r="A99" s="182" cm="1">
        <f t="array" ref="A99">IFERROR(SMALL(IF(البيانات!$AS$2:$AS$265="مستشفى جازان العام",البيانات!$AT$2:$AT$265),97),"")</f>
        <v>182</v>
      </c>
      <c r="B99" s="182" t="str" cm="1">
        <f t="array" ref="B99">IF(A99="","",INDEX(البيانات!$V$2:$V$265,A99))</f>
        <v>2101886071</v>
      </c>
      <c r="C99" s="182" t="str" cm="1">
        <f t="array" ref="C99">IF(A99="","",INDEX(البيانات!$U$2:$U$265,A99))</f>
        <v>سلمى احمد محمد حشيبري</v>
      </c>
      <c r="D99" s="182" cm="1">
        <f t="array" ref="D99">IF(A99="","",INDEX(البيانات!$T$2:$T$265,A99))</f>
        <v>37</v>
      </c>
      <c r="E99" s="182" t="str" cm="1">
        <f t="array" ref="E99">IF(A99="","",INDEX(البيانات!$F$2:$F$265,A99))</f>
        <v>Central Sectorالقطاع المركزي</v>
      </c>
      <c r="F99" s="182" t="str" cm="1">
        <f t="array" ref="F99">IF(A99="","",INDEX(البيانات!$Y$2:$Y$265,A99))</f>
        <v>0553228313</v>
      </c>
      <c r="G99" s="281"/>
      <c r="H99" s="281"/>
      <c r="I99" s="184" cm="1">
        <f t="array" ref="I99">IF(A99="","",INDEX(البيانات!$P$2:$P$265,A99))</f>
        <v>46131</v>
      </c>
      <c r="J99" s="283" cm="1">
        <f t="array" ref="J99">IF(A99="","",INDEX(البيانات!$AI$2:$AI$265,A99))</f>
        <v>46134</v>
      </c>
      <c r="K99" s="183" t="str">
        <f>IF(OR(A99="",J99="",I99=""),"",IF(NETWORKDAYS.INTL(I99,J99,"0000011")-1&lt;=2,"✅ ملتزم","❌ غير ملتزم"))</f>
        <v>✅ ملتزم</v>
      </c>
      <c r="L99" s="285" t="str" cm="1">
        <f t="array" ref="L99">IF(A99="","",INDEX(البيانات!$AJ$2:$AJ$265,A99))</f>
        <v>حضرت</v>
      </c>
      <c r="M99" s="287"/>
      <c r="N99" s="288"/>
      <c r="O99" s="167"/>
    </row>
    <row r="100" spans="1:15">
      <c r="A100" s="112" cm="1">
        <f t="array" ref="A100">IFERROR(SMALL(IF(البيانات!$AS$2:$AS$265="مستشفى جازان العام",البيانات!$AT$2:$AT$265),98),"")</f>
        <v>183</v>
      </c>
      <c r="B100" s="112" t="str" cm="1">
        <f t="array" ref="B100">IF(A100="","",INDEX(البيانات!$V$2:$V$265,A100))</f>
        <v>1103437313</v>
      </c>
      <c r="C100" s="112" t="str" cm="1">
        <f t="array" ref="C100">IF(A100="","",INDEX(البيانات!$U$2:$U$265,A100))</f>
        <v>FATIMAH MAHDI MOHSEN TUMAYHI</v>
      </c>
      <c r="D100" s="112" cm="1">
        <f t="array" ref="D100">IF(A100="","",INDEX(البيانات!$T$2:$T$265,A100))</f>
        <v>29</v>
      </c>
      <c r="E100" s="112" t="str" cm="1">
        <f t="array" ref="E100">IF(A100="","",INDEX(البيانات!$F$2:$F$265,A100))</f>
        <v>Central Sectorالقطاع المركزي</v>
      </c>
      <c r="F100" s="112" t="str" cm="1">
        <f t="array" ref="F100">IF(A100="","",INDEX(البيانات!$Y$2:$Y$265,A100))</f>
        <v>0509919505</v>
      </c>
      <c r="G100" s="280"/>
      <c r="H100" s="280"/>
      <c r="I100" s="181" cm="1">
        <f t="array" ref="I100">IF(A100="","",INDEX(البيانات!$P$2:$P$265,A100))</f>
        <v>46131</v>
      </c>
      <c r="J100" s="282" cm="1">
        <f t="array" ref="J100">IF(A100="","",INDEX(البيانات!$AI$2:$AI$265,A100))</f>
        <v>46134</v>
      </c>
      <c r="K100" s="109" t="str">
        <f>IF(OR(A100="",J100="",I100=""),"",IF(NETWORKDAYS.INTL(I100,J100,"0000011")-1&lt;=2,"✅ ملتزم","❌ غير ملتزم"))</f>
        <v>✅ ملتزم</v>
      </c>
      <c r="L100" s="284" t="str" cm="1">
        <f t="array" ref="L100">IF(A100="","",INDEX(البيانات!$AJ$2:$AJ$265,A100))</f>
        <v>حضرت</v>
      </c>
      <c r="M100" s="287"/>
      <c r="N100" s="288"/>
      <c r="O100" s="167"/>
    </row>
    <row r="101" spans="1:15">
      <c r="A101" s="182" cm="1">
        <f t="array" ref="A101">IFERROR(SMALL(IF(البيانات!$AS$2:$AS$265="مستشفى جازان العام",البيانات!$AT$2:$AT$265),99),"")</f>
        <v>185</v>
      </c>
      <c r="B101" s="182" t="str" cm="1">
        <f t="array" ref="B101">IF(A101="","",INDEX(البيانات!$V$2:$V$265,A101))</f>
        <v>2443351560</v>
      </c>
      <c r="C101" s="182" t="str" cm="1">
        <f t="array" ref="C101">IF(A101="","",INDEX(البيانات!$U$2:$U$265,A101))</f>
        <v>هدى علي ربيع عيسى عظابي</v>
      </c>
      <c r="D101" s="182" cm="1">
        <f t="array" ref="D101">IF(A101="","",INDEX(البيانات!$T$2:$T$265,A101))</f>
        <v>39</v>
      </c>
      <c r="E101" s="182" t="str" cm="1">
        <f t="array" ref="E101">IF(A101="","",INDEX(البيانات!$F$2:$F$265,A101))</f>
        <v>Central Sectorالقطاع المركزي</v>
      </c>
      <c r="F101" s="182" t="str" cm="1">
        <f t="array" ref="F101">IF(A101="","",INDEX(البيانات!$Y$2:$Y$265,A101))</f>
        <v>0552801631</v>
      </c>
      <c r="G101" s="281"/>
      <c r="H101" s="281"/>
      <c r="I101" s="184" cm="1">
        <f t="array" ref="I101">IF(A101="","",INDEX(البيانات!$P$2:$P$265,A101))</f>
        <v>46132</v>
      </c>
      <c r="J101" s="283" cm="1">
        <f t="array" ref="J101">IF(A101="","",INDEX(البيانات!$AI$2:$AI$265,A101))</f>
        <v>46134</v>
      </c>
      <c r="K101" s="183" t="str">
        <f>IF(OR(A101="",J101="",I101=""),"",IF(NETWORKDAYS.INTL(I101,J101,"0000011")-1&lt;=2,"✅ ملتزم","❌ غير ملتزم"))</f>
        <v>✅ ملتزم</v>
      </c>
      <c r="L101" s="285" t="str" cm="1">
        <f t="array" ref="L101">IF(A101="","",INDEX(البيانات!$AJ$2:$AJ$265,A101))</f>
        <v>حضرت</v>
      </c>
      <c r="M101" s="287"/>
      <c r="N101" s="288"/>
      <c r="O101" s="167"/>
    </row>
    <row r="102" spans="1:15">
      <c r="A102" s="112" cm="1">
        <f t="array" ref="A102">IFERROR(SMALL(IF(البيانات!$AS$2:$AS$265="مستشفى جازان العام",البيانات!$AT$2:$AT$265),100),"")</f>
        <v>186</v>
      </c>
      <c r="B102" s="112" t="str" cm="1">
        <f t="array" ref="B102">IF(A102="","",INDEX(البيانات!$V$2:$V$265,A102))</f>
        <v>1049852633</v>
      </c>
      <c r="C102" s="112" t="str" cm="1">
        <f t="array" ref="C102">IF(A102="","",INDEX(البيانات!$U$2:$U$265,A102))</f>
        <v>رحمة محمد مهدي مغفوري</v>
      </c>
      <c r="D102" s="112" cm="1">
        <f t="array" ref="D102">IF(A102="","",INDEX(البيانات!$T$2:$T$265,A102))</f>
        <v>39</v>
      </c>
      <c r="E102" s="112" t="str" cm="1">
        <f t="array" ref="E102">IF(A102="","",INDEX(البيانات!$F$2:$F$265,A102))</f>
        <v>Central Sectorالقطاع المركزي</v>
      </c>
      <c r="F102" s="112" t="str" cm="1">
        <f t="array" ref="F102">IF(A102="","",INDEX(البيانات!$Y$2:$Y$265,A102))</f>
        <v>0551907445</v>
      </c>
      <c r="G102" s="280"/>
      <c r="H102" s="280"/>
      <c r="I102" s="181" cm="1">
        <f t="array" ref="I102">IF(A102="","",INDEX(البيانات!$P$2:$P$265,A102))</f>
        <v>46132</v>
      </c>
      <c r="J102" s="282" cm="1">
        <f t="array" ref="J102">IF(A102="","",INDEX(البيانات!$AI$2:$AI$265,A102))</f>
        <v>46140</v>
      </c>
      <c r="K102" s="109" t="str">
        <f>IF(OR(A102="",J102="",I102=""),"",IF(NETWORKDAYS.INTL(I102,J102,"0000011")-1&lt;=2,"✅ ملتزم","❌ غير ملتزم"))</f>
        <v>❌ غير ملتزم</v>
      </c>
      <c r="L102" s="284" t="str" cm="1">
        <f t="array" ref="L102">IF(A102="","",INDEX(البيانات!$AJ$2:$AJ$265,A102))</f>
        <v>حضرت</v>
      </c>
      <c r="M102" s="287"/>
      <c r="N102" s="288"/>
      <c r="O102" s="167"/>
    </row>
    <row r="103" spans="1:15">
      <c r="A103" s="182" cm="1">
        <f t="array" ref="A103">IFERROR(SMALL(IF(البيانات!$AS$2:$AS$265="مستشفى جازان العام",البيانات!$AT$2:$AT$265),101),"")</f>
        <v>187</v>
      </c>
      <c r="B103" s="182" t="str" cm="1">
        <f t="array" ref="B103">IF(A103="","",INDEX(البيانات!$V$2:$V$265,A103))</f>
        <v>1049017419</v>
      </c>
      <c r="C103" s="182" t="str" cm="1">
        <f t="array" ref="C103">IF(A103="","",INDEX(البيانات!$U$2:$U$265,A103))</f>
        <v>FATIMAH HASSAN ABDULLAH SALEH</v>
      </c>
      <c r="D103" s="182" cm="1">
        <f t="array" ref="D103">IF(A103="","",INDEX(البيانات!$T$2:$T$265,A103))</f>
        <v>38</v>
      </c>
      <c r="E103" s="182" t="str" cm="1">
        <f t="array" ref="E103">IF(A103="","",INDEX(البيانات!$F$2:$F$265,A103))</f>
        <v>Central Sectorالقطاع المركزي</v>
      </c>
      <c r="F103" s="182" t="str" cm="1">
        <f t="array" ref="F103">IF(A103="","",INDEX(البيانات!$Y$2:$Y$265,A103))</f>
        <v>0503482343</v>
      </c>
      <c r="G103" s="281"/>
      <c r="H103" s="281"/>
      <c r="I103" s="184" cm="1">
        <f t="array" ref="I103">IF(A103="","",INDEX(البيانات!$P$2:$P$265,A103))</f>
        <v>46132</v>
      </c>
      <c r="J103" s="283" cm="1">
        <f t="array" ref="J103">IF(A103="","",INDEX(البيانات!$AI$2:$AI$265,A103))</f>
        <v>46135</v>
      </c>
      <c r="K103" s="183" t="str">
        <f>IF(OR(A103="",J103="",I103=""),"",IF(NETWORKDAYS.INTL(I103,J103,"0000011")-1&lt;=2,"✅ ملتزم","❌ غير ملتزم"))</f>
        <v>❌ غير ملتزم</v>
      </c>
      <c r="L103" s="285" t="str" cm="1">
        <f t="array" ref="L103">IF(A103="","",INDEX(البيانات!$AJ$2:$AJ$265,A103))</f>
        <v>حضرت</v>
      </c>
      <c r="M103" s="287"/>
      <c r="N103" s="288"/>
      <c r="O103" s="167"/>
    </row>
    <row r="104" spans="1:15">
      <c r="A104" s="112" cm="1">
        <f t="array" ref="A104">IFERROR(SMALL(IF(البيانات!$AS$2:$AS$265="مستشفى جازان العام",البيانات!$AT$2:$AT$265),102),"")</f>
        <v>188</v>
      </c>
      <c r="B104" s="112" t="str" cm="1">
        <f t="array" ref="B104">IF(A104="","",INDEX(البيانات!$V$2:$V$265,A104))</f>
        <v>2214885804</v>
      </c>
      <c r="C104" s="112" t="str" cm="1">
        <f t="array" ref="C104">IF(A104="","",INDEX(البيانات!$U$2:$U$265,A104))</f>
        <v>SHAHD AHMED</v>
      </c>
      <c r="D104" s="112" cm="1">
        <f t="array" ref="D104">IF(A104="","",INDEX(البيانات!$T$2:$T$265,A104))</f>
        <v>21</v>
      </c>
      <c r="E104" s="112" t="str" cm="1">
        <f t="array" ref="E104">IF(A104="","",INDEX(البيانات!$F$2:$F$265,A104))</f>
        <v>Central Sectorالقطاع المركزي</v>
      </c>
      <c r="F104" s="112" t="str" cm="1">
        <f t="array" ref="F104">IF(A104="","",INDEX(البيانات!$Y$2:$Y$265,A104))</f>
        <v>0509226244</v>
      </c>
      <c r="G104" s="280"/>
      <c r="H104" s="280"/>
      <c r="I104" s="181" cm="1">
        <f t="array" ref="I104">IF(A104="","",INDEX(البيانات!$P$2:$P$265,A104))</f>
        <v>46133</v>
      </c>
      <c r="J104" s="282" cm="1">
        <f t="array" ref="J104">IF(A104="","",INDEX(البيانات!$AI$2:$AI$265,A104))</f>
        <v>46135</v>
      </c>
      <c r="K104" s="109" t="str">
        <f>IF(OR(A104="",J104="",I104=""),"",IF(NETWORKDAYS.INTL(I104,J104,"0000011")-1&lt;=2,"✅ ملتزم","❌ غير ملتزم"))</f>
        <v>✅ ملتزم</v>
      </c>
      <c r="L104" s="284" t="str" cm="1">
        <f t="array" ref="L104">IF(A104="","",INDEX(البيانات!$AJ$2:$AJ$265,A104))</f>
        <v>حضرت</v>
      </c>
      <c r="M104" s="287"/>
      <c r="N104" s="288"/>
      <c r="O104" s="167"/>
    </row>
    <row r="105" spans="1:15">
      <c r="A105" s="182" cm="1">
        <f t="array" ref="A105">IFERROR(SMALL(IF(البيانات!$AS$2:$AS$265="مستشفى جازان العام",البيانات!$AT$2:$AT$265),103),"")</f>
        <v>190</v>
      </c>
      <c r="B105" s="182" t="str" cm="1">
        <f t="array" ref="B105">IF(A105="","",INDEX(البيانات!$V$2:$V$265,A105))</f>
        <v>1086339510</v>
      </c>
      <c r="C105" s="182" t="str" cm="1">
        <f t="array" ref="C105">IF(A105="","",INDEX(البيانات!$U$2:$U$265,A105))</f>
        <v xml:space="preserve">مريم حسن المالكي </v>
      </c>
      <c r="D105" s="182" cm="1">
        <f t="array" ref="D105">IF(A105="","",INDEX(البيانات!$T$2:$T$265,A105))</f>
        <v>31</v>
      </c>
      <c r="E105" s="182" t="str" cm="1">
        <f t="array" ref="E105">IF(A105="","",INDEX(البيانات!$F$2:$F$265,A105))</f>
        <v>Central Sectorالقطاع المركزي</v>
      </c>
      <c r="F105" s="182" t="str" cm="1">
        <f t="array" ref="F105">IF(A105="","",INDEX(البيانات!$Y$2:$Y$265,A105))</f>
        <v>0551193129</v>
      </c>
      <c r="G105" s="281"/>
      <c r="H105" s="281"/>
      <c r="I105" s="184" cm="1">
        <f t="array" ref="I105">IF(A105="","",INDEX(البيانات!$P$2:$P$265,A105))</f>
        <v>46133</v>
      </c>
      <c r="J105" s="283" cm="1">
        <f t="array" ref="J105">IF(A105="","",INDEX(البيانات!$AI$2:$AI$265,A105))</f>
        <v>46135</v>
      </c>
      <c r="K105" s="183" t="str">
        <f>IF(OR(A105="",J105="",I105=""),"",IF(NETWORKDAYS.INTL(I105,J105,"0000011")-1&lt;=2,"✅ ملتزم","❌ غير ملتزم"))</f>
        <v>✅ ملتزم</v>
      </c>
      <c r="L105" s="285" t="str" cm="1">
        <f t="array" ref="L105">IF(A105="","",INDEX(البيانات!$AJ$2:$AJ$265,A105))</f>
        <v>حضرت</v>
      </c>
      <c r="M105" s="287"/>
      <c r="N105" s="288"/>
      <c r="O105" s="167"/>
    </row>
    <row r="106" spans="1:15">
      <c r="A106" s="112" cm="1">
        <f t="array" ref="A106">IFERROR(SMALL(IF(البيانات!$AS$2:$AS$265="مستشفى جازان العام",البيانات!$AT$2:$AT$265),104),"")</f>
        <v>191</v>
      </c>
      <c r="B106" s="112" t="str" cm="1">
        <f t="array" ref="B106">IF(A106="","",INDEX(البيانات!$V$2:$V$265,A106))</f>
        <v>1124369578</v>
      </c>
      <c r="C106" s="112" t="str" cm="1">
        <f t="array" ref="C106">IF(A106="","",INDEX(البيانات!$U$2:$U$265,A106))</f>
        <v>RANEEM ALI</v>
      </c>
      <c r="D106" s="112" cm="1">
        <f t="array" ref="D106">IF(A106="","",INDEX(البيانات!$T$2:$T$265,A106))</f>
        <v>22</v>
      </c>
      <c r="E106" s="112" t="str" cm="1">
        <f t="array" ref="E106">IF(A106="","",INDEX(البيانات!$F$2:$F$265,A106))</f>
        <v>Central Sectorالقطاع المركزي</v>
      </c>
      <c r="F106" s="112" t="str" cm="1">
        <f t="array" ref="F106">IF(A106="","",INDEX(البيانات!$Y$2:$Y$265,A106))</f>
        <v>0592224432</v>
      </c>
      <c r="G106" s="280"/>
      <c r="H106" s="280"/>
      <c r="I106" s="181" cm="1">
        <f t="array" ref="I106">IF(A106="","",INDEX(البيانات!$P$2:$P$265,A106))</f>
        <v>46133</v>
      </c>
      <c r="J106" s="282" cm="1">
        <f t="array" ref="J106">IF(A106="","",INDEX(البيانات!$AI$2:$AI$265,A106))</f>
        <v>46135</v>
      </c>
      <c r="K106" s="109" t="str">
        <f>IF(OR(A106="",J106="",I106=""),"",IF(NETWORKDAYS.INTL(I106,J106,"0000011")-1&lt;=2,"✅ ملتزم","❌ غير ملتزم"))</f>
        <v>✅ ملتزم</v>
      </c>
      <c r="L106" s="284" t="str" cm="1">
        <f t="array" ref="L106">IF(A106="","",INDEX(البيانات!$AJ$2:$AJ$265,A106))</f>
        <v>حضرت</v>
      </c>
      <c r="M106" s="287"/>
      <c r="N106" s="288"/>
      <c r="O106" s="167"/>
    </row>
    <row r="107" spans="1:15">
      <c r="A107" s="182" cm="1">
        <f t="array" ref="A107">IFERROR(SMALL(IF(البيانات!$AS$2:$AS$265="مستشفى جازان العام",البيانات!$AT$2:$AT$265),105),"")</f>
        <v>193</v>
      </c>
      <c r="B107" s="182" t="str" cm="1">
        <f t="array" ref="B107">IF(A107="","",INDEX(البيانات!$V$2:$V$265,A107))</f>
        <v>1121850158</v>
      </c>
      <c r="C107" s="182" t="str" cm="1">
        <f t="array" ref="C107">IF(A107="","",INDEX(البيانات!$U$2:$U$265,A107))</f>
        <v>GHADEER FAHAD ESSA HAKAMI</v>
      </c>
      <c r="D107" s="182" cm="1">
        <f t="array" ref="D107">IF(A107="","",INDEX(البيانات!$T$2:$T$265,A107))</f>
        <v>28</v>
      </c>
      <c r="E107" s="182" t="str" cm="1">
        <f t="array" ref="E107">IF(A107="","",INDEX(البيانات!$F$2:$F$265,A107))</f>
        <v>Central Sectorالقطاع المركزي</v>
      </c>
      <c r="F107" s="182" t="str" cm="1">
        <f t="array" ref="F107">IF(A107="","",INDEX(البيانات!$Y$2:$Y$265,A107))</f>
        <v>0582232246</v>
      </c>
      <c r="G107" s="281"/>
      <c r="H107" s="281"/>
      <c r="I107" s="184" cm="1">
        <f t="array" ref="I107">IF(A107="","",INDEX(البيانات!$P$2:$P$265,A107))</f>
        <v>46126</v>
      </c>
      <c r="J107" s="283" cm="1">
        <f t="array" ref="J107">IF(A107="","",INDEX(البيانات!$AI$2:$AI$265,A107))</f>
        <v>46138</v>
      </c>
      <c r="K107" s="183" t="str">
        <f>IF(OR(A107="",J107="",I107=""),"",IF(NETWORKDAYS.INTL(I107,J107,"0000011")-1&lt;=2,"✅ ملتزم","❌ غير ملتزم"))</f>
        <v>❌ غير ملتزم</v>
      </c>
      <c r="L107" s="285" t="str" cm="1">
        <f t="array" ref="L107">IF(A107="","",INDEX(البيانات!$AJ$2:$AJ$265,A107))</f>
        <v>حضرت</v>
      </c>
      <c r="M107" s="287"/>
      <c r="N107" s="288"/>
      <c r="O107" s="167"/>
    </row>
    <row r="108" spans="1:15">
      <c r="A108" s="112" cm="1">
        <f t="array" ref="A108">IFERROR(SMALL(IF(البيانات!$AS$2:$AS$265="مستشفى جازان العام",البيانات!$AT$2:$AT$265),106),"")</f>
        <v>197</v>
      </c>
      <c r="B108" s="112" t="str" cm="1">
        <f t="array" ref="B108">IF(A108="","",INDEX(البيانات!$V$2:$V$265,A108))</f>
        <v>1076142635</v>
      </c>
      <c r="C108" s="112" t="str" cm="1">
        <f t="array" ref="C108">IF(A108="","",INDEX(البيانات!$U$2:$U$265,A108))</f>
        <v>NORAH ALI TAYYASH ASHIRI (164000000004501) - نوره علي بن طياش عشيري</v>
      </c>
      <c r="D108" s="112" cm="1">
        <f t="array" ref="D108">IF(A108="","",INDEX(البيانات!$T$2:$T$265,A108))</f>
        <v>34</v>
      </c>
      <c r="E108" s="112" t="str" cm="1">
        <f t="array" ref="E108">IF(A108="","",INDEX(البيانات!$F$2:$F$265,A108))</f>
        <v>Central Sectorالقطاع المركزي</v>
      </c>
      <c r="F108" s="112" t="str" cm="1">
        <f t="array" ref="F108">IF(A108="","",INDEX(البيانات!$Y$2:$Y$265,A108))</f>
        <v>0550489713</v>
      </c>
      <c r="G108" s="280"/>
      <c r="H108" s="280"/>
      <c r="I108" s="181" cm="1">
        <f t="array" ref="I108">IF(A108="","",INDEX(البيانات!$P$2:$P$265,A108))</f>
        <v>46134</v>
      </c>
      <c r="J108" s="282" cm="1">
        <f t="array" ref="J108">IF(A108="","",INDEX(البيانات!$AI$2:$AI$265,A108))</f>
        <v>46135</v>
      </c>
      <c r="K108" s="109" t="str">
        <f>IF(OR(A108="",J108="",I108=""),"",IF(NETWORKDAYS.INTL(I108,J108,"0000011")-1&lt;=2,"✅ ملتزم","❌ غير ملتزم"))</f>
        <v>✅ ملتزم</v>
      </c>
      <c r="L108" s="284" t="str" cm="1">
        <f t="array" ref="L108">IF(A108="","",INDEX(البيانات!$AJ$2:$AJ$265,A108))</f>
        <v>حضرت</v>
      </c>
      <c r="M108" s="287"/>
      <c r="N108" s="288"/>
      <c r="O108" s="167"/>
    </row>
    <row r="109" spans="1:15">
      <c r="A109" s="182" cm="1">
        <f t="array" ref="A109">IFERROR(SMALL(IF(البيانات!$AS$2:$AS$265="مستشفى جازان العام",البيانات!$AT$2:$AT$265),107),"")</f>
        <v>198</v>
      </c>
      <c r="B109" s="182" t="str" cm="1">
        <f t="array" ref="B109">IF(A109="","",INDEX(البيانات!$V$2:$V$265,A109))</f>
        <v>1068046877</v>
      </c>
      <c r="C109" s="182" t="str" cm="1">
        <f t="array" ref="C109">IF(A109="","",INDEX(البيانات!$U$2:$U$265,A109))</f>
        <v>خديجة هاشم</v>
      </c>
      <c r="D109" s="182" cm="1">
        <f t="array" ref="D109">IF(A109="","",INDEX(البيانات!$T$2:$T$265,A109))</f>
        <v>35</v>
      </c>
      <c r="E109" s="182" t="str" cm="1">
        <f t="array" ref="E109">IF(A109="","",INDEX(البيانات!$F$2:$F$265,A109))</f>
        <v>Central Sectorالقطاع المركزي</v>
      </c>
      <c r="F109" s="182" t="str" cm="1">
        <f t="array" ref="F109">IF(A109="","",INDEX(البيانات!$Y$2:$Y$265,A109))</f>
        <v>0532237368</v>
      </c>
      <c r="G109" s="281"/>
      <c r="H109" s="281"/>
      <c r="I109" s="184" cm="1">
        <f t="array" ref="I109">IF(A109="","",INDEX(البيانات!$P$2:$P$265,A109))</f>
        <v>46134</v>
      </c>
      <c r="J109" s="283" cm="1">
        <f t="array" ref="J109">IF(A109="","",INDEX(البيانات!$AI$2:$AI$265,A109))</f>
        <v>46135</v>
      </c>
      <c r="K109" s="183" t="str">
        <f>IF(OR(A109="",J109="",I109=""),"",IF(NETWORKDAYS.INTL(I109,J109,"0000011")-1&lt;=2,"✅ ملتزم","❌ غير ملتزم"))</f>
        <v>✅ ملتزم</v>
      </c>
      <c r="L109" s="285" t="str" cm="1">
        <f t="array" ref="L109">IF(A109="","",INDEX(البيانات!$AJ$2:$AJ$265,A109))</f>
        <v>حضرت</v>
      </c>
      <c r="M109" s="287"/>
      <c r="N109" s="288"/>
      <c r="O109" s="167"/>
    </row>
    <row r="110" spans="1:15">
      <c r="A110" s="112" cm="1">
        <f t="array" ref="A110">IFERROR(SMALL(IF(البيانات!$AS$2:$AS$265="مستشفى جازان العام",البيانات!$AT$2:$AT$265),108),"")</f>
        <v>199</v>
      </c>
      <c r="B110" s="112" t="str" cm="1">
        <f t="array" ref="B110">IF(A110="","",INDEX(البيانات!$V$2:$V$265,A110))</f>
        <v>1137318042</v>
      </c>
      <c r="C110" s="112" t="str" cm="1">
        <f t="array" ref="C110">IF(A110="","",INDEX(البيانات!$U$2:$U$265,A110))</f>
        <v>ALIYAH AHMED ABDULLAH QAYSI</v>
      </c>
      <c r="D110" s="112" cm="1">
        <f t="array" ref="D110">IF(A110="","",INDEX(البيانات!$T$2:$T$265,A110))</f>
        <v>23</v>
      </c>
      <c r="E110" s="112" t="str" cm="1">
        <f t="array" ref="E110">IF(A110="","",INDEX(البيانات!$F$2:$F$265,A110))</f>
        <v>Central Sectorالقطاع المركزي</v>
      </c>
      <c r="F110" s="112" t="str" cm="1">
        <f t="array" ref="F110">IF(A110="","",INDEX(البيانات!$Y$2:$Y$265,A110))</f>
        <v>0556257509</v>
      </c>
      <c r="G110" s="280"/>
      <c r="H110" s="280"/>
      <c r="I110" s="181" cm="1">
        <f t="array" ref="I110">IF(A110="","",INDEX(البيانات!$P$2:$P$265,A110))</f>
        <v>46134</v>
      </c>
      <c r="J110" s="282" cm="1">
        <f t="array" ref="J110">IF(A110="","",INDEX(البيانات!$AI$2:$AI$265,A110))</f>
        <v>46135</v>
      </c>
      <c r="K110" s="109" t="str">
        <f>IF(OR(A110="",J110="",I110=""),"",IF(NETWORKDAYS.INTL(I110,J110,"0000011")-1&lt;=2,"✅ ملتزم","❌ غير ملتزم"))</f>
        <v>✅ ملتزم</v>
      </c>
      <c r="L110" s="284" t="str" cm="1">
        <f t="array" ref="L110">IF(A110="","",INDEX(البيانات!$AJ$2:$AJ$265,A110))</f>
        <v>حضرت</v>
      </c>
      <c r="M110" s="287"/>
      <c r="N110" s="288"/>
      <c r="O110" s="167"/>
    </row>
    <row r="111" spans="1:15">
      <c r="A111" s="182" cm="1">
        <f t="array" ref="A111">IFERROR(SMALL(IF(البيانات!$AS$2:$AS$265="مستشفى جازان العام",البيانات!$AT$2:$AT$265),109),"")</f>
        <v>200</v>
      </c>
      <c r="B111" s="182" t="str" cm="1">
        <f t="array" ref="B111">IF(A111="","",INDEX(البيانات!$V$2:$V$265,A111))</f>
        <v>1022258550</v>
      </c>
      <c r="C111" s="182" t="str" cm="1">
        <f t="array" ref="C111">IF(A111="","",INDEX(البيانات!$U$2:$U$265,A111))</f>
        <v>MAJIDAH SULAIMAN AHMED ALSHAHRANI</v>
      </c>
      <c r="D111" s="182" cm="1">
        <f t="array" ref="D111">IF(A111="","",INDEX(البيانات!$T$2:$T$265,A111))</f>
        <v>42</v>
      </c>
      <c r="E111" s="182" t="str" cm="1">
        <f t="array" ref="E111">IF(A111="","",INDEX(البيانات!$F$2:$F$265,A111))</f>
        <v>Central Sectorالقطاع المركزي</v>
      </c>
      <c r="F111" s="182" t="str" cm="1">
        <f t="array" ref="F111">IF(A111="","",INDEX(البيانات!$Y$2:$Y$265,A111))</f>
        <v>0562331166</v>
      </c>
      <c r="G111" s="281"/>
      <c r="H111" s="281"/>
      <c r="I111" s="184" cm="1">
        <f t="array" ref="I111">IF(A111="","",INDEX(البيانات!$P$2:$P$265,A111))</f>
        <v>46134</v>
      </c>
      <c r="J111" s="283" cm="1">
        <f t="array" ref="J111">IF(A111="","",INDEX(البيانات!$AI$2:$AI$265,A111))</f>
        <v>46135</v>
      </c>
      <c r="K111" s="183" t="str">
        <f>IF(OR(A111="",J111="",I111=""),"",IF(NETWORKDAYS.INTL(I111,J111,"0000011")-1&lt;=2,"✅ ملتزم","❌ غير ملتزم"))</f>
        <v>✅ ملتزم</v>
      </c>
      <c r="L111" s="285" t="str" cm="1">
        <f t="array" ref="L111">IF(A111="","",INDEX(البيانات!$AJ$2:$AJ$265,A111))</f>
        <v>حضرت</v>
      </c>
      <c r="M111" s="287"/>
      <c r="N111" s="288"/>
      <c r="O111" s="167"/>
    </row>
    <row r="112" spans="1:15">
      <c r="A112" s="112" cm="1">
        <f t="array" ref="A112">IFERROR(SMALL(IF(البيانات!$AS$2:$AS$265="مستشفى جازان العام",البيانات!$AT$2:$AT$265),110),"")</f>
        <v>201</v>
      </c>
      <c r="B112" s="112" t="str" cm="1">
        <f t="array" ref="B112">IF(A112="","",INDEX(البيانات!$V$2:$V$265,A112))</f>
        <v>2379722966</v>
      </c>
      <c r="C112" s="112" t="str" cm="1">
        <f t="array" ref="C112">IF(A112="","",INDEX(البيانات!$U$2:$U$265,A112))</f>
        <v>رانية عبد السلام امجاهد</v>
      </c>
      <c r="D112" s="112" cm="1">
        <f t="array" ref="D112">IF(A112="","",INDEX(البيانات!$T$2:$T$265,A112))</f>
        <v>34</v>
      </c>
      <c r="E112" s="112" t="str" cm="1">
        <f t="array" ref="E112">IF(A112="","",INDEX(البيانات!$F$2:$F$265,A112))</f>
        <v>Central Sectorالقطاع المركزي</v>
      </c>
      <c r="F112" s="112" t="str" cm="1">
        <f t="array" ref="F112">IF(A112="","",INDEX(البيانات!$Y$2:$Y$265,A112))</f>
        <v>0590442952</v>
      </c>
      <c r="G112" s="280"/>
      <c r="H112" s="280"/>
      <c r="I112" s="181" cm="1">
        <f t="array" ref="I112">IF(A112="","",INDEX(البيانات!$P$2:$P$265,A112))</f>
        <v>46134</v>
      </c>
      <c r="J112" s="282" cm="1">
        <f t="array" ref="J112">IF(A112="","",INDEX(البيانات!$AI$2:$AI$265,A112))</f>
        <v>46140</v>
      </c>
      <c r="K112" s="109" t="str">
        <f>IF(OR(A112="",J112="",I112=""),"",IF(NETWORKDAYS.INTL(I112,J112,"0000011")-1&lt;=2,"✅ ملتزم","❌ غير ملتزم"))</f>
        <v>❌ غير ملتزم</v>
      </c>
      <c r="L112" s="284" t="str" cm="1">
        <f t="array" ref="L112">IF(A112="","",INDEX(البيانات!$AJ$2:$AJ$265,A112))</f>
        <v>حضرت</v>
      </c>
      <c r="M112" s="287"/>
      <c r="N112" s="288"/>
      <c r="O112" s="167"/>
    </row>
    <row r="113" spans="1:15">
      <c r="A113" s="182" cm="1">
        <f t="array" ref="A113">IFERROR(SMALL(IF(البيانات!$AS$2:$AS$265="مستشفى جازان العام",البيانات!$AT$2:$AT$265),111),"")</f>
        <v>203</v>
      </c>
      <c r="B113" s="182" t="str" cm="1">
        <f t="array" ref="B113">IF(A113="","",INDEX(البيانات!$V$2:$V$265,A113))</f>
        <v>1058861640</v>
      </c>
      <c r="C113" s="182" t="str" cm="1">
        <f t="array" ref="C113">IF(A113="","",INDEX(البيانات!$U$2:$U$265,A113))</f>
        <v>JUMAH MASHNI ABDULLAH TUMAYHI</v>
      </c>
      <c r="D113" s="182" cm="1">
        <f t="array" ref="D113">IF(A113="","",INDEX(البيانات!$T$2:$T$265,A113))</f>
        <v>38</v>
      </c>
      <c r="E113" s="182" t="str" cm="1">
        <f t="array" ref="E113">IF(A113="","",INDEX(البيانات!$F$2:$F$265,A113))</f>
        <v>Western Sectorالقطاع الغربي</v>
      </c>
      <c r="F113" s="182" t="str" cm="1">
        <f t="array" ref="F113">IF(A113="","",INDEX(البيانات!$Y$2:$Y$265,A113))</f>
        <v>0534961417</v>
      </c>
      <c r="G113" s="281"/>
      <c r="H113" s="281"/>
      <c r="I113" s="184" cm="1">
        <f t="array" ref="I113">IF(A113="","",INDEX(البيانات!$P$2:$P$265,A113))</f>
        <v>46135</v>
      </c>
      <c r="J113" s="283" cm="1">
        <f t="array" ref="J113">IF(A113="","",INDEX(البيانات!$AI$2:$AI$265,A113))</f>
        <v>46142</v>
      </c>
      <c r="K113" s="183" t="str">
        <f>IF(OR(A113="",J113="",I113=""),"",IF(NETWORKDAYS.INTL(I113,J113,"0000011")-1&lt;=2,"✅ ملتزم","❌ غير ملتزم"))</f>
        <v>❌ غير ملتزم</v>
      </c>
      <c r="L113" s="285" t="str" cm="1">
        <f t="array" ref="L113">IF(A113="","",INDEX(البيانات!$AJ$2:$AJ$265,A113))</f>
        <v>حضرت</v>
      </c>
      <c r="M113" s="287"/>
      <c r="N113" s="288"/>
      <c r="O113" s="167"/>
    </row>
    <row r="114" spans="1:15">
      <c r="A114" s="112" cm="1">
        <f t="array" ref="A114">IFERROR(SMALL(IF(البيانات!$AS$2:$AS$265="مستشفى جازان العام",البيانات!$AT$2:$AT$265),112),"")</f>
        <v>205</v>
      </c>
      <c r="B114" s="112" t="str" cm="1">
        <f t="array" ref="B114">IF(A114="","",INDEX(البيانات!$V$2:$V$265,A114))</f>
        <v>1083456036</v>
      </c>
      <c r="C114" s="112" t="str" cm="1">
        <f t="array" ref="C114">IF(A114="","",INDEX(البيانات!$U$2:$U$265,A114))</f>
        <v>نوف احمد علي حسن مغفوري</v>
      </c>
      <c r="D114" s="112" cm="1">
        <f t="array" ref="D114">IF(A114="","",INDEX(البيانات!$T$2:$T$265,A114))</f>
        <v>33</v>
      </c>
      <c r="E114" s="112" t="str" cm="1">
        <f t="array" ref="E114">IF(A114="","",INDEX(البيانات!$F$2:$F$265,A114))</f>
        <v>Central Sectorالقطاع المركزي</v>
      </c>
      <c r="F114" s="112" t="str" cm="1">
        <f t="array" ref="F114">IF(A114="","",INDEX(البيانات!$Y$2:$Y$265,A114))</f>
        <v>0531414535</v>
      </c>
      <c r="G114" s="280"/>
      <c r="H114" s="280"/>
      <c r="I114" s="181" cm="1">
        <f t="array" ref="I114">IF(A114="","",INDEX(البيانات!$P$2:$P$265,A114))</f>
        <v>46135</v>
      </c>
      <c r="J114" s="282" cm="1">
        <f t="array" ref="J114">IF(A114="","",INDEX(البيانات!$AI$2:$AI$265,A114))</f>
        <v>46138</v>
      </c>
      <c r="K114" s="109" t="str">
        <f>IF(OR(A114="",J114="",I114=""),"",IF(NETWORKDAYS.INTL(I114,J114,"0000011")-1&lt;=2,"✅ ملتزم","❌ غير ملتزم"))</f>
        <v>✅ ملتزم</v>
      </c>
      <c r="L114" s="284" t="str" cm="1">
        <f t="array" ref="L114">IF(A114="","",INDEX(البيانات!$AJ$2:$AJ$265,A114))</f>
        <v xml:space="preserve">لم تحضر </v>
      </c>
      <c r="M114" s="287"/>
      <c r="N114" s="288"/>
      <c r="O114" s="167"/>
    </row>
    <row r="115" spans="1:15">
      <c r="A115" s="182" cm="1">
        <f t="array" ref="A115">IFERROR(SMALL(IF(البيانات!$AS$2:$AS$265="مستشفى جازان العام",البيانات!$AT$2:$AT$265),113),"")</f>
        <v>207</v>
      </c>
      <c r="B115" s="182" t="str" cm="1">
        <f t="array" ref="B115">IF(A115="","",INDEX(البيانات!$V$2:$V$265,A115))</f>
        <v>1086484647</v>
      </c>
      <c r="C115" s="182" t="str" cm="1">
        <f t="array" ref="C115">IF(A115="","",INDEX(البيانات!$U$2:$U$265,A115))</f>
        <v>WIAM HASSAN OTHMAN HAKAMI</v>
      </c>
      <c r="D115" s="182" cm="1">
        <f t="array" ref="D115">IF(A115="","",INDEX(البيانات!$T$2:$T$265,A115))</f>
        <v>31</v>
      </c>
      <c r="E115" s="182" t="str" cm="1">
        <f t="array" ref="E115">IF(A115="","",INDEX(البيانات!$F$2:$F$265,A115))</f>
        <v>Central Sectorالقطاع المركزي</v>
      </c>
      <c r="F115" s="182" t="str" cm="1">
        <f t="array" ref="F115">IF(A115="","",INDEX(البيانات!$Y$2:$Y$265,A115))</f>
        <v>0557770982</v>
      </c>
      <c r="G115" s="281"/>
      <c r="H115" s="281"/>
      <c r="I115" s="184" cm="1">
        <f t="array" ref="I115">IF(A115="","",INDEX(البيانات!$P$2:$P$265,A115))</f>
        <v>46138</v>
      </c>
      <c r="J115" s="283" cm="1">
        <f t="array" ref="J115">IF(A115="","",INDEX(البيانات!$AI$2:$AI$265,A115))</f>
        <v>46139</v>
      </c>
      <c r="K115" s="183" t="str">
        <f>IF(OR(A115="",J115="",I115=""),"",IF(NETWORKDAYS.INTL(I115,J115,"0000011")-1&lt;=2,"✅ ملتزم","❌ غير ملتزم"))</f>
        <v>✅ ملتزم</v>
      </c>
      <c r="L115" s="285" t="str" cm="1">
        <f t="array" ref="L115">IF(A115="","",INDEX(البيانات!$AJ$2:$AJ$265,A115))</f>
        <v>حضرت</v>
      </c>
      <c r="M115" s="287"/>
      <c r="N115" s="288"/>
      <c r="O115" s="167"/>
    </row>
    <row r="116" spans="1:15">
      <c r="A116" s="112" cm="1">
        <f t="array" ref="A116">IFERROR(SMALL(IF(البيانات!$AS$2:$AS$265="مستشفى جازان العام",البيانات!$AT$2:$AT$265),114),"")</f>
        <v>208</v>
      </c>
      <c r="B116" s="112" t="str" cm="1">
        <f t="array" ref="B116">IF(A116="","",INDEX(البيانات!$V$2:$V$265,A116))</f>
        <v>1103435556</v>
      </c>
      <c r="C116" s="112" t="str" cm="1">
        <f t="array" ref="C116">IF(A116="","",INDEX(البيانات!$U$2:$U$265,A116))</f>
        <v>سميرة احمد حسن حكمي</v>
      </c>
      <c r="D116" s="112" cm="1">
        <f t="array" ref="D116">IF(A116="","",INDEX(البيانات!$T$2:$T$265,A116))</f>
        <v>30</v>
      </c>
      <c r="E116" s="112" t="str" cm="1">
        <f t="array" ref="E116">IF(A116="","",INDEX(البيانات!$F$2:$F$265,A116))</f>
        <v>Central Sectorالقطاع المركزي</v>
      </c>
      <c r="F116" s="112" t="str" cm="1">
        <f t="array" ref="F116">IF(A116="","",INDEX(البيانات!$Y$2:$Y$265,A116))</f>
        <v>0501990547</v>
      </c>
      <c r="G116" s="280"/>
      <c r="H116" s="280"/>
      <c r="I116" s="181" cm="1">
        <f t="array" ref="I116">IF(A116="","",INDEX(البيانات!$P$2:$P$265,A116))</f>
        <v>46138</v>
      </c>
      <c r="J116" s="282" cm="1">
        <f t="array" ref="J116">IF(A116="","",INDEX(البيانات!$AI$2:$AI$265,A116))</f>
        <v>46139</v>
      </c>
      <c r="K116" s="109" t="str">
        <f>IF(OR(A116="",J116="",I116=""),"",IF(NETWORKDAYS.INTL(I116,J116,"0000011")-1&lt;=2,"✅ ملتزم","❌ غير ملتزم"))</f>
        <v>✅ ملتزم</v>
      </c>
      <c r="L116" s="284" t="str" cm="1">
        <f t="array" ref="L116">IF(A116="","",INDEX(البيانات!$AJ$2:$AJ$265,A116))</f>
        <v>حضرت</v>
      </c>
      <c r="M116" s="287"/>
      <c r="N116" s="288"/>
      <c r="O116" s="167"/>
    </row>
    <row r="117" spans="1:15">
      <c r="A117" s="182" cm="1">
        <f t="array" ref="A117">IFERROR(SMALL(IF(البيانات!$AS$2:$AS$265="مستشفى جازان العام",البيانات!$AT$2:$AT$265),115),"")</f>
        <v>209</v>
      </c>
      <c r="B117" s="182" t="str" cm="1">
        <f t="array" ref="B117">IF(A117="","",INDEX(البيانات!$V$2:$V$265,A117))</f>
        <v>1137318042</v>
      </c>
      <c r="C117" s="182" t="str" cm="1">
        <f t="array" ref="C117">IF(A117="","",INDEX(البيانات!$U$2:$U$265,A117))</f>
        <v>ALIYAH AHMED ABDULLAH QAYSI</v>
      </c>
      <c r="D117" s="182" cm="1">
        <f t="array" ref="D117">IF(A117="","",INDEX(البيانات!$T$2:$T$265,A117))</f>
        <v>23</v>
      </c>
      <c r="E117" s="182" t="str" cm="1">
        <f t="array" ref="E117">IF(A117="","",INDEX(البيانات!$F$2:$F$265,A117))</f>
        <v>Central Sectorالقطاع المركزي</v>
      </c>
      <c r="F117" s="182" t="str" cm="1">
        <f t="array" ref="F117">IF(A117="","",INDEX(البيانات!$Y$2:$Y$265,A117))</f>
        <v>0556257509</v>
      </c>
      <c r="G117" s="281"/>
      <c r="H117" s="281"/>
      <c r="I117" s="184" cm="1">
        <f t="array" ref="I117">IF(A117="","",INDEX(البيانات!$P$2:$P$265,A117))</f>
        <v>46138</v>
      </c>
      <c r="J117" s="283" cm="1">
        <f t="array" ref="J117">IF(A117="","",INDEX(البيانات!$AI$2:$AI$265,A117))</f>
        <v>46139</v>
      </c>
      <c r="K117" s="183" t="str">
        <f>IF(OR(A117="",J117="",I117=""),"",IF(NETWORKDAYS.INTL(I117,J117,"0000011")-1&lt;=2,"✅ ملتزم","❌ غير ملتزم"))</f>
        <v>✅ ملتزم</v>
      </c>
      <c r="L117" s="285" t="str" cm="1">
        <f t="array" ref="L117">IF(A117="","",INDEX(البيانات!$AJ$2:$AJ$265,A117))</f>
        <v>حضرت</v>
      </c>
      <c r="M117" s="287"/>
      <c r="N117" s="288"/>
      <c r="O117" s="167"/>
    </row>
    <row r="118" spans="1:15">
      <c r="A118" s="112" cm="1">
        <f t="array" ref="A118">IFERROR(SMALL(IF(البيانات!$AS$2:$AS$265="مستشفى جازان العام",البيانات!$AT$2:$AT$265),116),"")</f>
        <v>210</v>
      </c>
      <c r="B118" s="112" t="str" cm="1">
        <f t="array" ref="B118">IF(A118="","",INDEX(البيانات!$V$2:$V$265,A118))</f>
        <v>1073753657</v>
      </c>
      <c r="C118" s="112" t="str" cm="1">
        <f t="array" ref="C118">IF(A118="","",INDEX(البيانات!$U$2:$U$265,A118))</f>
        <v xml:space="preserve">فاطمة علي علي حكمي </v>
      </c>
      <c r="D118" s="112" cm="1">
        <f t="array" ref="D118">IF(A118="","",INDEX(البيانات!$T$2:$T$265,A118))</f>
        <v>36</v>
      </c>
      <c r="E118" s="112" t="str" cm="1">
        <f t="array" ref="E118">IF(A118="","",INDEX(البيانات!$F$2:$F$265,A118))</f>
        <v>Central Sectorالقطاع المركزي</v>
      </c>
      <c r="F118" s="112" t="str" cm="1">
        <f t="array" ref="F118">IF(A118="","",INDEX(البيانات!$Y$2:$Y$265,A118))</f>
        <v>0534402858</v>
      </c>
      <c r="G118" s="280"/>
      <c r="H118" s="280"/>
      <c r="I118" s="181" cm="1">
        <f t="array" ref="I118">IF(A118="","",INDEX(البيانات!$P$2:$P$265,A118))</f>
        <v>46138</v>
      </c>
      <c r="J118" s="282" cm="1">
        <f t="array" ref="J118">IF(A118="","",INDEX(البيانات!$AI$2:$AI$265,A118))</f>
        <v>46139</v>
      </c>
      <c r="K118" s="109" t="str">
        <f>IF(OR(A118="",J118="",I118=""),"",IF(NETWORKDAYS.INTL(I118,J118,"0000011")-1&lt;=2,"✅ ملتزم","❌ غير ملتزم"))</f>
        <v>✅ ملتزم</v>
      </c>
      <c r="L118" s="284" t="str" cm="1">
        <f t="array" ref="L118">IF(A118="","",INDEX(البيانات!$AJ$2:$AJ$265,A118))</f>
        <v>حضرت</v>
      </c>
      <c r="M118" s="287"/>
      <c r="N118" s="288"/>
      <c r="O118" s="167"/>
    </row>
    <row r="119" spans="1:15">
      <c r="A119" s="182" cm="1">
        <f t="array" ref="A119">IFERROR(SMALL(IF(البيانات!$AS$2:$AS$265="مستشفى جازان العام",البيانات!$AT$2:$AT$265),117),"")</f>
        <v>211</v>
      </c>
      <c r="B119" s="182" t="str" cm="1">
        <f t="array" ref="B119">IF(A119="","",INDEX(البيانات!$V$2:$V$265,A119))</f>
        <v>1083590982</v>
      </c>
      <c r="C119" s="182" t="str" cm="1">
        <f t="array" ref="C119">IF(A119="","",INDEX(البيانات!$U$2:$U$265,A119))</f>
        <v>Fatimah hussain taher qaysi</v>
      </c>
      <c r="D119" s="182" cm="1">
        <f t="array" ref="D119">IF(A119="","",INDEX(البيانات!$T$2:$T$265,A119))</f>
        <v>39</v>
      </c>
      <c r="E119" s="182" t="str" cm="1">
        <f t="array" ref="E119">IF(A119="","",INDEX(البيانات!$F$2:$F$265,A119))</f>
        <v>Central Sectorالقطاع المركزي</v>
      </c>
      <c r="F119" s="182" t="str" cm="1">
        <f t="array" ref="F119">IF(A119="","",INDEX(البيانات!$Y$2:$Y$265,A119))</f>
        <v>0531671364</v>
      </c>
      <c r="G119" s="281"/>
      <c r="H119" s="281"/>
      <c r="I119" s="184" cm="1">
        <f t="array" ref="I119">IF(A119="","",INDEX(البيانات!$P$2:$P$265,A119))</f>
        <v>46138</v>
      </c>
      <c r="J119" s="283" cm="1">
        <f t="array" ref="J119">IF(A119="","",INDEX(البيانات!$AI$2:$AI$265,A119))</f>
        <v>46139</v>
      </c>
      <c r="K119" s="183" t="str">
        <f>IF(OR(A119="",J119="",I119=""),"",IF(NETWORKDAYS.INTL(I119,J119,"0000011")-1&lt;=2,"✅ ملتزم","❌ غير ملتزم"))</f>
        <v>✅ ملتزم</v>
      </c>
      <c r="L119" s="285" t="str" cm="1">
        <f t="array" ref="L119">IF(A119="","",INDEX(البيانات!$AJ$2:$AJ$265,A119))</f>
        <v>حضرت</v>
      </c>
      <c r="M119" s="287"/>
      <c r="N119" s="288"/>
      <c r="O119" s="167"/>
    </row>
    <row r="120" spans="1:15">
      <c r="A120" s="112" cm="1">
        <f t="array" ref="A120">IFERROR(SMALL(IF(البيانات!$AS$2:$AS$265="مستشفى جازان العام",البيانات!$AT$2:$AT$265),118),"")</f>
        <v>212</v>
      </c>
      <c r="B120" s="112" t="str" cm="1">
        <f t="array" ref="B120">IF(A120="","",INDEX(البيانات!$V$2:$V$265,A120))</f>
        <v>1111162556</v>
      </c>
      <c r="C120" s="112" t="str" cm="1">
        <f t="array" ref="C120">IF(A120="","",INDEX(البيانات!$U$2:$U$265,A120))</f>
        <v>HISSAH ALI BIN AHMED HIBAH</v>
      </c>
      <c r="D120" s="112" cm="1">
        <f t="array" ref="D120">IF(A120="","",INDEX(البيانات!$T$2:$T$265,A120))</f>
        <v>27</v>
      </c>
      <c r="E120" s="112" t="str" cm="1">
        <f t="array" ref="E120">IF(A120="","",INDEX(البيانات!$F$2:$F$265,A120))</f>
        <v>Central Sectorالقطاع المركزي</v>
      </c>
      <c r="F120" s="112" t="str" cm="1">
        <f t="array" ref="F120">IF(A120="","",INDEX(البيانات!$Y$2:$Y$265,A120))</f>
        <v>0505772687</v>
      </c>
      <c r="G120" s="280"/>
      <c r="H120" s="280"/>
      <c r="I120" s="181" cm="1">
        <f t="array" ref="I120">IF(A120="","",INDEX(البيانات!$P$2:$P$265,A120))</f>
        <v>46139</v>
      </c>
      <c r="J120" s="282" cm="1">
        <f t="array" ref="J120">IF(A120="","",INDEX(البيانات!$AI$2:$AI$265,A120))</f>
        <v>46140</v>
      </c>
      <c r="K120" s="109" t="str">
        <f>IF(OR(A120="",J120="",I120=""),"",IF(NETWORKDAYS.INTL(I120,J120,"0000011")-1&lt;=2,"✅ ملتزم","❌ غير ملتزم"))</f>
        <v>✅ ملتزم</v>
      </c>
      <c r="L120" s="284" t="str" cm="1">
        <f t="array" ref="L120">IF(A120="","",INDEX(البيانات!$AJ$2:$AJ$265,A120))</f>
        <v>حضرت</v>
      </c>
      <c r="M120" s="287"/>
      <c r="N120" s="288"/>
      <c r="O120" s="167"/>
    </row>
    <row r="121" spans="1:15">
      <c r="A121" s="182" cm="1">
        <f t="array" ref="A121">IFERROR(SMALL(IF(البيانات!$AS$2:$AS$265="مستشفى جازان العام",البيانات!$AT$2:$AT$265),119),"")</f>
        <v>213</v>
      </c>
      <c r="B121" s="182" t="str" cm="1">
        <f t="array" ref="B121">IF(A121="","",INDEX(البيانات!$V$2:$V$265,A121))</f>
        <v>1047808629</v>
      </c>
      <c r="C121" s="182" t="str" cm="1">
        <f t="array" ref="C121">IF(A121="","",INDEX(البيانات!$U$2:$U$265,A121))</f>
        <v>مروة خميس</v>
      </c>
      <c r="D121" s="182" cm="1">
        <f t="array" ref="D121">IF(A121="","",INDEX(البيانات!$T$2:$T$265,A121))</f>
        <v>38</v>
      </c>
      <c r="E121" s="182" t="str" cm="1">
        <f t="array" ref="E121">IF(A121="","",INDEX(البيانات!$F$2:$F$265,A121))</f>
        <v>Central Sectorالقطاع المركزي</v>
      </c>
      <c r="F121" s="182" cm="1">
        <f t="array" ref="F121">IF(A121="","",INDEX(البيانات!$Y$2:$Y$265,A121))</f>
        <v>534570740</v>
      </c>
      <c r="G121" s="281"/>
      <c r="H121" s="281"/>
      <c r="I121" s="184" cm="1">
        <f t="array" ref="I121">IF(A121="","",INDEX(البيانات!$P$2:$P$265,A121))</f>
        <v>46140</v>
      </c>
      <c r="J121" s="283" cm="1">
        <f t="array" ref="J121">IF(A121="","",INDEX(البيانات!$AI$2:$AI$265,A121))</f>
        <v>46141</v>
      </c>
      <c r="K121" s="183" t="str">
        <f>IF(OR(A121="",J121="",I121=""),"",IF(NETWORKDAYS.INTL(I121,J121,"0000011")-1&lt;=2,"✅ ملتزم","❌ غير ملتزم"))</f>
        <v>✅ ملتزم</v>
      </c>
      <c r="L121" s="285" t="str" cm="1">
        <f t="array" ref="L121">IF(A121="","",INDEX(البيانات!$AJ$2:$AJ$265,A121))</f>
        <v>حضرت</v>
      </c>
      <c r="M121" s="287"/>
      <c r="N121" s="288"/>
      <c r="O121" s="167"/>
    </row>
    <row r="122" spans="1:15">
      <c r="A122" s="112" cm="1">
        <f t="array" ref="A122">IFERROR(SMALL(IF(البيانات!$AS$2:$AS$265="مستشفى جازان العام",البيانات!$AT$2:$AT$265),120),"")</f>
        <v>216</v>
      </c>
      <c r="B122" s="112" t="str" cm="1">
        <f t="array" ref="B122">IF(A122="","",INDEX(البيانات!$V$2:$V$265,A122))</f>
        <v>1056724717</v>
      </c>
      <c r="C122" s="112" t="str" cm="1">
        <f t="array" ref="C122">IF(A122="","",INDEX(البيانات!$U$2:$U$265,A122))</f>
        <v xml:space="preserve">ليلى محمد ابراهيم عقيل </v>
      </c>
      <c r="D122" s="112" cm="1">
        <f t="array" ref="D122">IF(A122="","",INDEX(البيانات!$T$2:$T$265,A122))</f>
        <v>43</v>
      </c>
      <c r="E122" s="112" t="str" cm="1">
        <f t="array" ref="E122">IF(A122="","",INDEX(البيانات!$F$2:$F$265,A122))</f>
        <v>Central Sectorالقطاع المركزي</v>
      </c>
      <c r="F122" s="112" t="str" cm="1">
        <f t="array" ref="F122">IF(A122="","",INDEX(البيانات!$Y$2:$Y$265,A122))</f>
        <v>0557441616</v>
      </c>
      <c r="G122" s="280"/>
      <c r="H122" s="280"/>
      <c r="I122" s="181" cm="1">
        <f t="array" ref="I122">IF(A122="","",INDEX(البيانات!$P$2:$P$265,A122))</f>
        <v>46140</v>
      </c>
      <c r="J122" s="282" cm="1">
        <f t="array" ref="J122">IF(A122="","",INDEX(البيانات!$AI$2:$AI$265,A122))</f>
        <v>46141</v>
      </c>
      <c r="K122" s="109" t="str">
        <f>IF(OR(A122="",J122="",I122=""),"",IF(NETWORKDAYS.INTL(I122,J122,"0000011")-1&lt;=2,"✅ ملتزم","❌ غير ملتزم"))</f>
        <v>✅ ملتزم</v>
      </c>
      <c r="L122" s="284" t="str" cm="1">
        <f t="array" ref="L122">IF(A122="","",INDEX(البيانات!$AJ$2:$AJ$265,A122))</f>
        <v>حضرت</v>
      </c>
      <c r="M122" s="287"/>
      <c r="N122" s="288"/>
      <c r="O122" s="167"/>
    </row>
    <row r="123" spans="1:15">
      <c r="A123" s="182" cm="1">
        <f t="array" ref="A123">IFERROR(SMALL(IF(البيانات!$AS$2:$AS$265="مستشفى جازان العام",البيانات!$AT$2:$AT$265),121),"")</f>
        <v>221</v>
      </c>
      <c r="B123" s="182" t="str" cm="1">
        <f t="array" ref="B123">IF(A123="","",INDEX(البيانات!$V$2:$V$265,A123))</f>
        <v>1073882753</v>
      </c>
      <c r="C123" s="182" t="str" cm="1">
        <f t="array" ref="C123">IF(A123="","",INDEX(البيانات!$U$2:$U$265,A123))</f>
        <v>AREEJ AHMED MOHAMMED ZUGHAIBI</v>
      </c>
      <c r="D123" s="182" cm="1">
        <f t="array" ref="D123">IF(A123="","",INDEX(البيانات!$T$2:$T$265,A123))</f>
        <v>34</v>
      </c>
      <c r="E123" s="182" t="str" cm="1">
        <f t="array" ref="E123">IF(A123="","",INDEX(البيانات!$F$2:$F$265,A123))</f>
        <v>Central Sectorالقطاع المركزي</v>
      </c>
      <c r="F123" s="182" t="str" cm="1">
        <f t="array" ref="F123">IF(A123="","",INDEX(البيانات!$Y$2:$Y$265,A123))</f>
        <v>0537454445</v>
      </c>
      <c r="G123" s="281"/>
      <c r="H123" s="281"/>
      <c r="I123" s="184" cm="1">
        <f t="array" ref="I123">IF(A123="","",INDEX(البيانات!$P$2:$P$265,A123))</f>
        <v>46141</v>
      </c>
      <c r="J123" s="283" cm="1">
        <f t="array" ref="J123">IF(A123="","",INDEX(البيانات!$AI$2:$AI$265,A123))</f>
        <v>46142</v>
      </c>
      <c r="K123" s="183" t="str">
        <f>IF(OR(A123="",J123="",I123=""),"",IF(NETWORKDAYS.INTL(I123,J123,"0000011")-1&lt;=2,"✅ ملتزم","❌ غير ملتزم"))</f>
        <v>✅ ملتزم</v>
      </c>
      <c r="L123" s="285" t="str" cm="1">
        <f t="array" ref="L123">IF(A123="","",INDEX(البيانات!$AJ$2:$AJ$265,A123))</f>
        <v>حضرت</v>
      </c>
      <c r="M123" s="287"/>
      <c r="N123" s="288"/>
      <c r="O123" s="167"/>
    </row>
    <row r="124" spans="1:15">
      <c r="A124" s="112" cm="1">
        <f t="array" ref="A124">IFERROR(SMALL(IF(البيانات!$AS$2:$AS$265="مستشفى جازان العام",البيانات!$AT$2:$AT$265),122),"")</f>
        <v>223</v>
      </c>
      <c r="B124" s="112" t="str" cm="1">
        <f t="array" ref="B124">IF(A124="","",INDEX(البيانات!$V$2:$V$265,A124))</f>
        <v>1076270410</v>
      </c>
      <c r="C124" s="112" t="str" cm="1">
        <f t="array" ref="C124">IF(A124="","",INDEX(البيانات!$U$2:$U$265,A124))</f>
        <v>SHAHAD DUHDUH ABDULLAH DUHDUH</v>
      </c>
      <c r="D124" s="112" cm="1">
        <f t="array" ref="D124">IF(A124="","",INDEX(البيانات!$T$2:$T$265,A124))</f>
        <v>33</v>
      </c>
      <c r="E124" s="112" t="str" cm="1">
        <f t="array" ref="E124">IF(A124="","",INDEX(البيانات!$F$2:$F$265,A124))</f>
        <v>Central Sectorالقطاع المركزي</v>
      </c>
      <c r="F124" s="112" t="str" cm="1">
        <f t="array" ref="F124">IF(A124="","",INDEX(البيانات!$Y$2:$Y$265,A124))</f>
        <v>0545434604</v>
      </c>
      <c r="G124" s="280"/>
      <c r="H124" s="280"/>
      <c r="I124" s="181" cm="1">
        <f t="array" ref="I124">IF(A124="","",INDEX(البيانات!$P$2:$P$265,A124))</f>
        <v>46141</v>
      </c>
      <c r="J124" s="282" cm="1">
        <f t="array" ref="J124">IF(A124="","",INDEX(البيانات!$AI$2:$AI$265,A124))</f>
        <v>46142</v>
      </c>
      <c r="K124" s="109" t="str">
        <f>IF(OR(A124="",J124="",I124=""),"",IF(NETWORKDAYS.INTL(I124,J124,"0000011")-1&lt;=2,"✅ ملتزم","❌ غير ملتزم"))</f>
        <v>✅ ملتزم</v>
      </c>
      <c r="L124" s="284" t="str" cm="1">
        <f t="array" ref="L124">IF(A124="","",INDEX(البيانات!$AJ$2:$AJ$265,A124))</f>
        <v>حضرت</v>
      </c>
      <c r="M124" s="287"/>
      <c r="N124" s="288"/>
      <c r="O124" s="167"/>
    </row>
    <row r="125" spans="1:15">
      <c r="A125" s="182" cm="1">
        <f t="array" ref="A125">IFERROR(SMALL(IF(البيانات!$AS$2:$AS$265="مستشفى جازان العام",البيانات!$AT$2:$AT$265),123),"")</f>
        <v>224</v>
      </c>
      <c r="B125" s="182" t="str" cm="1">
        <f t="array" ref="B125">IF(A125="","",INDEX(البيانات!$V$2:$V$265,A125))</f>
        <v>1094993407</v>
      </c>
      <c r="C125" s="182" t="str" cm="1">
        <f t="array" ref="C125">IF(A125="","",INDEX(البيانات!$U$2:$U$265,A125))</f>
        <v>ZAHRAH OTHMAN ABDU ABDALI</v>
      </c>
      <c r="D125" s="182" cm="1">
        <f t="array" ref="D125">IF(A125="","",INDEX(البيانات!$T$2:$T$265,A125))</f>
        <v>35</v>
      </c>
      <c r="E125" s="182" t="str" cm="1">
        <f t="array" ref="E125">IF(A125="","",INDEX(البيانات!$F$2:$F$265,A125))</f>
        <v>Central Sectorالقطاع المركزي</v>
      </c>
      <c r="F125" s="182" t="str" cm="1">
        <f t="array" ref="F125">IF(A125="","",INDEX(البيانات!$Y$2:$Y$265,A125))</f>
        <v>0582030379</v>
      </c>
      <c r="G125" s="281"/>
      <c r="H125" s="281"/>
      <c r="I125" s="184" cm="1">
        <f t="array" ref="I125">IF(A125="","",INDEX(البيانات!$P$2:$P$265,A125))</f>
        <v>46141</v>
      </c>
      <c r="J125" s="283" cm="1">
        <f t="array" ref="J125">IF(A125="","",INDEX(البيانات!$AI$2:$AI$265,A125))</f>
        <v>46142</v>
      </c>
      <c r="K125" s="183" t="str">
        <f>IF(OR(A125="",J125="",I125=""),"",IF(NETWORKDAYS.INTL(I125,J125,"0000011")-1&lt;=2,"✅ ملتزم","❌ غير ملتزم"))</f>
        <v>✅ ملتزم</v>
      </c>
      <c r="L125" s="285" t="str" cm="1">
        <f t="array" ref="L125">IF(A125="","",INDEX(البيانات!$AJ$2:$AJ$265,A125))</f>
        <v>حضرت</v>
      </c>
      <c r="M125" s="287"/>
      <c r="N125" s="288"/>
      <c r="O125" s="167"/>
    </row>
    <row r="126" spans="1:15">
      <c r="A126" s="112" cm="1">
        <f t="array" ref="A126">IFERROR(SMALL(IF(البيانات!$AS$2:$AS$265="مستشفى جازان العام",البيانات!$AT$2:$AT$265),124),"")</f>
        <v>225</v>
      </c>
      <c r="B126" s="112" t="str" cm="1">
        <f t="array" ref="B126">IF(A126="","",INDEX(البيانات!$V$2:$V$265,A126))</f>
        <v>1127860573</v>
      </c>
      <c r="C126" s="112" t="str" cm="1">
        <f t="array" ref="C126">IF(A126="","",INDEX(البيانات!$U$2:$U$265,A126))</f>
        <v>SARAH HAMAD EISI NUHI</v>
      </c>
      <c r="D126" s="112" cm="1">
        <f t="array" ref="D126">IF(A126="","",INDEX(البيانات!$T$2:$T$265,A126))</f>
        <v>21</v>
      </c>
      <c r="E126" s="112" t="str" cm="1">
        <f t="array" ref="E126">IF(A126="","",INDEX(البيانات!$F$2:$F$265,A126))</f>
        <v>Central Sectorالقطاع المركزي</v>
      </c>
      <c r="F126" s="112" t="str" cm="1">
        <f t="array" ref="F126">IF(A126="","",INDEX(البيانات!$Y$2:$Y$265,A126))</f>
        <v>0501168391</v>
      </c>
      <c r="G126" s="280"/>
      <c r="H126" s="280"/>
      <c r="I126" s="181" cm="1">
        <f t="array" ref="I126">IF(A126="","",INDEX(البيانات!$P$2:$P$265,A126))</f>
        <v>46141</v>
      </c>
      <c r="J126" s="282" cm="1">
        <f t="array" ref="J126">IF(A126="","",INDEX(البيانات!$AI$2:$AI$265,A126))</f>
        <v>46142</v>
      </c>
      <c r="K126" s="109" t="str">
        <f>IF(OR(A126="",J126="",I126=""),"",IF(NETWORKDAYS.INTL(I126,J126,"0000011")-1&lt;=2,"✅ ملتزم","❌ غير ملتزم"))</f>
        <v>✅ ملتزم</v>
      </c>
      <c r="L126" s="284" t="str" cm="1">
        <f t="array" ref="L126">IF(A126="","",INDEX(البيانات!$AJ$2:$AJ$265,A126))</f>
        <v>حضرت</v>
      </c>
      <c r="M126" s="287"/>
      <c r="N126" s="288"/>
      <c r="O126" s="167"/>
    </row>
    <row r="127" spans="1:15">
      <c r="A127" s="182" cm="1">
        <f t="array" ref="A127">IFERROR(SMALL(IF(البيانات!$AS$2:$AS$265="مستشفى جازان العام",البيانات!$AT$2:$AT$265),125),"")</f>
        <v>227</v>
      </c>
      <c r="B127" s="182" t="str" cm="1">
        <f t="array" ref="B127">IF(A127="","",INDEX(البيانات!$V$2:$V$265,A127))</f>
        <v>1097084121</v>
      </c>
      <c r="C127" s="182" t="str" cm="1">
        <f t="array" ref="C127">IF(A127="","",INDEX(البيانات!$U$2:$U$265,A127))</f>
        <v xml:space="preserve">ميلاف محمد جميل </v>
      </c>
      <c r="D127" s="182" cm="1">
        <f t="array" ref="D127">IF(A127="","",INDEX(البيانات!$T$2:$T$265,A127))</f>
        <v>28</v>
      </c>
      <c r="E127" s="182" t="str" cm="1">
        <f t="array" ref="E127">IF(A127="","",INDEX(البيانات!$F$2:$F$265,A127))</f>
        <v>Central Sectorالقطاع المركزي</v>
      </c>
      <c r="F127" s="182" t="str" cm="1">
        <f t="array" ref="F127">IF(A127="","",INDEX(البيانات!$Y$2:$Y$265,A127))</f>
        <v>0504313957</v>
      </c>
      <c r="G127" s="281"/>
      <c r="H127" s="281"/>
      <c r="I127" s="184" cm="1">
        <f t="array" ref="I127">IF(A127="","",INDEX(البيانات!$P$2:$P$265,A127))</f>
        <v>46141</v>
      </c>
      <c r="J127" s="283" cm="1">
        <f t="array" ref="J127">IF(A127="","",INDEX(البيانات!$AI$2:$AI$265,A127))</f>
        <v>46147</v>
      </c>
      <c r="K127" s="183" t="str">
        <f>IF(OR(A127="",J127="",I127=""),"",IF(NETWORKDAYS.INTL(I127,J127,"0000011")-1&lt;=2,"✅ ملتزم","❌ غير ملتزم"))</f>
        <v>❌ غير ملتزم</v>
      </c>
      <c r="L127" s="285" t="str" cm="1">
        <f t="array" ref="L127">IF(A127="","",INDEX(البيانات!$AJ$2:$AJ$265,A127))</f>
        <v>حضرت</v>
      </c>
      <c r="M127" s="287"/>
      <c r="N127" s="288"/>
      <c r="O127" s="167"/>
    </row>
    <row r="128" spans="1:15">
      <c r="A128" s="112" cm="1">
        <f t="array" ref="A128">IFERROR(SMALL(IF(البيانات!$AS$2:$AS$265="مستشفى جازان العام",البيانات!$AT$2:$AT$265),126),"")</f>
        <v>229</v>
      </c>
      <c r="B128" s="112" t="str" cm="1">
        <f t="array" ref="B128">IF(A128="","",INDEX(البيانات!$V$2:$V$265,A128))</f>
        <v>1025204346</v>
      </c>
      <c r="C128" s="112" t="str" cm="1">
        <f t="array" ref="C128">IF(A128="","",INDEX(البيانات!$U$2:$U$265,A128))</f>
        <v xml:space="preserve">تغريد علي سالم ال عبدالله </v>
      </c>
      <c r="D128" s="112" cm="1">
        <f t="array" ref="D128">IF(A128="","",INDEX(البيانات!$T$2:$T$265,A128))</f>
        <v>41</v>
      </c>
      <c r="E128" s="112" t="str" cm="1">
        <f t="array" ref="E128">IF(A128="","",INDEX(البيانات!$F$2:$F$265,A128))</f>
        <v>Central Sectorالقطاع المركزي</v>
      </c>
      <c r="F128" s="112" t="str" cm="1">
        <f t="array" ref="F128">IF(A128="","",INDEX(البيانات!$Y$2:$Y$265,A128))</f>
        <v>966500673049</v>
      </c>
      <c r="G128" s="280"/>
      <c r="H128" s="280"/>
      <c r="I128" s="181" cm="1">
        <f t="array" ref="I128">IF(A128="","",INDEX(البيانات!$P$2:$P$265,A128))</f>
        <v>46145</v>
      </c>
      <c r="J128" s="282" cm="1">
        <f t="array" ref="J128">IF(A128="","",INDEX(البيانات!$AI$2:$AI$265,A128))</f>
        <v>46149</v>
      </c>
      <c r="K128" s="109" t="str">
        <f>IF(OR(A128="",J128="",I128=""),"",IF(NETWORKDAYS.INTL(I128,J128,"0000011")-1&lt;=2,"✅ ملتزم","❌ غير ملتزم"))</f>
        <v>❌ غير ملتزم</v>
      </c>
      <c r="L128" s="284" cm="1">
        <f t="array" ref="L128">IF(A128="","",INDEX(البيانات!$AJ$2:$AJ$265,A128))</f>
        <v>0</v>
      </c>
      <c r="M128" s="287"/>
      <c r="N128" s="288"/>
      <c r="O128" s="167"/>
    </row>
    <row r="129" spans="1:15">
      <c r="A129" s="182" cm="1">
        <f t="array" ref="A129">IFERROR(SMALL(IF(البيانات!$AS$2:$AS$265="مستشفى جازان العام",البيانات!$AT$2:$AT$265),127),"")</f>
        <v>231</v>
      </c>
      <c r="B129" s="182" t="str" cm="1">
        <f t="array" ref="B129">IF(A129="","",INDEX(البيانات!$V$2:$V$265,A129))</f>
        <v>1082813427</v>
      </c>
      <c r="C129" s="182" t="str" cm="1">
        <f t="array" ref="C129">IF(A129="","",INDEX(البيانات!$U$2:$U$265,A129))</f>
        <v>FATIMAH AHMED ALI GHUNAYMI</v>
      </c>
      <c r="D129" s="182" cm="1">
        <f t="array" ref="D129">IF(A129="","",INDEX(البيانات!$T$2:$T$265,A129))</f>
        <v>32</v>
      </c>
      <c r="E129" s="182" t="str" cm="1">
        <f t="array" ref="E129">IF(A129="","",INDEX(البيانات!$F$2:$F$265,A129))</f>
        <v>Central Sectorالقطاع المركزي</v>
      </c>
      <c r="F129" s="182" t="str" cm="1">
        <f t="array" ref="F129">IF(A129="","",INDEX(البيانات!$Y$2:$Y$265,A129))</f>
        <v>0506937919</v>
      </c>
      <c r="G129" s="281"/>
      <c r="H129" s="281"/>
      <c r="I129" s="184" cm="1">
        <f t="array" ref="I129">IF(A129="","",INDEX(البيانات!$P$2:$P$265,A129))</f>
        <v>46145</v>
      </c>
      <c r="J129" s="283" cm="1">
        <f t="array" ref="J129">IF(A129="","",INDEX(البيانات!$AI$2:$AI$265,A129))</f>
        <v>46149</v>
      </c>
      <c r="K129" s="183" t="str">
        <f>IF(OR(A129="",J129="",I129=""),"",IF(NETWORKDAYS.INTL(I129,J129,"0000011")-1&lt;=2,"✅ ملتزم","❌ غير ملتزم"))</f>
        <v>❌ غير ملتزم</v>
      </c>
      <c r="L129" s="285" cm="1">
        <f t="array" ref="L129">IF(A129="","",INDEX(البيانات!$AJ$2:$AJ$265,A129))</f>
        <v>0</v>
      </c>
      <c r="M129" s="287"/>
      <c r="N129" s="288"/>
      <c r="O129" s="167"/>
    </row>
    <row r="130" spans="1:15">
      <c r="A130" s="112" cm="1">
        <f t="array" ref="A130">IFERROR(SMALL(IF(البيانات!$AS$2:$AS$265="مستشفى جازان العام",البيانات!$AT$2:$AT$265),128),"")</f>
        <v>233</v>
      </c>
      <c r="B130" s="112" t="str" cm="1">
        <f t="array" ref="B130">IF(A130="","",INDEX(البيانات!$V$2:$V$265,A130))</f>
        <v>1098279878</v>
      </c>
      <c r="C130" s="112" t="str" cm="1">
        <f t="array" ref="C130">IF(A130="","",INDEX(البيانات!$U$2:$U$265,A130))</f>
        <v>SAHAR HASSAN Q SHARAHILI</v>
      </c>
      <c r="D130" s="112" cm="1">
        <f t="array" ref="D130">IF(A130="","",INDEX(البيانات!$T$2:$T$265,A130))</f>
        <v>32</v>
      </c>
      <c r="E130" s="112" t="str" cm="1">
        <f t="array" ref="E130">IF(A130="","",INDEX(البيانات!$F$2:$F$265,A130))</f>
        <v>Central Sectorالقطاع المركزي</v>
      </c>
      <c r="F130" s="112" t="str" cm="1">
        <f t="array" ref="F130">IF(A130="","",INDEX(البيانات!$Y$2:$Y$265,A130))</f>
        <v>0550194627</v>
      </c>
      <c r="G130" s="280"/>
      <c r="H130" s="280"/>
      <c r="I130" s="181" cm="1">
        <f t="array" ref="I130">IF(A130="","",INDEX(البيانات!$P$2:$P$265,A130))</f>
        <v>46145</v>
      </c>
      <c r="J130" s="282" cm="1">
        <f t="array" ref="J130">IF(A130="","",INDEX(البيانات!$AI$2:$AI$265,A130))</f>
        <v>46149</v>
      </c>
      <c r="K130" s="109" t="str">
        <f>IF(OR(A130="",J130="",I130=""),"",IF(NETWORKDAYS.INTL(I130,J130,"0000011")-1&lt;=2,"✅ ملتزم","❌ غير ملتزم"))</f>
        <v>❌ غير ملتزم</v>
      </c>
      <c r="L130" s="284" cm="1">
        <f t="array" ref="L130">IF(A130="","",INDEX(البيانات!$AJ$2:$AJ$265,A130))</f>
        <v>0</v>
      </c>
      <c r="M130" s="287"/>
      <c r="N130" s="288"/>
      <c r="O130" s="167"/>
    </row>
    <row r="131" spans="1:15">
      <c r="A131" s="182" cm="1">
        <f t="array" ref="A131">IFERROR(SMALL(IF(البيانات!$AS$2:$AS$265="مستشفى جازان العام",البيانات!$AT$2:$AT$265),129),"")</f>
        <v>234</v>
      </c>
      <c r="B131" s="182" t="str" cm="1">
        <f t="array" ref="B131">IF(A131="","",INDEX(البيانات!$V$2:$V$265,A131))</f>
        <v>1108810936</v>
      </c>
      <c r="C131" s="182" t="str" cm="1">
        <f t="array" ref="C131">IF(A131="","",INDEX(البيانات!$U$2:$U$265,A131))</f>
        <v>HAJAR ABDU MOHSEN HARBAN</v>
      </c>
      <c r="D131" s="182" cm="1">
        <f t="array" ref="D131">IF(A131="","",INDEX(البيانات!$T$2:$T$265,A131))</f>
        <v>31</v>
      </c>
      <c r="E131" s="182" t="str" cm="1">
        <f t="array" ref="E131">IF(A131="","",INDEX(البيانات!$F$2:$F$265,A131))</f>
        <v>Central Sectorالقطاع المركزي</v>
      </c>
      <c r="F131" s="182" t="str" cm="1">
        <f t="array" ref="F131">IF(A131="","",INDEX(البيانات!$Y$2:$Y$265,A131))</f>
        <v>0509352645</v>
      </c>
      <c r="G131" s="281"/>
      <c r="H131" s="281"/>
      <c r="I131" s="184" cm="1">
        <f t="array" ref="I131">IF(A131="","",INDEX(البيانات!$P$2:$P$265,A131))</f>
        <v>46145</v>
      </c>
      <c r="J131" s="283" cm="1">
        <f t="array" ref="J131">IF(A131="","",INDEX(البيانات!$AI$2:$AI$265,A131))</f>
        <v>46149</v>
      </c>
      <c r="K131" s="183" t="str">
        <f>IF(OR(A131="",J131="",I131=""),"",IF(NETWORKDAYS.INTL(I131,J131,"0000011")-1&lt;=2,"✅ ملتزم","❌ غير ملتزم"))</f>
        <v>❌ غير ملتزم</v>
      </c>
      <c r="L131" s="285" cm="1">
        <f t="array" ref="L131">IF(A131="","",INDEX(البيانات!$AJ$2:$AJ$265,A131))</f>
        <v>0</v>
      </c>
      <c r="M131" s="287"/>
      <c r="N131" s="288"/>
      <c r="O131" s="167"/>
    </row>
    <row r="132" spans="1:15">
      <c r="A132" s="112" cm="1">
        <f t="array" ref="A132">IFERROR(SMALL(IF(البيانات!$AS$2:$AS$265="مستشفى جازان العام",البيانات!$AT$2:$AT$265),130),"")</f>
        <v>235</v>
      </c>
      <c r="B132" s="112" t="str" cm="1">
        <f t="array" ref="B132">IF(A132="","",INDEX(البيانات!$V$2:$V$265,A132))</f>
        <v>1111453955</v>
      </c>
      <c r="C132" s="112" t="str" cm="1">
        <f t="array" ref="C132">IF(A132="","",INDEX(البيانات!$U$2:$U$265,A132))</f>
        <v>SHAHAD NASSER MOHAMMED JABRIL</v>
      </c>
      <c r="D132" s="112" cm="1">
        <f t="array" ref="D132">IF(A132="","",INDEX(البيانات!$T$2:$T$265,A132))</f>
        <v>25</v>
      </c>
      <c r="E132" s="112" t="str" cm="1">
        <f t="array" ref="E132">IF(A132="","",INDEX(البيانات!$F$2:$F$265,A132))</f>
        <v>Central Sectorالقطاع المركزي</v>
      </c>
      <c r="F132" s="112" t="str" cm="1">
        <f t="array" ref="F132">IF(A132="","",INDEX(البيانات!$Y$2:$Y$265,A132))</f>
        <v>0582128731</v>
      </c>
      <c r="G132" s="280"/>
      <c r="H132" s="280"/>
      <c r="I132" s="181" cm="1">
        <f t="array" ref="I132">IF(A132="","",INDEX(البيانات!$P$2:$P$265,A132))</f>
        <v>46145</v>
      </c>
      <c r="J132" s="282" cm="1">
        <f t="array" ref="J132">IF(A132="","",INDEX(البيانات!$AI$2:$AI$265,A132))</f>
        <v>46147</v>
      </c>
      <c r="K132" s="109" t="str">
        <f>IF(OR(A132="",J132="",I132=""),"",IF(NETWORKDAYS.INTL(I132,J132,"0000011")-1&lt;=2,"✅ ملتزم","❌ غير ملتزم"))</f>
        <v>✅ ملتزم</v>
      </c>
      <c r="L132" s="284" t="str" cm="1">
        <f t="array" ref="L132">IF(A132="","",INDEX(البيانات!$AJ$2:$AJ$265,A132))</f>
        <v>حضرت</v>
      </c>
      <c r="M132" s="287"/>
      <c r="N132" s="288"/>
      <c r="O132" s="167"/>
    </row>
    <row r="133" spans="1:15">
      <c r="A133" s="182" cm="1">
        <f t="array" ref="A133">IFERROR(SMALL(IF(البيانات!$AS$2:$AS$265="مستشفى جازان العام",البيانات!$AT$2:$AT$265),131),"")</f>
        <v>238</v>
      </c>
      <c r="B133" s="182" t="str" cm="1">
        <f t="array" ref="B133">IF(A133="","",INDEX(البيانات!$V$2:$V$265,A133))</f>
        <v>1079159784</v>
      </c>
      <c r="C133" s="182" t="str" cm="1">
        <f t="array" ref="C133">IF(A133="","",INDEX(البيانات!$U$2:$U$265,A133))</f>
        <v>تغريد أحمد فتحي جريبي</v>
      </c>
      <c r="D133" s="182" cm="1">
        <f t="array" ref="D133">IF(A133="","",INDEX(البيانات!$T$2:$T$265,A133))</f>
        <v>37</v>
      </c>
      <c r="E133" s="182" t="str" cm="1">
        <f t="array" ref="E133">IF(A133="","",INDEX(البيانات!$F$2:$F$265,A133))</f>
        <v>Central Sectorالقطاع المركزي</v>
      </c>
      <c r="F133" s="182" t="str" cm="1">
        <f t="array" ref="F133">IF(A133="","",INDEX(البيانات!$Y$2:$Y$265,A133))</f>
        <v>0500286717</v>
      </c>
      <c r="G133" s="281"/>
      <c r="H133" s="281"/>
      <c r="I133" s="184" cm="1">
        <f t="array" ref="I133">IF(A133="","",INDEX(البيانات!$P$2:$P$265,A133))</f>
        <v>46146</v>
      </c>
      <c r="J133" s="283" cm="1">
        <f t="array" ref="J133">IF(A133="","",INDEX(البيانات!$AI$2:$AI$265,A133))</f>
        <v>46149</v>
      </c>
      <c r="K133" s="183" t="str">
        <f>IF(OR(A133="",J133="",I133=""),"",IF(NETWORKDAYS.INTL(I133,J133,"0000011")-1&lt;=2,"✅ ملتزم","❌ غير ملتزم"))</f>
        <v>❌ غير ملتزم</v>
      </c>
      <c r="L133" s="285" cm="1">
        <f t="array" ref="L133">IF(A133="","",INDEX(البيانات!$AJ$2:$AJ$265,A133))</f>
        <v>0</v>
      </c>
      <c r="M133" s="287"/>
      <c r="N133" s="288"/>
      <c r="O133" s="167"/>
    </row>
    <row r="134" spans="1:15">
      <c r="A134" s="112" cm="1">
        <f t="array" ref="A134">IFERROR(SMALL(IF(البيانات!$AS$2:$AS$265="مستشفى جازان العام",البيانات!$AT$2:$AT$265),132),"")</f>
        <v>241</v>
      </c>
      <c r="B134" s="112" t="str" cm="1">
        <f t="array" ref="B134">IF(A134="","",INDEX(البيانات!$V$2:$V$265,A134))</f>
        <v>1103378632</v>
      </c>
      <c r="C134" s="112" t="str" cm="1">
        <f t="array" ref="C134">IF(A134="","",INDEX(البيانات!$U$2:$U$265,A134))</f>
        <v>اسماء احمد الشهري</v>
      </c>
      <c r="D134" s="112" cm="1">
        <f t="array" ref="D134">IF(A134="","",INDEX(البيانات!$T$2:$T$265,A134))</f>
        <v>26</v>
      </c>
      <c r="E134" s="112" t="str" cm="1">
        <f t="array" ref="E134">IF(A134="","",INDEX(البيانات!$F$2:$F$265,A134))</f>
        <v>Central Sectorالقطاع المركزي</v>
      </c>
      <c r="F134" s="112" t="str" cm="1">
        <f t="array" ref="F134">IF(A134="","",INDEX(البيانات!$Y$2:$Y$265,A134))</f>
        <v>0508523150</v>
      </c>
      <c r="G134" s="280"/>
      <c r="H134" s="280"/>
      <c r="I134" s="181" cm="1">
        <f t="array" ref="I134">IF(A134="","",INDEX(البيانات!$P$2:$P$265,A134))</f>
        <v>46146</v>
      </c>
      <c r="J134" s="282" cm="1">
        <f t="array" ref="J134">IF(A134="","",INDEX(البيانات!$AI$2:$AI$265,A134))</f>
        <v>46147</v>
      </c>
      <c r="K134" s="109" t="str">
        <f>IF(OR(A134="",J134="",I134=""),"",IF(NETWORKDAYS.INTL(I134,J134,"0000011")-1&lt;=2,"✅ ملتزم","❌ غير ملتزم"))</f>
        <v>✅ ملتزم</v>
      </c>
      <c r="L134" s="284" t="str" cm="1">
        <f t="array" ref="L134">IF(A134="","",INDEX(البيانات!$AJ$2:$AJ$265,A134))</f>
        <v>حضرت</v>
      </c>
      <c r="M134" s="287"/>
      <c r="N134" s="288"/>
      <c r="O134" s="167"/>
    </row>
    <row r="135" spans="1:15">
      <c r="A135" s="182" cm="1">
        <f t="array" ref="A135">IFERROR(SMALL(IF(البيانات!$AS$2:$AS$265="مستشفى جازان العام",البيانات!$AT$2:$AT$265),133),"")</f>
        <v>242</v>
      </c>
      <c r="B135" s="182" t="str" cm="1">
        <f t="array" ref="B135">IF(A135="","",INDEX(البيانات!$V$2:$V$265,A135))</f>
        <v>1068070133</v>
      </c>
      <c r="C135" s="182" t="str" cm="1">
        <f t="array" ref="C135">IF(A135="","",INDEX(البيانات!$U$2:$U$265,A135))</f>
        <v>معالي علي شعبي</v>
      </c>
      <c r="D135" s="182" cm="1">
        <f t="array" ref="D135">IF(A135="","",INDEX(البيانات!$T$2:$T$265,A135))</f>
        <v>37</v>
      </c>
      <c r="E135" s="182" t="str" cm="1">
        <f t="array" ref="E135">IF(A135="","",INDEX(البيانات!$F$2:$F$265,A135))</f>
        <v xml:space="preserve">Southern Sector القطاع الجنوبي				</v>
      </c>
      <c r="F135" s="182" t="str" cm="1">
        <f t="array" ref="F135">IF(A135="","",INDEX(البيانات!$Y$2:$Y$265,A135))</f>
        <v>0550889368</v>
      </c>
      <c r="G135" s="281"/>
      <c r="H135" s="281"/>
      <c r="I135" s="184" cm="1">
        <f t="array" ref="I135">IF(A135="","",INDEX(البيانات!$P$2:$P$265,A135))</f>
        <v>46145</v>
      </c>
      <c r="J135" s="283" cm="1">
        <f t="array" ref="J135">IF(A135="","",INDEX(البيانات!$AI$2:$AI$265,A135))</f>
        <v>46147</v>
      </c>
      <c r="K135" s="183" t="str">
        <f>IF(OR(A135="",J135="",I135=""),"",IF(NETWORKDAYS.INTL(I135,J135,"0000011")-1&lt;=2,"✅ ملتزم","❌ غير ملتزم"))</f>
        <v>✅ ملتزم</v>
      </c>
      <c r="L135" s="285" t="str" cm="1">
        <f t="array" ref="L135">IF(A135="","",INDEX(البيانات!$AJ$2:$AJ$265,A135))</f>
        <v>حضرت</v>
      </c>
      <c r="M135" s="287"/>
      <c r="N135" s="288"/>
      <c r="O135" s="167"/>
    </row>
    <row r="136" spans="1:15">
      <c r="A136" s="112" cm="1">
        <f t="array" ref="A136">IFERROR(SMALL(IF(البيانات!$AS$2:$AS$265="مستشفى جازان العام",البيانات!$AT$2:$AT$265),134),"")</f>
        <v>243</v>
      </c>
      <c r="B136" s="112" t="str" cm="1">
        <f t="array" ref="B136">IF(A136="","",INDEX(البيانات!$V$2:$V$265,A136))</f>
        <v>1109735785</v>
      </c>
      <c r="C136" s="112" t="str" cm="1">
        <f t="array" ref="C136">IF(A136="","",INDEX(البيانات!$U$2:$U$265,A136))</f>
        <v>رجاء عبدالله محمد ربيع</v>
      </c>
      <c r="D136" s="112" cm="1">
        <f t="array" ref="D136">IF(A136="","",INDEX(البيانات!$T$2:$T$265,A136))</f>
        <v>41</v>
      </c>
      <c r="E136" s="112" t="str" cm="1">
        <f t="array" ref="E136">IF(A136="","",INDEX(البيانات!$F$2:$F$265,A136))</f>
        <v xml:space="preserve">Southern Sector القطاع الجنوبي				</v>
      </c>
      <c r="F136" s="112" t="str" cm="1">
        <f t="array" ref="F136">IF(A136="","",INDEX(البيانات!$Y$2:$Y$265,A136))</f>
        <v>0537387632</v>
      </c>
      <c r="G136" s="280"/>
      <c r="H136" s="280"/>
      <c r="I136" s="181" cm="1">
        <f t="array" ref="I136">IF(A136="","",INDEX(البيانات!$P$2:$P$265,A136))</f>
        <v>46146</v>
      </c>
      <c r="J136" s="282" cm="1">
        <f t="array" ref="J136">IF(A136="","",INDEX(البيانات!$AI$2:$AI$265,A136))</f>
        <v>46147</v>
      </c>
      <c r="K136" s="109" t="str">
        <f>IF(OR(A136="",J136="",I136=""),"",IF(NETWORKDAYS.INTL(I136,J136,"0000011")-1&lt;=2,"✅ ملتزم","❌ غير ملتزم"))</f>
        <v>✅ ملتزم</v>
      </c>
      <c r="L136" s="284" t="str" cm="1">
        <f t="array" ref="L136">IF(A136="","",INDEX(البيانات!$AJ$2:$AJ$265,A136))</f>
        <v>حضرت</v>
      </c>
      <c r="M136" s="287"/>
      <c r="N136" s="288"/>
      <c r="O136" s="167"/>
    </row>
    <row r="137" spans="1:15">
      <c r="A137" s="182" cm="1">
        <f t="array" ref="A137">IFERROR(SMALL(IF(البيانات!$AS$2:$AS$265="مستشفى جازان العام",البيانات!$AT$2:$AT$265),135),"")</f>
        <v>244</v>
      </c>
      <c r="B137" s="182" t="str" cm="1">
        <f t="array" ref="B137">IF(A137="","",INDEX(البيانات!$V$2:$V$265,A137))</f>
        <v>1099762732</v>
      </c>
      <c r="C137" s="182" t="str" cm="1">
        <f t="array" ref="C137">IF(A137="","",INDEX(البيانات!$U$2:$U$265,A137))</f>
        <v>سراب علي يحي</v>
      </c>
      <c r="D137" s="182" cm="1">
        <f t="array" ref="D137">IF(A137="","",INDEX(البيانات!$T$2:$T$265,A137))</f>
        <v>36</v>
      </c>
      <c r="E137" s="182" t="str" cm="1">
        <f t="array" ref="E137">IF(A137="","",INDEX(البيانات!$F$2:$F$265,A137))</f>
        <v>Central Sectorالقطاع المركزي</v>
      </c>
      <c r="F137" s="182" t="str" cm="1">
        <f t="array" ref="F137">IF(A137="","",INDEX(البيانات!$Y$2:$Y$265,A137))</f>
        <v>0536561328</v>
      </c>
      <c r="G137" s="281"/>
      <c r="H137" s="281"/>
      <c r="I137" s="184" cm="1">
        <f t="array" ref="I137">IF(A137="","",INDEX(البيانات!$P$2:$P$265,A137))</f>
        <v>46147</v>
      </c>
      <c r="J137" s="283" cm="1">
        <f t="array" ref="J137">IF(A137="","",INDEX(البيانات!$AI$2:$AI$265,A137))</f>
        <v>46148</v>
      </c>
      <c r="K137" s="183" t="str">
        <f>IF(OR(A137="",J137="",I137=""),"",IF(NETWORKDAYS.INTL(I137,J137,"0000011")-1&lt;=2,"✅ ملتزم","❌ غير ملتزم"))</f>
        <v>✅ ملتزم</v>
      </c>
      <c r="L137" s="285" t="str" cm="1">
        <f t="array" ref="L137">IF(A137="","",INDEX(البيانات!$AJ$2:$AJ$265,A137))</f>
        <v>حضرت</v>
      </c>
      <c r="M137" s="287"/>
      <c r="N137" s="288"/>
      <c r="O137" s="167"/>
    </row>
    <row r="138" spans="1:15">
      <c r="A138" s="112" cm="1">
        <f t="array" ref="A138">IFERROR(SMALL(IF(البيانات!$AS$2:$AS$265="مستشفى جازان العام",البيانات!$AT$2:$AT$265),136),"")</f>
        <v>245</v>
      </c>
      <c r="B138" s="112" t="str" cm="1">
        <f t="array" ref="B138">IF(A138="","",INDEX(البيانات!$V$2:$V$265,A138))</f>
        <v>1071841736</v>
      </c>
      <c r="C138" s="112" t="str" cm="1">
        <f t="array" ref="C138">IF(A138="","",INDEX(البيانات!$U$2:$U$265,A138))</f>
        <v>الهنوف احمد</v>
      </c>
      <c r="D138" s="112" cm="1">
        <f t="array" ref="D138">IF(A138="","",INDEX(البيانات!$T$2:$T$265,A138))</f>
        <v>35</v>
      </c>
      <c r="E138" s="112" t="str" cm="1">
        <f t="array" ref="E138">IF(A138="","",INDEX(البيانات!$F$2:$F$265,A138))</f>
        <v>Central Sectorالقطاع المركزي</v>
      </c>
      <c r="F138" s="112" t="str" cm="1">
        <f t="array" ref="F138">IF(A138="","",INDEX(البيانات!$Y$2:$Y$265,A138))</f>
        <v>0535908084</v>
      </c>
      <c r="G138" s="280"/>
      <c r="H138" s="280"/>
      <c r="I138" s="181" cm="1">
        <f t="array" ref="I138">IF(A138="","",INDEX(البيانات!$P$2:$P$265,A138))</f>
        <v>46147</v>
      </c>
      <c r="J138" s="282" cm="1">
        <f t="array" ref="J138">IF(A138="","",INDEX(البيانات!$AI$2:$AI$265,A138))</f>
        <v>46148</v>
      </c>
      <c r="K138" s="109" t="str">
        <f>IF(OR(A138="",J138="",I138=""),"",IF(NETWORKDAYS.INTL(I138,J138,"0000011")-1&lt;=2,"✅ ملتزم","❌ غير ملتزم"))</f>
        <v>✅ ملتزم</v>
      </c>
      <c r="L138" s="284" t="str" cm="1">
        <f t="array" ref="L138">IF(A138="","",INDEX(البيانات!$AJ$2:$AJ$265,A138))</f>
        <v>حضرت</v>
      </c>
      <c r="M138" s="287"/>
      <c r="N138" s="288"/>
      <c r="O138" s="167"/>
    </row>
    <row r="139" spans="1:15">
      <c r="A139" s="182" cm="1">
        <f t="array" ref="A139">IFERROR(SMALL(IF(البيانات!$AS$2:$AS$265="مستشفى جازان العام",البيانات!$AT$2:$AT$265),137),"")</f>
        <v>246</v>
      </c>
      <c r="B139" s="182" t="str" cm="1">
        <f t="array" ref="B139">IF(A139="","",INDEX(البيانات!$V$2:$V$265,A139))</f>
        <v>1088255359</v>
      </c>
      <c r="C139" s="182" t="str" cm="1">
        <f t="array" ref="C139">IF(A139="","",INDEX(البيانات!$U$2:$U$265,A139))</f>
        <v>عائشة حسين</v>
      </c>
      <c r="D139" s="182" cm="1">
        <f t="array" ref="D139">IF(A139="","",INDEX(البيانات!$T$2:$T$265,A139))</f>
        <v>31</v>
      </c>
      <c r="E139" s="182" t="str" cm="1">
        <f t="array" ref="E139">IF(A139="","",INDEX(البيانات!$F$2:$F$265,A139))</f>
        <v>Central Sectorالقطاع المركزي</v>
      </c>
      <c r="F139" s="182" t="str" cm="1">
        <f t="array" ref="F139">IF(A139="","",INDEX(البيانات!$Y$2:$Y$265,A139))</f>
        <v>0552471316</v>
      </c>
      <c r="G139" s="281"/>
      <c r="H139" s="281"/>
      <c r="I139" s="184" cm="1">
        <f t="array" ref="I139">IF(A139="","",INDEX(البيانات!$P$2:$P$265,A139))</f>
        <v>46147</v>
      </c>
      <c r="J139" s="283" cm="1">
        <f t="array" ref="J139">IF(A139="","",INDEX(البيانات!$AI$2:$AI$265,A139))</f>
        <v>46148</v>
      </c>
      <c r="K139" s="183" t="str">
        <f>IF(OR(A139="",J139="",I139=""),"",IF(NETWORKDAYS.INTL(I139,J139,"0000011")-1&lt;=2,"✅ ملتزم","❌ غير ملتزم"))</f>
        <v>✅ ملتزم</v>
      </c>
      <c r="L139" s="285" t="str" cm="1">
        <f t="array" ref="L139">IF(A139="","",INDEX(البيانات!$AJ$2:$AJ$265,A139))</f>
        <v>حضرت</v>
      </c>
      <c r="M139" s="287"/>
      <c r="N139" s="288"/>
      <c r="O139" s="167"/>
    </row>
    <row r="140" spans="1:15">
      <c r="A140" s="112" cm="1">
        <f t="array" ref="A140">IFERROR(SMALL(IF(البيانات!$AS$2:$AS$265="مستشفى جازان العام",البيانات!$AT$2:$AT$265),138),"")</f>
        <v>247</v>
      </c>
      <c r="B140" s="112" t="str" cm="1">
        <f t="array" ref="B140">IF(A140="","",INDEX(البيانات!$V$2:$V$265,A140))</f>
        <v>1054765548</v>
      </c>
      <c r="C140" s="112" t="str" cm="1">
        <f t="array" ref="C140">IF(A140="","",INDEX(البيانات!$U$2:$U$265,A140))</f>
        <v>ZAHRA DHAIFALLAH SHOEI JAAFARI</v>
      </c>
      <c r="D140" s="112" cm="1">
        <f t="array" ref="D140">IF(A140="","",INDEX(البيانات!$T$2:$T$265,A140))</f>
        <v>40</v>
      </c>
      <c r="E140" s="112" t="str" cm="1">
        <f t="array" ref="E140">IF(A140="","",INDEX(البيانات!$F$2:$F$265,A140))</f>
        <v>Central Sectorالقطاع المركزي</v>
      </c>
      <c r="F140" s="112" t="str" cm="1">
        <f t="array" ref="F140">IF(A140="","",INDEX(البيانات!$Y$2:$Y$265,A140))</f>
        <v>0537865006</v>
      </c>
      <c r="G140" s="280"/>
      <c r="H140" s="280"/>
      <c r="I140" s="181" cm="1">
        <f t="array" ref="I140">IF(A140="","",INDEX(البيانات!$P$2:$P$265,A140))</f>
        <v>46147</v>
      </c>
      <c r="J140" s="282" cm="1">
        <f t="array" ref="J140">IF(A140="","",INDEX(البيانات!$AI$2:$AI$265,A140))</f>
        <v>46148</v>
      </c>
      <c r="K140" s="109" t="str">
        <f>IF(OR(A140="",J140="",I140=""),"",IF(NETWORKDAYS.INTL(I140,J140,"0000011")-1&lt;=2,"✅ ملتزم","❌ غير ملتزم"))</f>
        <v>✅ ملتزم</v>
      </c>
      <c r="L140" s="284" t="str" cm="1">
        <f t="array" ref="L140">IF(A140="","",INDEX(البيانات!$AJ$2:$AJ$265,A140))</f>
        <v>حضرت</v>
      </c>
      <c r="M140" s="287"/>
      <c r="N140" s="288"/>
      <c r="O140" s="167"/>
    </row>
    <row r="141" spans="1:15">
      <c r="A141" s="182" cm="1">
        <f t="array" ref="A141">IFERROR(SMALL(IF(البيانات!$AS$2:$AS$265="مستشفى جازان العام",البيانات!$AT$2:$AT$265),139),"")</f>
        <v>248</v>
      </c>
      <c r="B141" s="182" t="str" cm="1">
        <f t="array" ref="B141">IF(A141="","",INDEX(البيانات!$V$2:$V$265,A141))</f>
        <v>1098229618</v>
      </c>
      <c r="C141" s="182" t="str" cm="1">
        <f t="array" ref="C141">IF(A141="","",INDEX(البيانات!$U$2:$U$265,A141))</f>
        <v>بدور مسعود</v>
      </c>
      <c r="D141" s="182" cm="1">
        <f t="array" ref="D141">IF(A141="","",INDEX(البيانات!$T$2:$T$265,A141))</f>
        <v>29</v>
      </c>
      <c r="E141" s="182" t="str" cm="1">
        <f t="array" ref="E141">IF(A141="","",INDEX(البيانات!$F$2:$F$265,A141))</f>
        <v>Central Sectorالقطاع المركزي</v>
      </c>
      <c r="F141" s="182" t="str" cm="1">
        <f t="array" ref="F141">IF(A141="","",INDEX(البيانات!$Y$2:$Y$265,A141))</f>
        <v>0504632216</v>
      </c>
      <c r="G141" s="281"/>
      <c r="H141" s="281"/>
      <c r="I141" s="184" cm="1">
        <f t="array" ref="I141">IF(A141="","",INDEX(البيانات!$P$2:$P$265,A141))</f>
        <v>46147</v>
      </c>
      <c r="J141" s="283" cm="1">
        <f t="array" ref="J141">IF(A141="","",INDEX(البيانات!$AI$2:$AI$265,A141))</f>
        <v>46148</v>
      </c>
      <c r="K141" s="183" t="str">
        <f>IF(OR(A141="",J141="",I141=""),"",IF(NETWORKDAYS.INTL(I141,J141,"0000011")-1&lt;=2,"✅ ملتزم","❌ غير ملتزم"))</f>
        <v>✅ ملتزم</v>
      </c>
      <c r="L141" s="285" t="str" cm="1">
        <f t="array" ref="L141">IF(A141="","",INDEX(البيانات!$AJ$2:$AJ$265,A141))</f>
        <v>حضرت</v>
      </c>
      <c r="M141" s="287"/>
      <c r="N141" s="288"/>
      <c r="O141" s="167"/>
    </row>
    <row r="142" spans="1:15">
      <c r="A142" s="112" cm="1">
        <f t="array" ref="A142">IFERROR(SMALL(IF(البيانات!$AS$2:$AS$265="مستشفى جازان العام",البيانات!$AT$2:$AT$265),140),"")</f>
        <v>249</v>
      </c>
      <c r="B142" s="112" t="str" cm="1">
        <f t="array" ref="B142">IF(A142="","",INDEX(البيانات!$V$2:$V$265,A142))</f>
        <v>1066377167</v>
      </c>
      <c r="C142" s="112" t="str" cm="1">
        <f t="array" ref="C142">IF(A142="","",INDEX(البيانات!$U$2:$U$265,A142))</f>
        <v>NADA AYIDH SAEED AL</v>
      </c>
      <c r="D142" s="112" cm="1">
        <f t="array" ref="D142">IF(A142="","",INDEX(البيانات!$T$2:$T$265,A142))</f>
        <v>36</v>
      </c>
      <c r="E142" s="112" t="str" cm="1">
        <f t="array" ref="E142">IF(A142="","",INDEX(البيانات!$F$2:$F$265,A142))</f>
        <v>Central Sectorالقطاع المركزي</v>
      </c>
      <c r="F142" s="112" cm="1">
        <f t="array" ref="F142">IF(A142="","",INDEX(البيانات!$Y$2:$Y$265,A142))</f>
        <v>508042848</v>
      </c>
      <c r="G142" s="280"/>
      <c r="H142" s="280"/>
      <c r="I142" s="181" cm="1">
        <f t="array" ref="I142">IF(A142="","",INDEX(البيانات!$P$2:$P$265,A142))</f>
        <v>46147</v>
      </c>
      <c r="J142" s="282" cm="1">
        <f t="array" ref="J142">IF(A142="","",INDEX(البيانات!$AI$2:$AI$265,A142))</f>
        <v>46148</v>
      </c>
      <c r="K142" s="109" t="str">
        <f>IF(OR(A142="",J142="",I142=""),"",IF(NETWORKDAYS.INTL(I142,J142,"0000011")-1&lt;=2,"✅ ملتزم","❌ غير ملتزم"))</f>
        <v>✅ ملتزم</v>
      </c>
      <c r="L142" s="284" t="str" cm="1">
        <f t="array" ref="L142">IF(A142="","",INDEX(البيانات!$AJ$2:$AJ$265,A142))</f>
        <v>حضرت</v>
      </c>
      <c r="M142" s="287"/>
      <c r="N142" s="288"/>
      <c r="O142" s="167"/>
    </row>
    <row r="143" spans="1:15">
      <c r="A143" s="182" cm="1">
        <f t="array" ref="A143">IFERROR(SMALL(IF(البيانات!$AS$2:$AS$265="مستشفى جازان العام",البيانات!$AT$2:$AT$265),141),"")</f>
        <v>250</v>
      </c>
      <c r="B143" s="182" t="str" cm="1">
        <f t="array" ref="B143">IF(A143="","",INDEX(البيانات!$V$2:$V$265,A143))</f>
        <v>1080028523</v>
      </c>
      <c r="C143" s="182" t="str" cm="1">
        <f t="array" ref="C143">IF(A143="","",INDEX(البيانات!$U$2:$U$265,A143))</f>
        <v>WEJDAN HADI HASSAN ALAAULLAH</v>
      </c>
      <c r="D143" s="182" cm="1">
        <f t="array" ref="D143">IF(A143="","",INDEX(البيانات!$T$2:$T$265,A143))</f>
        <v>34</v>
      </c>
      <c r="E143" s="182" t="str" cm="1">
        <f t="array" ref="E143">IF(A143="","",INDEX(البيانات!$F$2:$F$265,A143))</f>
        <v>Central Sectorالقطاع المركزي</v>
      </c>
      <c r="F143" s="182" t="str" cm="1">
        <f t="array" ref="F143">IF(A143="","",INDEX(البيانات!$Y$2:$Y$265,A143))</f>
        <v>0503729392</v>
      </c>
      <c r="G143" s="281"/>
      <c r="H143" s="281"/>
      <c r="I143" s="184" cm="1">
        <f t="array" ref="I143">IF(A143="","",INDEX(البيانات!$P$2:$P$265,A143))</f>
        <v>46148</v>
      </c>
      <c r="J143" s="283" cm="1">
        <f t="array" ref="J143">IF(A143="","",INDEX(البيانات!$AI$2:$AI$265,A143))</f>
        <v>46149</v>
      </c>
      <c r="K143" s="183" t="str">
        <f>IF(OR(A143="",J143="",I143=""),"",IF(NETWORKDAYS.INTL(I143,J143,"0000011")-1&lt;=2,"✅ ملتزم","❌ غير ملتزم"))</f>
        <v>✅ ملتزم</v>
      </c>
      <c r="L143" s="285" cm="1">
        <f t="array" ref="L143">IF(A143="","",INDEX(البيانات!$AJ$2:$AJ$265,A143))</f>
        <v>0</v>
      </c>
      <c r="M143" s="287"/>
      <c r="N143" s="288"/>
      <c r="O143" s="167"/>
    </row>
    <row r="144" spans="1:15">
      <c r="A144" s="112" cm="1">
        <f t="array" ref="A144">IFERROR(SMALL(IF(البيانات!$AS$2:$AS$265="مستشفى جازان العام",البيانات!$AT$2:$AT$265),142),"")</f>
        <v>252</v>
      </c>
      <c r="B144" s="112" t="str" cm="1">
        <f t="array" ref="B144">IF(A144="","",INDEX(البيانات!$V$2:$V$265,A144))</f>
        <v>1117976108</v>
      </c>
      <c r="C144" s="112" t="str" cm="1">
        <f t="array" ref="C144">IF(A144="","",INDEX(البيانات!$U$2:$U$265,A144))</f>
        <v>FADIYAH HASSAN AHMED SAHLI</v>
      </c>
      <c r="D144" s="112" cm="1">
        <f t="array" ref="D144">IF(A144="","",INDEX(البيانات!$T$2:$T$265,A144))</f>
        <v>24</v>
      </c>
      <c r="E144" s="112" t="str" cm="1">
        <f t="array" ref="E144">IF(A144="","",INDEX(البيانات!$F$2:$F$265,A144))</f>
        <v>Central Sectorالقطاع المركزي</v>
      </c>
      <c r="F144" s="112" t="str" cm="1">
        <f t="array" ref="F144">IF(A144="","",INDEX(البيانات!$Y$2:$Y$265,A144))</f>
        <v>0535077082</v>
      </c>
      <c r="G144" s="280"/>
      <c r="H144" s="280"/>
      <c r="I144" s="181" cm="1">
        <f t="array" ref="I144">IF(A144="","",INDEX(البيانات!$P$2:$P$265,A144))</f>
        <v>46148</v>
      </c>
      <c r="J144" s="282" cm="1">
        <f t="array" ref="J144">IF(A144="","",INDEX(البيانات!$AI$2:$AI$265,A144))</f>
        <v>46152</v>
      </c>
      <c r="K144" s="109" t="str">
        <f>IF(OR(A144="",J144="",I144=""),"",IF(NETWORKDAYS.INTL(I144,J144,"0000011")-1&lt;=2,"✅ ملتزم","❌ غير ملتزم"))</f>
        <v>✅ ملتزم</v>
      </c>
      <c r="L144" s="284" cm="1">
        <f t="array" ref="L144">IF(A144="","",INDEX(البيانات!$AJ$2:$AJ$265,A144))</f>
        <v>0</v>
      </c>
      <c r="M144" s="287"/>
      <c r="N144" s="288"/>
      <c r="O144" s="167"/>
    </row>
    <row r="145" spans="1:15">
      <c r="A145" s="182" cm="1">
        <f t="array" ref="A145">IFERROR(SMALL(IF(البيانات!$AS$2:$AS$265="مستشفى جازان العام",البيانات!$AT$2:$AT$265),143),"")</f>
        <v>253</v>
      </c>
      <c r="B145" s="182" t="str" cm="1">
        <f t="array" ref="B145">IF(A145="","",INDEX(البيانات!$V$2:$V$265,A145))</f>
        <v>1070562390</v>
      </c>
      <c r="C145" s="182" t="str" cm="1">
        <f t="array" ref="C145">IF(A145="","",INDEX(البيانات!$U$2:$U$265,A145))</f>
        <v>NASEEM NASSER AHMED ALSHARIF</v>
      </c>
      <c r="D145" s="182" cm="1">
        <f t="array" ref="D145">IF(A145="","",INDEX(البيانات!$T$2:$T$265,A145))</f>
        <v>35</v>
      </c>
      <c r="E145" s="182" t="str" cm="1">
        <f t="array" ref="E145">IF(A145="","",INDEX(البيانات!$F$2:$F$265,A145))</f>
        <v>Central Sectorالقطاع المركزي</v>
      </c>
      <c r="F145" s="182" t="str" cm="1">
        <f t="array" ref="F145">IF(A145="","",INDEX(البيانات!$Y$2:$Y$265,A145))</f>
        <v>0554541385</v>
      </c>
      <c r="G145" s="281"/>
      <c r="H145" s="281"/>
      <c r="I145" s="184" cm="1">
        <f t="array" ref="I145">IF(A145="","",INDEX(البيانات!$P$2:$P$265,A145))</f>
        <v>46148</v>
      </c>
      <c r="J145" s="283" cm="1">
        <f t="array" ref="J145">IF(A145="","",INDEX(البيانات!$AI$2:$AI$265,A145))</f>
        <v>46152</v>
      </c>
      <c r="K145" s="183" t="str">
        <f>IF(OR(A145="",J145="",I145=""),"",IF(NETWORKDAYS.INTL(I145,J145,"0000011")-1&lt;=2,"✅ ملتزم","❌ غير ملتزم"))</f>
        <v>✅ ملتزم</v>
      </c>
      <c r="L145" s="285" cm="1">
        <f t="array" ref="L145">IF(A145="","",INDEX(البيانات!$AJ$2:$AJ$265,A145))</f>
        <v>0</v>
      </c>
      <c r="M145" s="287"/>
      <c r="N145" s="288"/>
      <c r="O145" s="167"/>
    </row>
    <row r="146" spans="1:15">
      <c r="A146" s="112" cm="1">
        <f t="array" ref="A146">IFERROR(SMALL(IF(البيانات!$AS$2:$AS$265="مستشفى جازان العام",البيانات!$AT$2:$AT$265),144),"")</f>
        <v>254</v>
      </c>
      <c r="B146" s="112" t="str" cm="1">
        <f t="array" ref="B146">IF(A146="","",INDEX(البيانات!$V$2:$V$265,A146))</f>
        <v>1151857883</v>
      </c>
      <c r="C146" s="112" t="str" cm="1">
        <f t="array" ref="C146">IF(A146="","",INDEX(البيانات!$U$2:$U$265,A146))</f>
        <v>AHLAM YAHIA SALMAN ALFAIFI</v>
      </c>
      <c r="D146" s="112" cm="1">
        <f t="array" ref="D146">IF(A146="","",INDEX(البيانات!$T$2:$T$265,A146))</f>
        <v>15</v>
      </c>
      <c r="E146" s="112" t="str" cm="1">
        <f t="array" ref="E146">IF(A146="","",INDEX(البيانات!$F$2:$F$265,A146))</f>
        <v>Central Sectorالقطاع المركزي</v>
      </c>
      <c r="F146" s="112" t="str" cm="1">
        <f t="array" ref="F146">IF(A146="","",INDEX(البيانات!$Y$2:$Y$265,A146))</f>
        <v>0558152660</v>
      </c>
      <c r="G146" s="280"/>
      <c r="H146" s="280"/>
      <c r="I146" s="181" cm="1">
        <f t="array" ref="I146">IF(A146="","",INDEX(البيانات!$P$2:$P$265,A146))</f>
        <v>46148</v>
      </c>
      <c r="J146" s="282" cm="1">
        <f t="array" ref="J146">IF(A146="","",INDEX(البيانات!$AI$2:$AI$265,A146))</f>
        <v>46152</v>
      </c>
      <c r="K146" s="109" t="str">
        <f>IF(OR(A146="",J146="",I146=""),"",IF(NETWORKDAYS.INTL(I146,J146,"0000011")-1&lt;=2,"✅ ملتزم","❌ غير ملتزم"))</f>
        <v>✅ ملتزم</v>
      </c>
      <c r="L146" s="284" cm="1">
        <f t="array" ref="L146">IF(A146="","",INDEX(البيانات!$AJ$2:$AJ$265,A146))</f>
        <v>0</v>
      </c>
      <c r="M146" s="287"/>
      <c r="N146" s="288"/>
      <c r="O146" s="167"/>
    </row>
    <row r="147" spans="1:15">
      <c r="A147" s="182" cm="1">
        <f t="array" ref="A147">IFERROR(SMALL(IF(البيانات!$AS$2:$AS$265="مستشفى جازان العام",البيانات!$AT$2:$AT$265),145),"")</f>
        <v>255</v>
      </c>
      <c r="B147" s="182" t="str" cm="1">
        <f t="array" ref="B147">IF(A147="","",INDEX(البيانات!$V$2:$V$265,A147))</f>
        <v>1122700816</v>
      </c>
      <c r="C147" s="182" t="str" cm="1">
        <f t="array" ref="C147">IF(A147="","",INDEX(البيانات!$U$2:$U$265,A147))</f>
        <v>AMAL MOHAMMED ALI GHATHI</v>
      </c>
      <c r="D147" s="182" cm="1">
        <f t="array" ref="D147">IF(A147="","",INDEX(البيانات!$T$2:$T$265,A147))</f>
        <v>22</v>
      </c>
      <c r="E147" s="182" t="str" cm="1">
        <f t="array" ref="E147">IF(A147="","",INDEX(البيانات!$F$2:$F$265,A147))</f>
        <v>Central Sectorالقطاع المركزي</v>
      </c>
      <c r="F147" s="182" t="str" cm="1">
        <f t="array" ref="F147">IF(A147="","",INDEX(البيانات!$Y$2:$Y$265,A147))</f>
        <v>0501282664</v>
      </c>
      <c r="G147" s="281"/>
      <c r="H147" s="281"/>
      <c r="I147" s="184" cm="1">
        <f t="array" ref="I147">IF(A147="","",INDEX(البيانات!$P$2:$P$265,A147))</f>
        <v>46148</v>
      </c>
      <c r="J147" s="283" cm="1">
        <f t="array" ref="J147">IF(A147="","",INDEX(البيانات!$AI$2:$AI$265,A147))</f>
        <v>46152</v>
      </c>
      <c r="K147" s="183" t="str">
        <f>IF(OR(A147="",J147="",I147=""),"",IF(NETWORKDAYS.INTL(I147,J147,"0000011")-1&lt;=2,"✅ ملتزم","❌ غير ملتزم"))</f>
        <v>✅ ملتزم</v>
      </c>
      <c r="L147" s="285" cm="1">
        <f t="array" ref="L147">IF(A147="","",INDEX(البيانات!$AJ$2:$AJ$265,A147))</f>
        <v>0</v>
      </c>
      <c r="M147" s="287"/>
      <c r="N147" s="288"/>
      <c r="O147" s="167"/>
    </row>
    <row r="148" spans="1:15">
      <c r="A148" s="112" cm="1">
        <f t="array" ref="A148">IFERROR(SMALL(IF(البيانات!$AS$2:$AS$265="مستشفى جازان العام",البيانات!$AT$2:$AT$265),146),"")</f>
        <v>256</v>
      </c>
      <c r="B148" s="112" t="str" cm="1">
        <f t="array" ref="B148">IF(A148="","",INDEX(البيانات!$V$2:$V$265,A148))</f>
        <v>1070754567</v>
      </c>
      <c r="C148" s="112" t="str" cm="1">
        <f t="array" ref="C148">IF(A148="","",INDEX(البيانات!$U$2:$U$265,A148))</f>
        <v>SARAH ALI AHMED JAHFALI</v>
      </c>
      <c r="D148" s="112" cm="1">
        <f t="array" ref="D148">IF(A148="","",INDEX(البيانات!$T$2:$T$265,A148))</f>
        <v>35</v>
      </c>
      <c r="E148" s="112" t="str" cm="1">
        <f t="array" ref="E148">IF(A148="","",INDEX(البيانات!$F$2:$F$265,A148))</f>
        <v>Central Sectorالقطاع المركزي</v>
      </c>
      <c r="F148" s="112" t="str" cm="1">
        <f t="array" ref="F148">IF(A148="","",INDEX(البيانات!$Y$2:$Y$265,A148))</f>
        <v>0557730011</v>
      </c>
      <c r="G148" s="280"/>
      <c r="H148" s="280"/>
      <c r="I148" s="181" cm="1">
        <f t="array" ref="I148">IF(A148="","",INDEX(البيانات!$P$2:$P$265,A148))</f>
        <v>46148</v>
      </c>
      <c r="J148" s="282" cm="1">
        <f t="array" ref="J148">IF(A148="","",INDEX(البيانات!$AI$2:$AI$265,A148))</f>
        <v>46152</v>
      </c>
      <c r="K148" s="109" t="str">
        <f>IF(OR(A148="",J148="",I148=""),"",IF(NETWORKDAYS.INTL(I148,J148,"0000011")-1&lt;=2,"✅ ملتزم","❌ غير ملتزم"))</f>
        <v>✅ ملتزم</v>
      </c>
      <c r="L148" s="284" cm="1">
        <f t="array" ref="L148">IF(A148="","",INDEX(البيانات!$AJ$2:$AJ$265,A148))</f>
        <v>0</v>
      </c>
      <c r="M148" s="287"/>
      <c r="N148" s="288"/>
      <c r="O148" s="167"/>
    </row>
    <row r="149" spans="1:15">
      <c r="A149" s="182" cm="1">
        <f t="array" ref="A149">IFERROR(SMALL(IF(البيانات!$AS$2:$AS$265="مستشفى جازان العام",البيانات!$AT$2:$AT$265),147),"")</f>
        <v>258</v>
      </c>
      <c r="B149" s="182" t="str" cm="1">
        <f t="array" ref="B149">IF(A149="","",INDEX(البيانات!$V$2:$V$265,A149))</f>
        <v>1062488224</v>
      </c>
      <c r="C149" s="182" t="str" cm="1">
        <f t="array" ref="C149">IF(A149="","",INDEX(البيانات!$U$2:$U$265,A149))</f>
        <v>خديجه عجلان جابر الريفي</v>
      </c>
      <c r="D149" s="182" cm="1">
        <f t="array" ref="D149">IF(A149="","",INDEX(البيانات!$T$2:$T$265,A149))</f>
        <v>40</v>
      </c>
      <c r="E149" s="182" t="str" cm="1">
        <f t="array" ref="E149">IF(A149="","",INDEX(البيانات!$F$2:$F$265,A149))</f>
        <v>Central Sectorالقطاع المركزي</v>
      </c>
      <c r="F149" s="182" t="str" cm="1">
        <f t="array" ref="F149">IF(A149="","",INDEX(البيانات!$Y$2:$Y$265,A149))</f>
        <v>0581201857</v>
      </c>
      <c r="G149" s="281"/>
      <c r="H149" s="281"/>
      <c r="I149" s="184" cm="1">
        <f t="array" ref="I149">IF(A149="","",INDEX(البيانات!$P$2:$P$265,A149))</f>
        <v>46149</v>
      </c>
      <c r="J149" s="283" cm="1">
        <f t="array" ref="J149">IF(A149="","",INDEX(البيانات!$AI$2:$AI$265,A149))</f>
        <v>0</v>
      </c>
      <c r="K149" s="183" t="str">
        <f>IF(OR(A149="",J149="",I149=""),"",IF(NETWORKDAYS.INTL(I149,J149,"0000011")-1&lt;=2,"✅ ملتزم","❌ غير ملتزم"))</f>
        <v>✅ ملتزم</v>
      </c>
      <c r="L149" s="285" cm="1">
        <f t="array" ref="L149">IF(A149="","",INDEX(البيانات!$AJ$2:$AJ$265,A149))</f>
        <v>0</v>
      </c>
      <c r="M149" s="287"/>
      <c r="N149" s="289"/>
      <c r="O149" s="167"/>
    </row>
    <row r="150" spans="1:15">
      <c r="A150" s="167"/>
      <c r="B150" s="167"/>
      <c r="C150" s="167"/>
      <c r="D150" s="167"/>
      <c r="E150" s="167"/>
      <c r="F150" s="167"/>
      <c r="I150" s="167"/>
      <c r="K150" s="167"/>
      <c r="O150" s="167"/>
    </row>
    <row r="151" spans="1:15">
      <c r="A151" s="167"/>
      <c r="B151" s="167"/>
      <c r="C151" s="167"/>
      <c r="D151" s="167"/>
      <c r="E151" s="167"/>
      <c r="F151" s="167"/>
      <c r="I151" s="167"/>
      <c r="K151" s="167"/>
      <c r="O151" s="167"/>
    </row>
    <row r="152" spans="1:15">
      <c r="A152" s="167"/>
      <c r="B152" s="167"/>
      <c r="C152" s="167"/>
      <c r="D152" s="167"/>
      <c r="E152" s="167"/>
      <c r="F152" s="167"/>
      <c r="I152" s="167"/>
      <c r="K152" s="167"/>
      <c r="O152" s="167"/>
    </row>
    <row r="153" spans="1:15">
      <c r="A153" s="167"/>
      <c r="B153" s="167"/>
      <c r="C153" s="167"/>
      <c r="D153" s="167"/>
      <c r="E153" s="167"/>
      <c r="F153" s="167"/>
      <c r="I153" s="167"/>
      <c r="K153" s="167"/>
      <c r="O153" s="167"/>
    </row>
  </sheetData>
  <mergeCells count="1">
    <mergeCell ref="A1:H1"/>
  </mergeCells>
  <conditionalFormatting sqref="K4:K196">
    <cfRule type="containsText" dxfId="81" priority="11" operator="containsText" text="ملتزم">
      <formula>NOT(ISERROR(SEARCH("ملتزم",K4)))</formula>
    </cfRule>
    <cfRule type="containsText" dxfId="80" priority="12" operator="containsText" text="غير ملتزم">
      <formula>NOT(ISERROR(SEARCH("غير ملتزم",K4)))</formula>
    </cfRule>
  </conditionalFormatting>
  <conditionalFormatting sqref="M4:M149">
    <cfRule type="containsText" dxfId="79" priority="13" operator="containsText" text="منخفض">
      <formula>NOT(ISERROR(SEARCH("منخفض",M4)))</formula>
    </cfRule>
    <cfRule type="containsText" dxfId="78" priority="14" operator="containsText" text="متابعة">
      <formula>NOT(ISERROR(SEARCH("متابعة",M4)))</formula>
    </cfRule>
    <cfRule type="containsText" dxfId="77" priority="15" operator="containsText" text="KFCH">
      <formula>NOT(ISERROR(SEARCH("KFCH",M4)))</formula>
    </cfRule>
  </conditionalFormatting>
  <dataValidations count="2">
    <dataValidation type="list" allowBlank="1" showInputMessage="1" showErrorMessage="1" sqref="M4:M149" xr:uid="{EFD0AB29-CB30-4BB1-A7DF-D9706A097BFD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49" xr:uid="{98BE3A5C-9703-417C-B90B-14A6A61502A1}">
      <formula1>"نعم,لا"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CB8E-36B3-45A3-94F3-7530A6F869AE}">
  <sheetPr>
    <tabColor rgb="FF9C27B0"/>
  </sheetPr>
  <dimension ref="A1:O100"/>
  <sheetViews>
    <sheetView rightToLeft="1" topLeftCell="A37" workbookViewId="0">
      <selection activeCell="M1" sqref="M1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8.375" customWidth="1"/>
    <col min="5" max="5" width="25" customWidth="1"/>
    <col min="6" max="6" width="16.625" customWidth="1"/>
    <col min="7" max="7" width="16.625" style="241" customWidth="1"/>
    <col min="8" max="8" width="20" style="241" customWidth="1"/>
    <col min="9" max="9" width="10.375" bestFit="1" customWidth="1"/>
    <col min="10" max="10" width="10.375" style="241" bestFit="1" customWidth="1"/>
    <col min="12" max="12" width="22" style="241" customWidth="1"/>
    <col min="13" max="13" width="24.5" style="241" customWidth="1"/>
    <col min="14" max="14" width="9" style="241"/>
  </cols>
  <sheetData>
    <row r="1" spans="1:15" ht="20.25">
      <c r="A1" s="344" t="s">
        <v>573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>
      <c r="A2" s="167" t="s">
        <v>571</v>
      </c>
      <c r="B2" s="28">
        <f>COUNTIF(البيانات!$AS:$AS,"*عريش*")</f>
        <v>31</v>
      </c>
      <c r="C2" s="167"/>
      <c r="D2" s="167"/>
      <c r="E2" s="167"/>
      <c r="F2" s="167"/>
      <c r="I2" s="167"/>
      <c r="K2" s="167"/>
      <c r="O2" s="167"/>
    </row>
    <row r="3" spans="1: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>
      <c r="A4" s="112" cm="1">
        <f t="array" ref="A4">IFERROR(SMALL(IF(البيانات!$AS$2:$AS$265="مستشفى أبو عريش العام",البيانات!$AT$2:$AT$265),1),"")</f>
        <v>20</v>
      </c>
      <c r="B4" s="112" t="str" cm="1">
        <f t="array" ref="B4">IF(A4="","",INDEX(البيانات!$V$2:$V$265,A4))</f>
        <v>1137769400</v>
      </c>
      <c r="C4" s="112" t="str" cm="1">
        <f t="array" ref="C4">IF(A4="","",INDEX(البيانات!$U$2:$U$265,A4))</f>
        <v>FATIMAH ALI ABDU ZAYBI</v>
      </c>
      <c r="D4" s="112" cm="1">
        <f t="array" ref="D4">IF(A4="","",INDEX(البيانات!$T$2:$T$265,A4))</f>
        <v>36</v>
      </c>
      <c r="E4" s="112" t="str" cm="1">
        <f t="array" ref="E4">IF(A4="","",INDEX(البيانات!$F$2:$F$265,A4))</f>
        <v>القطاع الغربي</v>
      </c>
      <c r="F4" s="112" cm="1">
        <f t="array" ref="F4">IF(A4="","",INDEX(البيانات!$Y$2:$Y$265,A4))</f>
        <v>556662994</v>
      </c>
      <c r="G4" s="280"/>
      <c r="H4" s="280"/>
      <c r="I4" s="181" cm="1">
        <f t="array" ref="I4">IF(A4="","",INDEX(البيانات!$P$2:$P$265,A4))</f>
        <v>46090</v>
      </c>
      <c r="J4" s="282" t="str" cm="1">
        <f t="array" ref="J4">IF(A4="","",INDEX(البيانات!$AI$2:$AI$265,A4))</f>
        <v>12/3/2026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تم الحظور</v>
      </c>
      <c r="M4" s="286"/>
      <c r="N4" s="288"/>
      <c r="O4" s="167"/>
    </row>
    <row r="5" spans="1:15">
      <c r="A5" s="182" cm="1">
        <f t="array" ref="A5">IFERROR(SMALL(IF(البيانات!$AS$2:$AS$265="مستشفى أبو عريش العام",البيانات!$AT$2:$AT$265),2),"")</f>
        <v>32</v>
      </c>
      <c r="B5" s="182" t="str" cm="1">
        <f t="array" ref="B5">IF(A5="","",INDEX(البيانات!$V$2:$V$265,A5))</f>
        <v>1118863784</v>
      </c>
      <c r="C5" s="182" t="str" cm="1">
        <f t="array" ref="C5">IF(A5="","",INDEX(البيانات!$U$2:$U$265,A5))</f>
        <v>عهود عيسى موسى خيري</v>
      </c>
      <c r="D5" s="182" cm="1">
        <f t="array" ref="D5">IF(A5="","",INDEX(البيانات!$T$2:$T$265,A5))</f>
        <v>0</v>
      </c>
      <c r="E5" s="182" t="str" cm="1">
        <f t="array" ref="E5">IF(A5="","",INDEX(البيانات!$F$2:$F$265,A5))</f>
        <v>القطاع الاوسط</v>
      </c>
      <c r="F5" s="182" t="str" cm="1">
        <f t="array" ref="F5">IF(A5="","",INDEX(البيانات!$Y$2:$Y$265,A5))</f>
        <v>0530672497</v>
      </c>
      <c r="G5" s="281"/>
      <c r="H5" s="281"/>
      <c r="I5" s="184" cm="1">
        <f t="array" ref="I5">IF(A5="","",INDEX(البيانات!$P$2:$P$265,A5))</f>
        <v>46091</v>
      </c>
      <c r="J5" s="283">
        <v>46099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تم الحظور</v>
      </c>
      <c r="M5" s="286"/>
      <c r="N5" s="288"/>
      <c r="O5" s="167"/>
    </row>
    <row r="6" spans="1:15">
      <c r="A6" s="112" cm="1">
        <f t="array" ref="A6">IFERROR(SMALL(IF(البيانات!$AS$2:$AS$265="مستشفى أبو عريش العام",البيانات!$AT$2:$AT$265),3),"")</f>
        <v>36</v>
      </c>
      <c r="B6" s="112" t="str" cm="1">
        <f t="array" ref="B6">IF(A6="","",INDEX(البيانات!$V$2:$V$265,A6))</f>
        <v>1099817965</v>
      </c>
      <c r="C6" s="112" t="str" cm="1">
        <f t="array" ref="C6">IF(A6="","",INDEX(البيانات!$U$2:$U$265,A6))</f>
        <v>نورا يحى شار بكري</v>
      </c>
      <c r="D6" s="112" cm="1">
        <f t="array" ref="D6">IF(A6="","",INDEX(البيانات!$T$2:$T$265,A6))</f>
        <v>0</v>
      </c>
      <c r="E6" s="112" t="str" cm="1">
        <f t="array" ref="E6">IF(A6="","",INDEX(البيانات!$F$2:$F$265,A6))</f>
        <v>القطاع الاوسط</v>
      </c>
      <c r="F6" s="112" t="str" cm="1">
        <f t="array" ref="F6">IF(A6="","",INDEX(البيانات!$Y$2:$Y$265,A6))</f>
        <v>0558074917</v>
      </c>
      <c r="G6" s="280"/>
      <c r="H6" s="280"/>
      <c r="I6" s="181" cm="1">
        <f t="array" ref="I6">IF(A6="","",INDEX(البيانات!$P$2:$P$265,A6))</f>
        <v>46091</v>
      </c>
      <c r="J6" s="282" t="str" cm="1">
        <f t="array" ref="J6">IF(A6="","",INDEX(البيانات!$AI$2:$AI$265,A6))</f>
        <v>15/3/2026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تم الحظور</v>
      </c>
      <c r="M6" s="286"/>
      <c r="N6" s="288"/>
      <c r="O6" s="167"/>
    </row>
    <row r="7" spans="1:15">
      <c r="A7" s="182" cm="1">
        <f t="array" ref="A7">IFERROR(SMALL(IF(البيانات!$AS$2:$AS$265="مستشفى أبو عريش العام",البيانات!$AT$2:$AT$265),4),"")</f>
        <v>37</v>
      </c>
      <c r="B7" s="182" t="str" cm="1">
        <f t="array" ref="B7">IF(A7="","",INDEX(البيانات!$V$2:$V$265,A7))</f>
        <v>1101718243</v>
      </c>
      <c r="C7" s="182" t="str" cm="1">
        <f t="array" ref="C7">IF(A7="","",INDEX(البيانات!$U$2:$U$265,A7))</f>
        <v>Hajar Mohammed Abdullah Rajhi</v>
      </c>
      <c r="D7" s="182" cm="1">
        <f t="array" ref="D7">IF(A7="","",INDEX(البيانات!$T$2:$T$265,A7))</f>
        <v>0</v>
      </c>
      <c r="E7" s="182" t="str" cm="1">
        <f t="array" ref="E7">IF(A7="","",INDEX(البيانات!$F$2:$F$265,A7))</f>
        <v>القطاع الجنوبي</v>
      </c>
      <c r="F7" s="182" t="str" cm="1">
        <f t="array" ref="F7">IF(A7="","",INDEX(البيانات!$Y$2:$Y$265,A7))</f>
        <v>0552912156</v>
      </c>
      <c r="G7" s="281"/>
      <c r="H7" s="281"/>
      <c r="I7" s="184" cm="1">
        <f t="array" ref="I7">IF(A7="","",INDEX(البيانات!$P$2:$P$265,A7))</f>
        <v>46091</v>
      </c>
      <c r="J7" s="283" t="str" cm="1">
        <f t="array" ref="J7">IF(A7="","",INDEX(البيانات!$AI$2:$AI$265,A7))</f>
        <v>15/3/2026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تم الحظور</v>
      </c>
      <c r="M7" s="286"/>
      <c r="N7" s="288"/>
      <c r="O7" s="167"/>
    </row>
    <row r="8" spans="1:15">
      <c r="A8" s="112" cm="1">
        <f t="array" ref="A8">IFERROR(SMALL(IF(البيانات!$AS$2:$AS$265="مستشفى أبو عريش العام",البيانات!$AT$2:$AT$265),5),"")</f>
        <v>49</v>
      </c>
      <c r="B8" s="112" t="str" cm="1">
        <f t="array" ref="B8">IF(A8="","",INDEX(البيانات!$V$2:$V$265,A8))</f>
        <v>1130954496</v>
      </c>
      <c r="C8" s="112" t="str" cm="1">
        <f t="array" ref="C8">IF(A8="","",INDEX(البيانات!$U$2:$U$265,A8))</f>
        <v>سبأ يحيى حسن مشيخي</v>
      </c>
      <c r="D8" s="112" cm="1">
        <f t="array" ref="D8">IF(A8="","",INDEX(البيانات!$T$2:$T$265,A8))</f>
        <v>0</v>
      </c>
      <c r="E8" s="112" t="str" cm="1">
        <f t="array" ref="E8">IF(A8="","",INDEX(البيانات!$F$2:$F$265,A8))</f>
        <v>القطاع الجنوبي</v>
      </c>
      <c r="F8" s="112" t="str" cm="1">
        <f t="array" ref="F8">IF(A8="","",INDEX(البيانات!$Y$2:$Y$265,A8))</f>
        <v>0508135883</v>
      </c>
      <c r="G8" s="280"/>
      <c r="H8" s="280"/>
      <c r="I8" s="181" cm="1">
        <f t="array" ref="I8">IF(A8="","",INDEX(البيانات!$P$2:$P$265,A8))</f>
        <v>46093</v>
      </c>
      <c r="J8" s="282" t="str" cm="1">
        <f t="array" ref="J8">IF(A8="","",INDEX(البيانات!$AI$2:$AI$265,A8))</f>
        <v>16/3/2026</v>
      </c>
      <c r="K8" s="109" t="str">
        <f>IF(OR(A8="",J8="",I8=""),"",IF(NETWORKDAYS.INTL(I8,J8,"0000011")-1&lt;=2,"✅ ملتزم","❌ غير ملتزم"))</f>
        <v>✅ ملتزم</v>
      </c>
      <c r="L8" s="284" t="str" cm="1">
        <f t="array" ref="L8">IF(A8="","",INDEX(البيانات!$AJ$2:$AJ$265,A8))</f>
        <v>تم الحظور</v>
      </c>
      <c r="M8" s="286"/>
      <c r="N8" s="288"/>
      <c r="O8" s="167"/>
    </row>
    <row r="9" spans="1:15">
      <c r="A9" s="182" cm="1">
        <f t="array" ref="A9">IFERROR(SMALL(IF(البيانات!$AS$2:$AS$265="مستشفى أبو عريش العام",البيانات!$AT$2:$AT$265),6),"")</f>
        <v>50</v>
      </c>
      <c r="B9" s="182" cm="1">
        <f t="array" ref="B9">IF(A9="","",INDEX(البيانات!$V$2:$V$265,A9))</f>
        <v>1065360172</v>
      </c>
      <c r="C9" s="182" t="str" cm="1">
        <f t="array" ref="C9">IF(A9="","",INDEX(البيانات!$U$2:$U$265,A9))</f>
        <v>ساره هادي حمزه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الاوسط</v>
      </c>
      <c r="F9" s="182" t="str" cm="1">
        <f t="array" ref="F9">IF(A9="","",INDEX(البيانات!$Y$2:$Y$265,A9))</f>
        <v>0546009465</v>
      </c>
      <c r="G9" s="281"/>
      <c r="H9" s="281"/>
      <c r="I9" s="184" cm="1">
        <f t="array" ref="I9">IF(A9="","",INDEX(البيانات!$P$2:$P$265,A9))</f>
        <v>46095</v>
      </c>
      <c r="J9" s="283" t="str" cm="1">
        <f t="array" ref="J9">IF(A9="","",INDEX(البيانات!$AI$2:$AI$265,A9))</f>
        <v>18/3/2026</v>
      </c>
      <c r="K9" s="183" t="str">
        <f>IF(OR(A9="",J9="",I9=""),"",IF(NETWORKDAYS.INTL(I9,J9,"0000011")-1&lt;=2,"✅ ملتزم","❌ غير ملتزم"))</f>
        <v>✅ ملتزم</v>
      </c>
      <c r="L9" s="285" t="str" cm="1">
        <f t="array" ref="L9">IF(A9="","",INDEX(البيانات!$AJ$2:$AJ$265,A9))</f>
        <v>لم تحظر</v>
      </c>
      <c r="M9" s="286"/>
      <c r="N9" s="288"/>
      <c r="O9" s="167"/>
    </row>
    <row r="10" spans="1:15">
      <c r="A10" s="112" cm="1">
        <f t="array" ref="A10">IFERROR(SMALL(IF(البيانات!$AS$2:$AS$265="مستشفى أبو عريش العام",البيانات!$AT$2:$AT$265),7),"")</f>
        <v>69</v>
      </c>
      <c r="B10" s="112" t="str" cm="1">
        <f t="array" ref="B10">IF(A10="","",INDEX(البيانات!$V$2:$V$265,A10))</f>
        <v>1018887826</v>
      </c>
      <c r="C10" s="112" t="str" cm="1">
        <f t="array" ref="C10">IF(A10="","",INDEX(البيانات!$U$2:$U$265,A10))</f>
        <v>اسماء محمد ابراهيم كريري</v>
      </c>
      <c r="D10" s="112" cm="1">
        <f t="array" ref="D10">IF(A10="","",INDEX(البيانات!$T$2:$T$265,A10))</f>
        <v>0</v>
      </c>
      <c r="E10" s="112" t="str" cm="1">
        <f t="array" ref="E10">IF(A10="","",INDEX(البيانات!$F$2:$F$265,A10))</f>
        <v>القطاع الجنوبي</v>
      </c>
      <c r="F10" s="112" t="str" cm="1">
        <f t="array" ref="F10">IF(A10="","",INDEX(البيانات!$Y$2:$Y$265,A10))</f>
        <v>0566957870</v>
      </c>
      <c r="G10" s="280"/>
      <c r="H10" s="280"/>
      <c r="I10" s="181" cm="1">
        <f t="array" ref="I10">IF(A10="","",INDEX(البيانات!$P$2:$P$265,A10))</f>
        <v>46105</v>
      </c>
      <c r="J10" s="282" t="str" cm="1">
        <f t="array" ref="J10">IF(A10="","",INDEX(البيانات!$AI$2:$AI$265,A10))</f>
        <v>26/3/2026</v>
      </c>
      <c r="K10" s="109" t="str">
        <f>IF(OR(A10="",J10="",I10=""),"",IF(NETWORKDAYS.INTL(I10,J10,"0000011")-1&lt;=2,"✅ ملتزم","❌ غير ملتزم"))</f>
        <v>✅ ملتزم</v>
      </c>
      <c r="L10" s="284" t="str" cm="1">
        <f t="array" ref="L10">IF(A10="","",INDEX(البيانات!$AJ$2:$AJ$265,A10))</f>
        <v>لم تحظر</v>
      </c>
      <c r="M10" s="286"/>
      <c r="N10" s="288"/>
      <c r="O10" s="167"/>
    </row>
    <row r="11" spans="1:15">
      <c r="A11" s="182" cm="1">
        <f t="array" ref="A11">IFERROR(SMALL(IF(البيانات!$AS$2:$AS$265="مستشفى أبو عريش العام",البيانات!$AT$2:$AT$265),8),"")</f>
        <v>75</v>
      </c>
      <c r="B11" s="182" cm="1">
        <f t="array" ref="B11">IF(A11="","",INDEX(البيانات!$V$2:$V$265,A11))</f>
        <v>9</v>
      </c>
      <c r="C11" s="182" t="str" cm="1">
        <f t="array" ref="C11">IF(A11="","",INDEX(البيانات!$U$2:$U$265,A11))</f>
        <v>NORAH HUSSAIN ALI SOMAILI</v>
      </c>
      <c r="D11" s="182" cm="1">
        <f t="array" ref="D11">IF(A11="","",INDEX(البيانات!$T$2:$T$265,A11))</f>
        <v>0</v>
      </c>
      <c r="E11" s="182" t="str" cm="1">
        <f t="array" ref="E11">IF(A11="","",INDEX(البيانات!$F$2:$F$265,A11))</f>
        <v>القطاع الجنوبي</v>
      </c>
      <c r="F11" s="182" t="str" cm="1">
        <f t="array" ref="F11">IF(A11="","",INDEX(البيانات!$Y$2:$Y$265,A11))</f>
        <v>+966536075876</v>
      </c>
      <c r="G11" s="281"/>
      <c r="H11" s="281"/>
      <c r="I11" s="184" cm="1">
        <f t="array" ref="I11">IF(A11="","",INDEX(البيانات!$P$2:$P$265,A11))</f>
        <v>46107</v>
      </c>
      <c r="J11" s="283" t="str" cm="1">
        <f t="array" ref="J11">IF(A11="","",INDEX(البيانات!$AI$2:$AI$265,A11))</f>
        <v>1/4/2026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تم الحضور</v>
      </c>
      <c r="M11" s="286"/>
      <c r="N11" s="288"/>
      <c r="O11" s="167"/>
    </row>
    <row r="12" spans="1:15">
      <c r="A12" s="112" cm="1">
        <f t="array" ref="A12">IFERROR(SMALL(IF(البيانات!$AS$2:$AS$265="مستشفى أبو عريش العام",البيانات!$AT$2:$AT$265),9),"")</f>
        <v>77</v>
      </c>
      <c r="B12" s="112" cm="1">
        <f t="array" ref="B12">IF(A12="","",INDEX(البيانات!$V$2:$V$265,A12))</f>
        <v>1086175096</v>
      </c>
      <c r="C12" s="112" t="str" cm="1">
        <f t="array" ref="C12">IF(A12="","",INDEX(البيانات!$U$2:$U$265,A12))</f>
        <v>عبير زكرى روثان</v>
      </c>
      <c r="D12" s="112" cm="1">
        <f t="array" ref="D12">IF(A12="","",INDEX(البيانات!$T$2:$T$265,A12))</f>
        <v>0</v>
      </c>
      <c r="E12" s="112" t="str" cm="1">
        <f t="array" ref="E12">IF(A12="","",INDEX(البيانات!$F$2:$F$265,A12))</f>
        <v>القطاع الاوسط</v>
      </c>
      <c r="F12" s="112" t="str" cm="1">
        <f t="array" ref="F12">IF(A12="","",INDEX(البيانات!$Y$2:$Y$265,A12))</f>
        <v>0553668254</v>
      </c>
      <c r="G12" s="280"/>
      <c r="H12" s="280"/>
      <c r="I12" s="181" cm="1">
        <f t="array" ref="I12">IF(A12="","",INDEX(البيانات!$P$2:$P$265,A12))</f>
        <v>46107</v>
      </c>
      <c r="J12" s="282" t="str" cm="1">
        <f t="array" ref="J12">IF(A12="","",INDEX(البيانات!$AI$2:$AI$265,A12))</f>
        <v>30/3/2026</v>
      </c>
      <c r="K12" s="109" t="str">
        <f>IF(OR(A12="",J12="",I12=""),"",IF(NETWORKDAYS.INTL(I12,J12,"0000011")-1&lt;=2,"✅ ملتزم","❌ غير ملتزم"))</f>
        <v>✅ ملتزم</v>
      </c>
      <c r="L12" s="284" t="str" cm="1">
        <f t="array" ref="L12">IF(A12="","",INDEX(البيانات!$AJ$2:$AJ$265,A12))</f>
        <v>لم تحظر</v>
      </c>
      <c r="M12" s="286"/>
      <c r="N12" s="288"/>
      <c r="O12" s="167"/>
    </row>
    <row r="13" spans="1:15">
      <c r="A13" s="182" cm="1">
        <f t="array" ref="A13">IFERROR(SMALL(IF(البيانات!$AS$2:$AS$265="مستشفى أبو عريش العام",البيانات!$AT$2:$AT$265),10),"")</f>
        <v>86</v>
      </c>
      <c r="B13" s="182" t="str" cm="1">
        <f t="array" ref="B13">IF(A13="","",INDEX(البيانات!$V$2:$V$265,A13))</f>
        <v>1067712511</v>
      </c>
      <c r="C13" s="182" t="str" cm="1">
        <f t="array" ref="C13">IF(A13="","",INDEX(البيانات!$U$2:$U$265,A13))</f>
        <v>فايزة محمد علي طاهري</v>
      </c>
      <c r="D13" s="182" cm="1">
        <f t="array" ref="D13">IF(A13="","",INDEX(البيانات!$T$2:$T$265,A13))</f>
        <v>0</v>
      </c>
      <c r="E13" s="182" t="str" cm="1">
        <f t="array" ref="E13">IF(A13="","",INDEX(البيانات!$F$2:$F$265,A13))</f>
        <v>القطاع الاوسط</v>
      </c>
      <c r="F13" s="182" t="str" cm="1">
        <f t="array" ref="F13">IF(A13="","",INDEX(البيانات!$Y$2:$Y$265,A13))</f>
        <v>0556121109</v>
      </c>
      <c r="G13" s="281"/>
      <c r="H13" s="281"/>
      <c r="I13" s="184" cm="1">
        <f t="array" ref="I13">IF(A13="","",INDEX(البيانات!$P$2:$P$265,A13))</f>
        <v>46110</v>
      </c>
      <c r="J13" s="283" t="str" cm="1">
        <f t="array" ref="J13">IF(A13="","",INDEX(البيانات!$AI$2:$AI$265,A13))</f>
        <v>30/3/2026</v>
      </c>
      <c r="K13" s="183" t="str">
        <f>IF(OR(A13="",J13="",I13=""),"",IF(NETWORKDAYS.INTL(I13,J13,"0000011")-1&lt;=2,"✅ ملتزم","❌ غير ملتزم"))</f>
        <v>✅ ملتزم</v>
      </c>
      <c r="L13" s="285" t="str" cm="1">
        <f t="array" ref="L13">IF(A13="","",INDEX(البيانات!$AJ$2:$AJ$265,A13))</f>
        <v>تم الحضور</v>
      </c>
      <c r="M13" s="286"/>
      <c r="N13" s="288"/>
      <c r="O13" s="167"/>
    </row>
    <row r="14" spans="1:15">
      <c r="A14" s="112" cm="1">
        <f t="array" ref="A14">IFERROR(SMALL(IF(البيانات!$AS$2:$AS$265="مستشفى أبو عريش العام",البيانات!$AT$2:$AT$265),11),"")</f>
        <v>92</v>
      </c>
      <c r="B14" s="112" t="str" cm="1">
        <f t="array" ref="B14">IF(A14="","",INDEX(البيانات!$V$2:$V$265,A14))</f>
        <v>1038178974</v>
      </c>
      <c r="C14" s="112" t="str" cm="1">
        <f t="array" ref="C14">IF(A14="","",INDEX(البيانات!$U$2:$U$265,A14))</f>
        <v>هدي احمد يحي سالم</v>
      </c>
      <c r="D14" s="112" cm="1">
        <f t="array" ref="D14">IF(A14="","",INDEX(البيانات!$T$2:$T$265,A14))</f>
        <v>0</v>
      </c>
      <c r="E14" s="112" t="str" cm="1">
        <f t="array" ref="E14">IF(A14="","",INDEX(البيانات!$F$2:$F$265,A14))</f>
        <v>القطاع الاوسط</v>
      </c>
      <c r="F14" s="112" cm="1">
        <f t="array" ref="F14">IF(A14="","",INDEX(البيانات!$Y$2:$Y$265,A14))</f>
        <v>556401454</v>
      </c>
      <c r="G14" s="280"/>
      <c r="H14" s="280"/>
      <c r="I14" s="181" cm="1">
        <f t="array" ref="I14">IF(A14="","",INDEX(البيانات!$P$2:$P$265,A14))</f>
        <v>46111</v>
      </c>
      <c r="J14" s="282" t="str" cm="1">
        <f t="array" ref="J14">IF(A14="","",INDEX(البيانات!$AI$2:$AI$265,A14))</f>
        <v>9/3/2026</v>
      </c>
      <c r="K14" s="109" t="str">
        <f>IF(OR(A14="",J14="",I14=""),"",IF(NETWORKDAYS.INTL(I14,J14,"0000011")-1&lt;=2,"✅ ملتزم","❌ غير ملتزم"))</f>
        <v>✅ ملتزم</v>
      </c>
      <c r="L14" s="284" t="str" cm="1">
        <f t="array" ref="L14">IF(A14="","",INDEX(البيانات!$AJ$2:$AJ$265,A14))</f>
        <v>تم الحضور</v>
      </c>
      <c r="M14" s="286"/>
      <c r="N14" s="288"/>
      <c r="O14" s="167"/>
    </row>
    <row r="15" spans="1:15">
      <c r="A15" s="182" cm="1">
        <f t="array" ref="A15">IFERROR(SMALL(IF(البيانات!$AS$2:$AS$265="مستشفى أبو عريش العام",البيانات!$AT$2:$AT$265),13),"")</f>
        <v>97</v>
      </c>
      <c r="B15" s="182" t="str" cm="1">
        <f t="array" ref="B15">IF(A15="","",INDEX(البيانات!$V$2:$V$265,A15))</f>
        <v>1057242123</v>
      </c>
      <c r="C15" s="182" t="str" cm="1">
        <f t="array" ref="C15">IF(A15="","",INDEX(البيانات!$U$2:$U$265,A15))</f>
        <v>SAMIRAH MOHAMMED ALI JATHMI</v>
      </c>
      <c r="D15" s="182" cm="1">
        <f t="array" ref="D15">IF(A15="","",INDEX(البيانات!$T$2:$T$265,A15))</f>
        <v>0</v>
      </c>
      <c r="E15" s="182" t="str" cm="1">
        <f t="array" ref="E15">IF(A15="","",INDEX(البيانات!$F$2:$F$265,A15))</f>
        <v>القطاع الاوسط</v>
      </c>
      <c r="F15" s="182" t="str" cm="1">
        <f t="array" ref="F15">IF(A15="","",INDEX(البيانات!$Y$2:$Y$265,A15))</f>
        <v>0557466539</v>
      </c>
      <c r="G15" s="281"/>
      <c r="H15" s="281"/>
      <c r="I15" s="184" cm="1">
        <f t="array" ref="I15">IF(A15="","",INDEX(البيانات!$P$2:$P$265,A15))</f>
        <v>46111</v>
      </c>
      <c r="J15" s="283" t="str" cm="1">
        <f t="array" ref="J15">IF(A15="","",INDEX(البيانات!$AI$2:$AI$265,A15))</f>
        <v>1/4/2026</v>
      </c>
      <c r="K15" s="183" t="str">
        <f>IF(OR(A15="",J15="",I15=""),"",IF(NETWORKDAYS.INTL(I15,J15,"0000011")-1&lt;=2,"✅ ملتزم","❌ غير ملتزم"))</f>
        <v>✅ ملتزم</v>
      </c>
      <c r="L15" s="285" t="str" cm="1">
        <f t="array" ref="L15">IF(A15="","",INDEX(البيانات!$AJ$2:$AJ$265,A15))</f>
        <v>تم الحضور</v>
      </c>
      <c r="M15" s="286"/>
      <c r="N15" s="288"/>
      <c r="O15" s="167"/>
    </row>
    <row r="16" spans="1:15">
      <c r="A16" s="112" cm="1">
        <f t="array" ref="A16">IFERROR(SMALL(IF(البيانات!$AS$2:$AS$265="مستشفى أبو عريش العام",البيانات!$AT$2:$AT$265),14),"")</f>
        <v>106</v>
      </c>
      <c r="B16" s="112" t="str" cm="1">
        <f t="array" ref="B16">IF(A16="","",INDEX(البيانات!$V$2:$V$265,A16))</f>
        <v>1079626162</v>
      </c>
      <c r="C16" s="112" t="str" cm="1">
        <f t="array" ref="C16">IF(A16="","",INDEX(البيانات!$U$2:$U$265,A16))</f>
        <v>فايزة يحى جابر المالكى</v>
      </c>
      <c r="D16" s="112" cm="1">
        <f t="array" ref="D16">IF(A16="","",INDEX(البيانات!$T$2:$T$265,A16))</f>
        <v>33</v>
      </c>
      <c r="E16" s="112" t="str" cm="1">
        <f t="array" ref="E16">IF(A16="","",INDEX(البيانات!$F$2:$F$265,A16))</f>
        <v>القطاع الأوسط Middle Sector</v>
      </c>
      <c r="F16" s="112" t="str" cm="1">
        <f t="array" ref="F16">IF(A16="","",INDEX(البيانات!$Y$2:$Y$265,A16))</f>
        <v>0500642013</v>
      </c>
      <c r="G16" s="280"/>
      <c r="H16" s="280"/>
      <c r="I16" s="181" cm="1">
        <f t="array" ref="I16">IF(A16="","",INDEX(البيانات!$P$2:$P$265,A16))</f>
        <v>46113</v>
      </c>
      <c r="J16" s="282" cm="1">
        <f t="array" ref="J16">IF(A16="","",INDEX(البيانات!$AI$2:$AI$265,A16))</f>
        <v>46117</v>
      </c>
      <c r="K16" s="109" t="str">
        <f>IF(OR(A16="",J16="",I16=""),"",IF(NETWORKDAYS.INTL(I16,J16,"0000011")-1&lt;=2,"✅ ملتزم","❌ غير ملتزم"))</f>
        <v>✅ ملتزم</v>
      </c>
      <c r="L16" s="284" cm="1">
        <f t="array" ref="L16">IF(A16="","",INDEX(البيانات!$AJ$2:$AJ$265,A16))</f>
        <v>0</v>
      </c>
      <c r="M16" s="286"/>
      <c r="N16" s="288"/>
      <c r="O16" s="167"/>
    </row>
    <row r="17" spans="1:15">
      <c r="A17" s="182" cm="1">
        <f t="array" ref="A17">IFERROR(SMALL(IF(البيانات!$AS$2:$AS$265="مستشفى أبو عريش العام",البيانات!$AT$2:$AT$265),15),"")</f>
        <v>111</v>
      </c>
      <c r="B17" s="182" t="str" cm="1">
        <f t="array" ref="B17">IF(A17="","",INDEX(البيانات!$V$2:$V$265,A17))</f>
        <v>1076123767</v>
      </c>
      <c r="C17" s="182" t="str" cm="1">
        <f t="array" ref="C17">IF(A17="","",INDEX(البيانات!$U$2:$U$265,A17))</f>
        <v>LAILA ALI HUSSAIN KADI</v>
      </c>
      <c r="D17" s="182" cm="1">
        <f t="array" ref="D17">IF(A17="","",INDEX(البيانات!$T$2:$T$265,A17))</f>
        <v>40</v>
      </c>
      <c r="E17" s="182" t="str" cm="1">
        <f t="array" ref="E17">IF(A17="","",INDEX(البيانات!$F$2:$F$265,A17))</f>
        <v>القطاع الغربي Western Sector</v>
      </c>
      <c r="F17" s="182" cm="1">
        <f t="array" ref="F17">IF(A17="","",INDEX(البيانات!$Y$2:$Y$265,A17))</f>
        <v>535319753</v>
      </c>
      <c r="G17" s="281"/>
      <c r="H17" s="281"/>
      <c r="I17" s="184" cm="1">
        <f t="array" ref="I17">IF(A17="","",INDEX(البيانات!$P$2:$P$265,A17))</f>
        <v>46114</v>
      </c>
      <c r="J17" s="283"/>
      <c r="K17" s="183" t="str">
        <f>IF(OR(A17="",J17="",I17=""),"",IF(NETWORKDAYS.INTL(I17,J17,"0000011")-1&lt;=2,"✅ ملتزم","❌ غير ملتزم"))</f>
        <v/>
      </c>
      <c r="L17" s="285" t="str" cm="1">
        <f t="array" ref="L17">IF(A17="","",INDEX(البيانات!$AJ$2:$AJ$265,A17))</f>
        <v>تراجع بمستشفى اخر</v>
      </c>
      <c r="M17" s="286"/>
      <c r="N17" s="288"/>
      <c r="O17" s="167"/>
    </row>
    <row r="18" spans="1:15">
      <c r="A18" s="112" cm="1">
        <f t="array" ref="A18">IFERROR(SMALL(IF(البيانات!$AS$2:$AS$265="مستشفى أبو عريش العام",البيانات!$AT$2:$AT$265),16),"")</f>
        <v>128</v>
      </c>
      <c r="B18" s="112" cm="1">
        <f t="array" ref="B18">IF(A18="","",INDEX(البيانات!$V$2:$V$265,A18))</f>
        <v>1133657294</v>
      </c>
      <c r="C18" s="112" t="str" cm="1">
        <f t="array" ref="C18">IF(A18="","",INDEX(البيانات!$U$2:$U$265,A18))</f>
        <v>سهام علي علي عتين</v>
      </c>
      <c r="D18" s="112" cm="1">
        <f t="array" ref="D18">IF(A18="","",INDEX(البيانات!$T$2:$T$265,A18))</f>
        <v>27</v>
      </c>
      <c r="E18" s="112" t="str" cm="1">
        <f t="array" ref="E18">IF(A18="","",INDEX(البيانات!$F$2:$F$265,A18))</f>
        <v>القطاع الجنوبي Southern Sector</v>
      </c>
      <c r="F18" s="112" cm="1">
        <f t="array" ref="F18">IF(A18="","",INDEX(البيانات!$Y$2:$Y$265,A18))</f>
        <v>537884423</v>
      </c>
      <c r="G18" s="280"/>
      <c r="H18" s="280"/>
      <c r="I18" s="181" cm="1">
        <f t="array" ref="I18">IF(A18="","",INDEX(البيانات!$P$2:$P$265,A18))</f>
        <v>46118</v>
      </c>
      <c r="J18" s="282" cm="1">
        <f t="array" ref="J18">IF(A18="","",INDEX(البيانات!$AI$2:$AI$265,A18))</f>
        <v>46120</v>
      </c>
      <c r="K18" s="109" t="str">
        <f>IF(OR(A18="",J18="",I18=""),"",IF(NETWORKDAYS.INTL(I18,J18,"0000011")-1&lt;=2,"✅ ملتزم","❌ غير ملتزم"))</f>
        <v>✅ ملتزم</v>
      </c>
      <c r="L18" s="284" t="str" cm="1">
        <f t="array" ref="L18">IF(A18="","",INDEX(البيانات!$AJ$2:$AJ$265,A18))</f>
        <v>حضرت</v>
      </c>
      <c r="M18" s="286"/>
      <c r="N18" s="288"/>
      <c r="O18" s="167"/>
    </row>
    <row r="19" spans="1:15">
      <c r="A19" s="182" cm="1">
        <f t="array" ref="A19">IFERROR(SMALL(IF(البيانات!$AS$2:$AS$265="مستشفى أبو عريش العام",البيانات!$AT$2:$AT$265),17),"")</f>
        <v>133</v>
      </c>
      <c r="B19" s="182" t="str" cm="1">
        <f t="array" ref="B19">IF(A19="","",INDEX(البيانات!$V$2:$V$265,A19))</f>
        <v>1065088799</v>
      </c>
      <c r="C19" s="182" t="str" cm="1">
        <f t="array" ref="C19">IF(A19="","",INDEX(البيانات!$U$2:$U$265,A19))</f>
        <v>سهام احمد حسن مسملي</v>
      </c>
      <c r="D19" s="182" cm="1">
        <f t="array" ref="D19">IF(A19="","",INDEX(البيانات!$T$2:$T$265,A19))</f>
        <v>42</v>
      </c>
      <c r="E19" s="182" t="str" cm="1">
        <f t="array" ref="E19">IF(A19="","",INDEX(البيانات!$F$2:$F$265,A19))</f>
        <v>القطاع المركزي Central Sector</v>
      </c>
      <c r="F19" s="182" t="str" cm="1">
        <f t="array" ref="F19">IF(A19="","",INDEX(البيانات!$Y$2:$Y$265,A19))</f>
        <v>0506977477</v>
      </c>
      <c r="G19" s="281"/>
      <c r="H19" s="281"/>
      <c r="I19" s="184" cm="1">
        <f t="array" ref="I19">IF(A19="","",INDEX(البيانات!$P$2:$P$265,A19))</f>
        <v>46119</v>
      </c>
      <c r="J19" s="283" cm="1">
        <f t="array" ref="J19">IF(A19="","",INDEX(البيانات!$AI$2:$AI$265,A19))</f>
        <v>46121</v>
      </c>
      <c r="K19" s="183" t="str">
        <f>IF(OR(A19="",J19="",I19=""),"",IF(NETWORKDAYS.INTL(I19,J19,"0000011")-1&lt;=2,"✅ ملتزم","❌ غير ملتزم"))</f>
        <v>✅ ملتزم</v>
      </c>
      <c r="L19" s="285" t="str" cm="1">
        <f t="array" ref="L19">IF(A19="","",INDEX(البيانات!$AJ$2:$AJ$265,A19))</f>
        <v>حضرت</v>
      </c>
      <c r="M19" s="286"/>
      <c r="N19" s="288"/>
      <c r="O19" s="167"/>
    </row>
    <row r="20" spans="1:15">
      <c r="A20" s="112" cm="1">
        <f t="array" ref="A20">IFERROR(SMALL(IF(البيانات!$AS$2:$AS$265="مستشفى أبو عريش العام",البيانات!$AT$2:$AT$265),18),"")</f>
        <v>137</v>
      </c>
      <c r="B20" s="112" t="str" cm="1">
        <f t="array" ref="B20">IF(A20="","",INDEX(البيانات!$V$2:$V$265,A20))</f>
        <v>1103541114</v>
      </c>
      <c r="C20" s="112" t="str" cm="1">
        <f t="array" ref="C20">IF(A20="","",INDEX(البيانات!$U$2:$U$265,A20))</f>
        <v>RADHYAH YAHYA MOHAMMED ALMALKI</v>
      </c>
      <c r="D20" s="112" cm="1">
        <f t="array" ref="D20">IF(A20="","",INDEX(البيانات!$T$2:$T$265,A20))</f>
        <v>27</v>
      </c>
      <c r="E20" s="112" t="str" cm="1">
        <f t="array" ref="E20">IF(A20="","",INDEX(البيانات!$F$2:$F$265,A20))</f>
        <v>القطاع المركزي Central Sector</v>
      </c>
      <c r="F20" s="112" t="str" cm="1">
        <f t="array" ref="F20">IF(A20="","",INDEX(البيانات!$Y$2:$Y$265,A20))</f>
        <v>0557889125</v>
      </c>
      <c r="G20" s="280"/>
      <c r="H20" s="280"/>
      <c r="I20" s="181" cm="1">
        <f t="array" ref="I20">IF(A20="","",INDEX(البيانات!$P$2:$P$265,A20))</f>
        <v>46120</v>
      </c>
      <c r="J20" s="282" cm="1">
        <f t="array" ref="J20">IF(A20="","",INDEX(البيانات!$AI$2:$AI$265,A20))</f>
        <v>46121</v>
      </c>
      <c r="K20" s="109" t="str">
        <f>IF(OR(A20="",J20="",I20=""),"",IF(NETWORKDAYS.INTL(I20,J20,"0000011")-1&lt;=2,"✅ ملتزم","❌ غير ملتزم"))</f>
        <v>✅ ملتزم</v>
      </c>
      <c r="L20" s="284" t="str" cm="1">
        <f t="array" ref="L20">IF(A20="","",INDEX(البيانات!$AJ$2:$AJ$265,A20))</f>
        <v>حضرت</v>
      </c>
      <c r="M20" s="286"/>
      <c r="N20" s="288"/>
      <c r="O20" s="167"/>
    </row>
    <row r="21" spans="1:15">
      <c r="A21" s="182" cm="1">
        <f t="array" ref="A21">IFERROR(SMALL(IF(البيانات!$AS$2:$AS$265="مستشفى أبو عريش العام",البيانات!$AT$2:$AT$265),19),"")</f>
        <v>140</v>
      </c>
      <c r="B21" s="182" t="str" cm="1">
        <f t="array" ref="B21">IF(A21="","",INDEX(البيانات!$V$2:$V$265,A21))</f>
        <v>1104792658</v>
      </c>
      <c r="C21" s="182" t="str" cm="1">
        <f t="array" ref="C21">IF(A21="","",INDEX(البيانات!$U$2:$U$265,A21))</f>
        <v>Norah Mana Yahya</v>
      </c>
      <c r="D21" s="182" cm="1">
        <f t="array" ref="D21">IF(A21="","",INDEX(البيانات!$T$2:$T$265,A21))</f>
        <v>27</v>
      </c>
      <c r="E21" s="182" t="str" cm="1">
        <f t="array" ref="E21">IF(A21="","",INDEX(البيانات!$F$2:$F$265,A21))</f>
        <v>قطاع بني مالك Bani Malik Sector</v>
      </c>
      <c r="F21" s="182" t="str" cm="1">
        <f t="array" ref="F21">IF(A21="","",INDEX(البيانات!$Y$2:$Y$265,A21))</f>
        <v>0582481077</v>
      </c>
      <c r="G21" s="281"/>
      <c r="H21" s="281"/>
      <c r="I21" s="184" cm="1">
        <f t="array" ref="I21">IF(A21="","",INDEX(البيانات!$P$2:$P$265,A21))</f>
        <v>46120</v>
      </c>
      <c r="J21" s="283" cm="1">
        <f t="array" ref="J21">IF(A21="","",INDEX(البيانات!$AI$2:$AI$265,A21))</f>
        <v>46121</v>
      </c>
      <c r="K21" s="183" t="str">
        <f>IF(OR(A21="",J21="",I21=""),"",IF(NETWORKDAYS.INTL(I21,J21,"0000011")-1&lt;=2,"✅ ملتزم","❌ غير ملتزم"))</f>
        <v>✅ ملتزم</v>
      </c>
      <c r="L21" s="285" t="str" cm="1">
        <f t="array" ref="L21">IF(A21="","",INDEX(البيانات!$AJ$2:$AJ$265,A21))</f>
        <v>تراجع بمستشفى اخر</v>
      </c>
      <c r="M21" s="286"/>
      <c r="N21" s="288"/>
      <c r="O21" s="167"/>
    </row>
    <row r="22" spans="1:15">
      <c r="A22" s="112" cm="1">
        <f t="array" ref="A22">IFERROR(SMALL(IF(البيانات!$AS$2:$AS$265="مستشفى أبو عريش العام",البيانات!$AT$2:$AT$265),20),"")</f>
        <v>143</v>
      </c>
      <c r="B22" s="112" t="str" cm="1">
        <f t="array" ref="B22">IF(A22="","",INDEX(البيانات!$V$2:$V$265,A22))</f>
        <v>1080390451</v>
      </c>
      <c r="C22" s="112" t="str" cm="1">
        <f t="array" ref="C22">IF(A22="","",INDEX(البيانات!$U$2:$U$265,A22))</f>
        <v>كاذيه سلمان سالم حريصى</v>
      </c>
      <c r="D22" s="112" t="str" cm="1">
        <f t="array" ref="D22">IF(A22="","",INDEX(البيانات!$T$2:$T$265,A22))</f>
        <v>33</v>
      </c>
      <c r="E22" s="112" t="str" cm="1">
        <f t="array" ref="E22">IF(A22="","",INDEX(البيانات!$F$2:$F$265,A22))</f>
        <v>bany malik sectorقطاع بني مالك</v>
      </c>
      <c r="F22" s="112" t="str" cm="1">
        <f t="array" ref="F22">IF(A22="","",INDEX(البيانات!$Y$2:$Y$265,A22))</f>
        <v>0558589456</v>
      </c>
      <c r="G22" s="280"/>
      <c r="H22" s="280"/>
      <c r="I22" s="181" cm="1">
        <f t="array" ref="I22">IF(A22="","",INDEX(البيانات!$P$2:$P$265,A22))</f>
        <v>46121</v>
      </c>
      <c r="J22" s="282" cm="1">
        <f t="array" ref="J22">IF(A22="","",INDEX(البيانات!$AI$2:$AI$265,A22))</f>
        <v>46132</v>
      </c>
      <c r="K22" s="109" t="str">
        <f>IF(OR(A22="",J22="",I22=""),"",IF(NETWORKDAYS.INTL(I22,J22,"0000011")-1&lt;=2,"✅ ملتزم","❌ غير ملتزم"))</f>
        <v>❌ غير ملتزم</v>
      </c>
      <c r="L22" s="284" t="str" cm="1">
        <f t="array" ref="L22">IF(A22="","",INDEX(البيانات!$AJ$2:$AJ$265,A22))</f>
        <v>حضرت</v>
      </c>
      <c r="M22" s="286"/>
      <c r="N22" s="288"/>
      <c r="O22" s="167"/>
    </row>
    <row r="23" spans="1:15">
      <c r="A23" s="182" cm="1">
        <f t="array" ref="A23">IFERROR(SMALL(IF(البيانات!$AS$2:$AS$265="مستشفى أبو عريش العام",البيانات!$AT$2:$AT$265),21),"")</f>
        <v>158</v>
      </c>
      <c r="B23" s="182" t="str" cm="1">
        <f t="array" ref="B23">IF(A23="","",INDEX(البيانات!$V$2:$V$265,A23))</f>
        <v>2491982274</v>
      </c>
      <c r="C23" s="182" t="str" cm="1">
        <f t="array" ref="C23">IF(A23="","",INDEX(البيانات!$U$2:$U$265,A23))</f>
        <v>عايشه احمد ابراهيم الحسني</v>
      </c>
      <c r="D23" s="182" t="str" cm="1">
        <f t="array" ref="D23">IF(A23="","",INDEX(البيانات!$T$2:$T$265,A23))</f>
        <v>28</v>
      </c>
      <c r="E23" s="182" t="str" cm="1">
        <f t="array" ref="E23">IF(A23="","",INDEX(البيانات!$F$2:$F$265,A23))</f>
        <v>Southern Sector القطاع الجنوبي</v>
      </c>
      <c r="F23" s="182" t="str" cm="1">
        <f t="array" ref="F23">IF(A23="","",INDEX(البيانات!$Y$2:$Y$265,A23))</f>
        <v>0509209833</v>
      </c>
      <c r="G23" s="281"/>
      <c r="H23" s="281"/>
      <c r="I23" s="184" cm="1">
        <f t="array" ref="I23">IF(A23="","",INDEX(البيانات!$P$2:$P$265,A23))</f>
        <v>46126</v>
      </c>
      <c r="J23" s="283" cm="1">
        <f t="array" ref="J23">IF(A23="","",INDEX(البيانات!$AI$2:$AI$265,A23))</f>
        <v>46133</v>
      </c>
      <c r="K23" s="183" t="str">
        <f>IF(OR(A23="",J23="",I23=""),"",IF(NETWORKDAYS.INTL(I23,J23,"0000011")-1&lt;=2,"✅ ملتزم","❌ غير ملتزم"))</f>
        <v>❌ غير ملتزم</v>
      </c>
      <c r="L23" s="285" t="str" cm="1">
        <f t="array" ref="L23">IF(A23="","",INDEX(البيانات!$AJ$2:$AJ$265,A23))</f>
        <v>حضرت</v>
      </c>
      <c r="M23" s="286"/>
      <c r="N23" s="288"/>
      <c r="O23" s="167"/>
    </row>
    <row r="24" spans="1:15">
      <c r="A24" s="112" cm="1">
        <f t="array" ref="A24">IFERROR(SMALL(IF(البيانات!$AS$2:$AS$265="مستشفى أبو عريش العام",البيانات!$AT$2:$AT$265),22),"")</f>
        <v>204</v>
      </c>
      <c r="B24" s="112" t="str" cm="1">
        <f t="array" ref="B24">IF(A24="","",INDEX(البيانات!$V$2:$V$265,A24))</f>
        <v>1098883562</v>
      </c>
      <c r="C24" s="112" t="str" cm="1">
        <f t="array" ref="C24">IF(A24="","",INDEX(البيانات!$U$2:$U$265,A24))</f>
        <v>ندى عبدالله ناصر يحي</v>
      </c>
      <c r="D24" s="112" cm="1">
        <f t="array" ref="D24">IF(A24="","",INDEX(البيانات!$T$2:$T$265,A24))</f>
        <v>39</v>
      </c>
      <c r="E24" s="112" t="str" cm="1">
        <f t="array" ref="E24">IF(A24="","",INDEX(البيانات!$F$2:$F$265,A24))</f>
        <v xml:space="preserve"> Middle sectorالقطاع الاوسط </v>
      </c>
      <c r="F24" s="112" t="str" cm="1">
        <f t="array" ref="F24">IF(A24="","",INDEX(البيانات!$Y$2:$Y$265,A24))</f>
        <v>0503663772</v>
      </c>
      <c r="G24" s="280"/>
      <c r="H24" s="280"/>
      <c r="I24" s="181" cm="1">
        <f t="array" ref="I24">IF(A24="","",INDEX(البيانات!$P$2:$P$265,A24))</f>
        <v>46135</v>
      </c>
      <c r="J24" s="282" cm="1">
        <f t="array" ref="J24">IF(A24="","",INDEX(البيانات!$AI$2:$AI$265,A24))</f>
        <v>46138</v>
      </c>
      <c r="K24" s="109" t="str">
        <f>IF(OR(A24="",J24="",I24=""),"",IF(NETWORKDAYS.INTL(I24,J24,"0000011")-1&lt;=2,"✅ ملتزم","❌ غير ملتزم"))</f>
        <v>✅ ملتزم</v>
      </c>
      <c r="L24" s="284" t="str" cm="1">
        <f t="array" ref="L24">IF(A24="","",INDEX(البيانات!$AJ$2:$AJ$265,A24))</f>
        <v>حضرت</v>
      </c>
      <c r="M24" s="286"/>
      <c r="N24" s="288"/>
      <c r="O24" s="167"/>
    </row>
    <row r="25" spans="1:15">
      <c r="A25" s="182" cm="1">
        <f t="array" ref="A25">IFERROR(SMALL(IF(البيانات!$AS$2:$AS$265="مستشفى أبو عريش العام",البيانات!$AT$2:$AT$265),23),"")</f>
        <v>206</v>
      </c>
      <c r="B25" s="182" t="str" cm="1">
        <f t="array" ref="B25">IF(A25="","",INDEX(البيانات!$V$2:$V$265,A25))</f>
        <v>1019938834</v>
      </c>
      <c r="C25" s="182" t="str" cm="1">
        <f t="array" ref="C25">IF(A25="","",INDEX(البيانات!$U$2:$U$265,A25))</f>
        <v xml:space="preserve">امل محسن العماري </v>
      </c>
      <c r="D25" s="182" cm="1">
        <f t="array" ref="D25">IF(A25="","",INDEX(البيانات!$T$2:$T$265,A25))</f>
        <v>41</v>
      </c>
      <c r="E25" s="182" t="str" cm="1">
        <f t="array" ref="E25">IF(A25="","",INDEX(البيانات!$F$2:$F$265,A25))</f>
        <v xml:space="preserve"> Middle sectorالقطاع الاوسط </v>
      </c>
      <c r="F25" s="182" t="str" cm="1">
        <f t="array" ref="F25">IF(A25="","",INDEX(البيانات!$Y$2:$Y$265,A25))</f>
        <v>0535446277</v>
      </c>
      <c r="G25" s="281"/>
      <c r="H25" s="281"/>
      <c r="I25" s="184" cm="1">
        <f t="array" ref="I25">IF(A25="","",INDEX(البيانات!$P$2:$P$265,A25))</f>
        <v>46135</v>
      </c>
      <c r="J25" s="283" cm="1">
        <f t="array" ref="J25">IF(A25="","",INDEX(البيانات!$AI$2:$AI$265,A25))</f>
        <v>46140</v>
      </c>
      <c r="K25" s="183" t="str">
        <f>IF(OR(A25="",J25="",I25=""),"",IF(NETWORKDAYS.INTL(I25,J25,"0000011")-1&lt;=2,"✅ ملتزم","❌ غير ملتزم"))</f>
        <v>❌ غير ملتزم</v>
      </c>
      <c r="L25" s="285" t="str" cm="1">
        <f t="array" ref="L25">IF(A25="","",INDEX(البيانات!$AJ$2:$AJ$265,A25))</f>
        <v>حضرت</v>
      </c>
      <c r="M25" s="286"/>
      <c r="N25" s="288"/>
      <c r="O25" s="167"/>
    </row>
    <row r="26" spans="1:15">
      <c r="A26" s="112" cm="1">
        <f t="array" ref="A26">IFERROR(SMALL(IF(البيانات!$AS$2:$AS$265="مستشفى أبو عريش العام",البيانات!$AT$2:$AT$265),24),"")</f>
        <v>217</v>
      </c>
      <c r="B26" s="112" t="str" cm="1">
        <f t="array" ref="B26">IF(A26="","",INDEX(البيانات!$V$2:$V$265,A26))</f>
        <v>1048063380</v>
      </c>
      <c r="C26" s="112" t="str" cm="1">
        <f t="array" ref="C26">IF(A26="","",INDEX(البيانات!$U$2:$U$265,A26))</f>
        <v>MATRAH MOHAMMED ALI MASHYAKHI</v>
      </c>
      <c r="D26" s="112" cm="1">
        <f t="array" ref="D26">IF(A26="","",INDEX(البيانات!$T$2:$T$265,A26))</f>
        <v>39</v>
      </c>
      <c r="E26" s="112" t="str" cm="1">
        <f t="array" ref="E26">IF(A26="","",INDEX(البيانات!$F$2:$F$265,A26))</f>
        <v xml:space="preserve"> Middle sectorالقطاع الاوسط </v>
      </c>
      <c r="F26" s="112" t="str" cm="1">
        <f t="array" ref="F26">IF(A26="","",INDEX(البيانات!$Y$2:$Y$265,A26))</f>
        <v>0550229025</v>
      </c>
      <c r="G26" s="280"/>
      <c r="H26" s="280"/>
      <c r="I26" s="181" cm="1">
        <f t="array" ref="I26">IF(A26="","",INDEX(البيانات!$P$2:$P$265,A26))</f>
        <v>46140</v>
      </c>
      <c r="J26" s="282" cm="1">
        <f t="array" ref="J26">IF(A26="","",INDEX(البيانات!$AI$2:$AI$265,A26))</f>
        <v>46142</v>
      </c>
      <c r="K26" s="109" t="str">
        <f>IF(OR(A26="",J26="",I26=""),"",IF(NETWORKDAYS.INTL(I26,J26,"0000011")-1&lt;=2,"✅ ملتزم","❌ غير ملتزم"))</f>
        <v>✅ ملتزم</v>
      </c>
      <c r="L26" s="284" t="str" cm="1">
        <f t="array" ref="L26">IF(A26="","",INDEX(البيانات!$AJ$2:$AJ$265,A26))</f>
        <v xml:space="preserve">لم تحضر </v>
      </c>
      <c r="M26" s="286"/>
      <c r="N26" s="288"/>
      <c r="O26" s="167"/>
    </row>
    <row r="27" spans="1:15">
      <c r="A27" s="182" cm="1">
        <f t="array" ref="A27">IFERROR(SMALL(IF(البيانات!$AS$2:$AS$265="مستشفى أبو عريش العام",البيانات!$AT$2:$AT$265),25),"")</f>
        <v>219</v>
      </c>
      <c r="B27" s="182" t="str" cm="1">
        <f t="array" ref="B27">IF(A27="","",INDEX(البيانات!$V$2:$V$265,A27))</f>
        <v>1070041080</v>
      </c>
      <c r="C27" s="182" t="str" cm="1">
        <f t="array" ref="C27">IF(A27="","",INDEX(البيانات!$U$2:$U$265,A27))</f>
        <v>FAWZIAH HADI AMRI</v>
      </c>
      <c r="D27" s="182" cm="1">
        <f t="array" ref="D27">IF(A27="","",INDEX(البيانات!$T$2:$T$265,A27))</f>
        <v>41</v>
      </c>
      <c r="E27" s="182" t="str" cm="1">
        <f t="array" ref="E27">IF(A27="","",INDEX(البيانات!$F$2:$F$265,A27))</f>
        <v xml:space="preserve"> Middle sectorالقطاع الاوسط </v>
      </c>
      <c r="F27" s="182" t="str" cm="1">
        <f t="array" ref="F27">IF(A27="","",INDEX(البيانات!$Y$2:$Y$265,A27))</f>
        <v>0550258295</v>
      </c>
      <c r="G27" s="281"/>
      <c r="H27" s="281"/>
      <c r="I27" s="184" cm="1">
        <f t="array" ref="I27">IF(A27="","",INDEX(البيانات!$P$2:$P$265,A27))</f>
        <v>46140</v>
      </c>
      <c r="J27" s="283" cm="1">
        <f t="array" ref="J27">IF(A27="","",INDEX(البيانات!$AI$2:$AI$265,A27))</f>
        <v>46142</v>
      </c>
      <c r="K27" s="183" t="str">
        <f>IF(OR(A27="",J27="",I27=""),"",IF(NETWORKDAYS.INTL(I27,J27,"0000011")-1&lt;=2,"✅ ملتزم","❌ غير ملتزم"))</f>
        <v>✅ ملتزم</v>
      </c>
      <c r="L27" s="285" t="str" cm="1">
        <f t="array" ref="L27">IF(A27="","",INDEX(البيانات!$AJ$2:$AJ$265,A27))</f>
        <v>حضرت</v>
      </c>
      <c r="M27" s="286"/>
      <c r="N27" s="288"/>
      <c r="O27" s="167"/>
    </row>
    <row r="28" spans="1:15">
      <c r="A28" s="112" cm="1">
        <f t="array" ref="A28">IFERROR(SMALL(IF(البيانات!$AS$2:$AS$265="مستشفى أبو عريش العام",البيانات!$AT$2:$AT$265),26),"")</f>
        <v>222</v>
      </c>
      <c r="B28" s="112" t="str" cm="1">
        <f t="array" ref="B28">IF(A28="","",INDEX(البيانات!$V$2:$V$265,A28))</f>
        <v>1058400746</v>
      </c>
      <c r="C28" s="112" t="str" cm="1">
        <f t="array" ref="C28">IF(A28="","",INDEX(البيانات!$U$2:$U$265,A28))</f>
        <v>jubarah hassan yhia mashi</v>
      </c>
      <c r="D28" s="112" cm="1">
        <f t="array" ref="D28">IF(A28="","",INDEX(البيانات!$T$2:$T$265,A28))</f>
        <v>43</v>
      </c>
      <c r="E28" s="112" t="str" cm="1">
        <f t="array" ref="E28">IF(A28="","",INDEX(البيانات!$F$2:$F$265,A28))</f>
        <v xml:space="preserve"> Middle sectorالقطاع الاوسط </v>
      </c>
      <c r="F28" s="112" t="str" cm="1">
        <f t="array" ref="F28">IF(A28="","",INDEX(البيانات!$Y$2:$Y$265,A28))</f>
        <v>0505502890</v>
      </c>
      <c r="G28" s="280"/>
      <c r="H28" s="280"/>
      <c r="I28" s="181" cm="1">
        <f t="array" ref="I28">IF(A28="","",INDEX(البيانات!$P$2:$P$265,A28))</f>
        <v>46141</v>
      </c>
      <c r="J28" s="282" cm="1">
        <f t="array" ref="J28">IF(A28="","",INDEX(البيانات!$AI$2:$AI$265,A28))</f>
        <v>46145</v>
      </c>
      <c r="K28" s="109" t="str">
        <f>IF(OR(A28="",J28="",I28=""),"",IF(NETWORKDAYS.INTL(I28,J28,"0000011")-1&lt;=2,"✅ ملتزم","❌ غير ملتزم"))</f>
        <v>✅ ملتزم</v>
      </c>
      <c r="L28" s="284" t="str" cm="1">
        <f t="array" ref="L28">IF(A28="","",INDEX(البيانات!$AJ$2:$AJ$265,A28))</f>
        <v>حضرت</v>
      </c>
      <c r="M28" s="286"/>
      <c r="N28" s="288"/>
      <c r="O28" s="167"/>
    </row>
    <row r="29" spans="1:15">
      <c r="A29" s="182" cm="1">
        <f t="array" ref="A29">IFERROR(SMALL(IF(البيانات!$AS$2:$AS$265="مستشفى أبو عريش العام",البيانات!$AT$2:$AT$265),27),"")</f>
        <v>237</v>
      </c>
      <c r="B29" s="182" t="str" cm="1">
        <f t="array" ref="B29">IF(A29="","",INDEX(البيانات!$V$2:$V$265,A29))</f>
        <v>1089023319</v>
      </c>
      <c r="C29" s="182" t="str" cm="1">
        <f t="array" ref="C29">IF(A29="","",INDEX(البيانات!$U$2:$U$265,A29))</f>
        <v>SALIHAH JABER QASEM GHAZWANI</v>
      </c>
      <c r="D29" s="182" cm="1">
        <f t="array" ref="D29">IF(A29="","",INDEX(البيانات!$T$2:$T$265,A29))</f>
        <v>34</v>
      </c>
      <c r="E29" s="182" t="str" cm="1">
        <f t="array" ref="E29">IF(A29="","",INDEX(البيانات!$F$2:$F$265,A29))</f>
        <v>aljabaly sectorالقطاع الجبلي</v>
      </c>
      <c r="F29" s="182" t="str" cm="1">
        <f t="array" ref="F29">IF(A29="","",INDEX(البيانات!$Y$2:$Y$265,A29))</f>
        <v>0501137529</v>
      </c>
      <c r="G29" s="281"/>
      <c r="H29" s="281"/>
      <c r="I29" s="184" cm="1">
        <f t="array" ref="I29">IF(A29="","",INDEX(البيانات!$P$2:$P$265,A29))</f>
        <v>46146</v>
      </c>
      <c r="J29" s="283" cm="1">
        <f t="array" ref="J29">IF(A29="","",INDEX(البيانات!$AI$2:$AI$265,A29))</f>
        <v>46148</v>
      </c>
      <c r="K29" s="183" t="str">
        <f>IF(OR(A29="",J29="",I29=""),"",IF(NETWORKDAYS.INTL(I29,J29,"0000011")-1&lt;=2,"✅ ملتزم","❌ غير ملتزم"))</f>
        <v>✅ ملتزم</v>
      </c>
      <c r="L29" s="285" t="str" cm="1">
        <f t="array" ref="L29">IF(A29="","",INDEX(البيانات!$AJ$2:$AJ$265,A29))</f>
        <v>حضرت</v>
      </c>
      <c r="M29" s="286"/>
      <c r="N29" s="288"/>
      <c r="O29" s="167"/>
    </row>
    <row r="30" spans="1:15">
      <c r="A30" s="112" cm="1">
        <f t="array" ref="A30">IFERROR(SMALL(IF(البيانات!$AS$2:$AS$265="مستشفى أبو عريش العام",البيانات!$AT$2:$AT$265),28),"")</f>
        <v>251</v>
      </c>
      <c r="B30" s="112" t="str" cm="1">
        <f t="array" ref="B30">IF(A30="","",INDEX(البيانات!$V$2:$V$265,A30))</f>
        <v>1063001646</v>
      </c>
      <c r="C30" s="112" t="str" cm="1">
        <f t="array" ref="C30">IF(A30="","",INDEX(البيانات!$U$2:$U$265,A30))</f>
        <v>فوزيه عبدالله علي مقري</v>
      </c>
      <c r="D30" s="112" cm="1">
        <f t="array" ref="D30">IF(A30="","",INDEX(البيانات!$T$2:$T$265,A30))</f>
        <v>42</v>
      </c>
      <c r="E30" s="112" t="str" cm="1">
        <f t="array" ref="E30">IF(A30="","",INDEX(البيانات!$F$2:$F$265,A30))</f>
        <v xml:space="preserve"> Middle sectorالقطاع الاوسط </v>
      </c>
      <c r="F30" s="112" t="str" cm="1">
        <f t="array" ref="F30">IF(A30="","",INDEX(البيانات!$Y$2:$Y$265,A30))</f>
        <v>0553095445</v>
      </c>
      <c r="G30" s="280"/>
      <c r="H30" s="280"/>
      <c r="I30" s="181" cm="1">
        <f t="array" ref="I30">IF(A30="","",INDEX(البيانات!$P$2:$P$265,A30))</f>
        <v>46148</v>
      </c>
      <c r="J30" s="282" cm="1">
        <f t="array" ref="J30">IF(A30="","",INDEX(البيانات!$AI$2:$AI$265,A30))</f>
        <v>46149</v>
      </c>
      <c r="K30" s="109" t="str">
        <f>IF(OR(A30="",J30="",I30=""),"",IF(NETWORKDAYS.INTL(I30,J30,"0000011")-1&lt;=2,"✅ ملتزم","❌ غير ملتزم"))</f>
        <v>✅ ملتزم</v>
      </c>
      <c r="L30" s="284" cm="1">
        <f t="array" ref="L30">IF(A30="","",INDEX(البيانات!$AJ$2:$AJ$265,A30))</f>
        <v>0</v>
      </c>
      <c r="M30" s="286"/>
      <c r="N30" s="288"/>
      <c r="O30" s="167"/>
    </row>
    <row r="31" spans="1:15">
      <c r="A31" s="182" cm="1">
        <f t="array" ref="A31">IFERROR(SMALL(IF(البيانات!$AS$2:$AS$265="مستشفى أبو عريش العام",البيانات!$AT$2:$AT$265),29),"")</f>
        <v>261</v>
      </c>
      <c r="B31" s="182" t="str" cm="1">
        <f t="array" ref="B31">IF(A31="","",INDEX(البيانات!$V$2:$V$265,A31))</f>
        <v>1046497705</v>
      </c>
      <c r="C31" s="182" t="str" cm="1">
        <f t="array" ref="C31">IF(A31="","",INDEX(البيانات!$U$2:$U$265,A31))</f>
        <v>tabah jubran salim</v>
      </c>
      <c r="D31" s="182" cm="1">
        <f t="array" ref="D31">IF(A31="","",INDEX(البيانات!$T$2:$T$265,A31))</f>
        <v>38</v>
      </c>
      <c r="E31" s="182" t="str" cm="1">
        <f t="array" ref="E31">IF(A31="","",INDEX(البيانات!$F$2:$F$265,A31))</f>
        <v> bany malik sectorقطاع بني مالك</v>
      </c>
      <c r="F31" s="182" t="str" cm="1">
        <f t="array" ref="F31">IF(A31="","",INDEX(البيانات!$Y$2:$Y$265,A31))</f>
        <v>0504899731</v>
      </c>
      <c r="G31" s="281"/>
      <c r="H31" s="281"/>
      <c r="I31" s="184" cm="1">
        <f t="array" ref="I31">IF(A31="","",INDEX(البيانات!$P$2:$P$265,A31))</f>
        <v>46149</v>
      </c>
      <c r="J31" s="283" cm="1">
        <f t="array" ref="J31">IF(A31="","",INDEX(البيانات!$AI$2:$AI$265,A31))</f>
        <v>0</v>
      </c>
      <c r="K31" s="183" t="str">
        <f>IF(OR(A31="",J31="",I31=""),"",IF(NETWORKDAYS.INTL(I31,J31,"0000011")-1&lt;=2,"✅ ملتزم","❌ غير ملتزم"))</f>
        <v>✅ ملتزم</v>
      </c>
      <c r="L31" s="285" cm="1">
        <f t="array" ref="L31">IF(A31="","",INDEX(البيانات!$AJ$2:$AJ$265,A31))</f>
        <v>0</v>
      </c>
      <c r="M31" s="286"/>
      <c r="N31" s="288"/>
      <c r="O31" s="167"/>
    </row>
    <row r="32" spans="1:15">
      <c r="A32" s="112" cm="1">
        <f t="array" ref="A32">IFERROR(SMALL(IF(البيانات!$AS$2:$AS$265="مستشفى أبو عريش العام",البيانات!$AT$2:$AT$265),30),"")</f>
        <v>263</v>
      </c>
      <c r="B32" s="112" t="str" cm="1">
        <f t="array" ref="B32">IF(A32="","",INDEX(البيانات!$V$2:$V$265,A32))</f>
        <v>1063743288</v>
      </c>
      <c r="C32" s="112" t="str" cm="1">
        <f t="array" ref="C32">IF(A32="","",INDEX(البيانات!$U$2:$U$265,A32))</f>
        <v>عائشه يحي معشي</v>
      </c>
      <c r="D32" s="112" cm="1">
        <f t="array" ref="D32">IF(A32="","",INDEX(البيانات!$T$2:$T$265,A32))</f>
        <v>36</v>
      </c>
      <c r="E32" s="112" t="str" cm="1">
        <f t="array" ref="E32">IF(A32="","",INDEX(البيانات!$F$2:$F$265,A32))</f>
        <v xml:space="preserve"> Middle sectorالقطاع الاوسط </v>
      </c>
      <c r="F32" s="112" t="str" cm="1">
        <f t="array" ref="F32">IF(A32="","",INDEX(البيانات!$Y$2:$Y$265,A32))</f>
        <v>0503381521</v>
      </c>
      <c r="G32" s="280"/>
      <c r="H32" s="280"/>
      <c r="I32" s="181" cm="1">
        <f t="array" ref="I32">IF(A32="","",INDEX(البيانات!$P$2:$P$265,A32))</f>
        <v>46149</v>
      </c>
      <c r="J32" s="282" cm="1">
        <f t="array" ref="J32">IF(A32="","",INDEX(البيانات!$AI$2:$AI$265,A32))</f>
        <v>0</v>
      </c>
      <c r="K32" s="109" t="str">
        <f>IF(OR(A32="",J32="",I32=""),"",IF(NETWORKDAYS.INTL(I32,J32,"0000011")-1&lt;=2,"✅ ملتزم","❌ غير ملتزم"))</f>
        <v>✅ ملتزم</v>
      </c>
      <c r="L32" s="284" cm="1">
        <f t="array" ref="L32">IF(A32="","",INDEX(البيانات!$AJ$2:$AJ$265,A32))</f>
        <v>0</v>
      </c>
      <c r="M32" s="286"/>
      <c r="N32" s="289"/>
      <c r="O32" s="167"/>
    </row>
    <row r="33" spans="1:13">
      <c r="A33" s="177"/>
      <c r="B33" s="177"/>
      <c r="C33" s="177"/>
      <c r="D33" s="177"/>
      <c r="E33" s="177"/>
      <c r="F33" s="177"/>
      <c r="G33" s="290"/>
      <c r="H33" s="290"/>
      <c r="I33" s="177"/>
      <c r="J33" s="290"/>
      <c r="K33" s="177"/>
      <c r="L33" s="290"/>
      <c r="M33" s="290"/>
    </row>
    <row r="34" spans="1:13">
      <c r="A34" s="177"/>
      <c r="B34" s="177"/>
      <c r="C34" s="177"/>
      <c r="D34" s="177"/>
      <c r="E34" s="177"/>
      <c r="F34" s="177"/>
      <c r="G34" s="290"/>
      <c r="H34" s="290"/>
      <c r="I34" s="177"/>
      <c r="J34" s="290"/>
      <c r="K34" s="177"/>
      <c r="L34" s="290"/>
      <c r="M34" s="290"/>
    </row>
    <row r="35" spans="1:13">
      <c r="A35" s="177"/>
      <c r="B35" s="177"/>
      <c r="C35" s="177"/>
      <c r="D35" s="177"/>
      <c r="E35" s="177"/>
      <c r="F35" s="177"/>
      <c r="G35" s="290"/>
      <c r="H35" s="290"/>
      <c r="I35" s="177"/>
      <c r="J35" s="290"/>
      <c r="K35" s="177"/>
      <c r="L35" s="290"/>
      <c r="M35" s="290"/>
    </row>
    <row r="36" spans="1:13">
      <c r="A36" s="177"/>
      <c r="B36" s="177"/>
      <c r="C36" s="177"/>
      <c r="D36" s="177"/>
      <c r="E36" s="177"/>
      <c r="F36" s="177"/>
      <c r="G36" s="290"/>
      <c r="H36" s="290"/>
      <c r="I36" s="177"/>
      <c r="J36" s="290"/>
      <c r="K36" s="177"/>
      <c r="L36" s="290"/>
      <c r="M36" s="290"/>
    </row>
    <row r="37" spans="1:13">
      <c r="A37" s="177"/>
      <c r="B37" s="177"/>
      <c r="C37" s="177"/>
      <c r="D37" s="177"/>
      <c r="E37" s="177"/>
      <c r="F37" s="177"/>
      <c r="G37" s="290"/>
      <c r="H37" s="290"/>
      <c r="I37" s="177"/>
      <c r="J37" s="290"/>
      <c r="K37" s="177"/>
      <c r="L37" s="290"/>
      <c r="M37" s="290"/>
    </row>
    <row r="38" spans="1:13">
      <c r="A38" s="177"/>
      <c r="B38" s="177"/>
      <c r="C38" s="177"/>
      <c r="D38" s="177"/>
      <c r="E38" s="177"/>
      <c r="F38" s="177"/>
      <c r="G38" s="290"/>
      <c r="H38" s="290"/>
      <c r="I38" s="177"/>
      <c r="J38" s="290"/>
      <c r="K38" s="177"/>
      <c r="L38" s="290"/>
      <c r="M38" s="290"/>
    </row>
    <row r="39" spans="1:13">
      <c r="A39" s="177"/>
      <c r="B39" s="177"/>
      <c r="C39" s="177"/>
      <c r="D39" s="177"/>
      <c r="E39" s="177"/>
      <c r="F39" s="177"/>
      <c r="G39" s="290"/>
      <c r="H39" s="290"/>
      <c r="I39" s="177"/>
      <c r="J39" s="290"/>
      <c r="K39" s="177"/>
      <c r="L39" s="290"/>
      <c r="M39" s="290"/>
    </row>
    <row r="40" spans="1:13">
      <c r="A40" s="177"/>
      <c r="B40" s="177"/>
      <c r="C40" s="177"/>
      <c r="D40" s="177"/>
      <c r="E40" s="177"/>
      <c r="F40" s="177"/>
      <c r="G40" s="290"/>
      <c r="H40" s="290"/>
      <c r="I40" s="177"/>
      <c r="J40" s="290"/>
      <c r="K40" s="177"/>
      <c r="L40" s="290"/>
      <c r="M40" s="290"/>
    </row>
    <row r="41" spans="1:13">
      <c r="A41" s="177"/>
      <c r="B41" s="177"/>
      <c r="C41" s="177"/>
      <c r="D41" s="177"/>
      <c r="E41" s="177"/>
      <c r="F41" s="177"/>
      <c r="G41" s="290"/>
      <c r="H41" s="290"/>
      <c r="I41" s="177"/>
      <c r="J41" s="290"/>
      <c r="K41" s="177"/>
      <c r="L41" s="290"/>
      <c r="M41" s="290"/>
    </row>
    <row r="42" spans="1:13">
      <c r="A42" s="177"/>
      <c r="B42" s="177"/>
      <c r="C42" s="177"/>
      <c r="D42" s="177"/>
      <c r="E42" s="177"/>
      <c r="F42" s="177"/>
      <c r="G42" s="290"/>
      <c r="H42" s="290"/>
      <c r="I42" s="177"/>
      <c r="J42" s="290"/>
      <c r="K42" s="177"/>
      <c r="L42" s="290"/>
      <c r="M42" s="290"/>
    </row>
    <row r="43" spans="1:13">
      <c r="A43" s="177"/>
      <c r="B43" s="177"/>
      <c r="C43" s="177"/>
      <c r="D43" s="177"/>
      <c r="E43" s="177"/>
      <c r="F43" s="177"/>
      <c r="G43" s="290"/>
      <c r="H43" s="290"/>
      <c r="I43" s="177"/>
      <c r="J43" s="290"/>
      <c r="K43" s="177"/>
      <c r="L43" s="290"/>
      <c r="M43" s="290"/>
    </row>
    <row r="44" spans="1:13">
      <c r="A44" s="177"/>
      <c r="B44" s="177"/>
      <c r="C44" s="177"/>
      <c r="D44" s="177"/>
      <c r="E44" s="177"/>
      <c r="F44" s="177"/>
      <c r="G44" s="290"/>
      <c r="H44" s="290"/>
      <c r="I44" s="177"/>
      <c r="J44" s="290"/>
      <c r="K44" s="177"/>
      <c r="L44" s="290"/>
      <c r="M44" s="290"/>
    </row>
    <row r="45" spans="1:13">
      <c r="A45" s="177"/>
      <c r="B45" s="177"/>
      <c r="C45" s="177"/>
      <c r="D45" s="177"/>
      <c r="E45" s="177"/>
      <c r="F45" s="177"/>
      <c r="G45" s="290"/>
      <c r="H45" s="290"/>
      <c r="I45" s="177"/>
      <c r="J45" s="290"/>
      <c r="K45" s="177"/>
      <c r="L45" s="290"/>
      <c r="M45" s="290"/>
    </row>
    <row r="46" spans="1:13">
      <c r="A46" s="177"/>
      <c r="B46" s="177"/>
      <c r="C46" s="177"/>
      <c r="D46" s="177"/>
      <c r="E46" s="177"/>
      <c r="F46" s="177"/>
      <c r="G46" s="290"/>
      <c r="H46" s="290"/>
      <c r="I46" s="177"/>
      <c r="J46" s="290"/>
      <c r="K46" s="177"/>
      <c r="L46" s="290"/>
      <c r="M46" s="290"/>
    </row>
    <row r="47" spans="1:13">
      <c r="A47" s="177"/>
      <c r="B47" s="177"/>
      <c r="C47" s="177"/>
      <c r="D47" s="177"/>
      <c r="E47" s="177"/>
      <c r="F47" s="177"/>
      <c r="G47" s="290"/>
      <c r="H47" s="290"/>
      <c r="I47" s="177"/>
      <c r="J47" s="290"/>
      <c r="K47" s="177"/>
      <c r="L47" s="290"/>
      <c r="M47" s="290"/>
    </row>
    <row r="48" spans="1:13">
      <c r="A48" s="177"/>
      <c r="B48" s="177"/>
      <c r="C48" s="177"/>
      <c r="D48" s="177"/>
      <c r="E48" s="177"/>
      <c r="F48" s="177"/>
      <c r="G48" s="290"/>
      <c r="H48" s="290"/>
      <c r="I48" s="177"/>
      <c r="J48" s="290"/>
      <c r="K48" s="177"/>
      <c r="L48" s="290"/>
      <c r="M48" s="290"/>
    </row>
    <row r="49" spans="1:13">
      <c r="A49" s="177"/>
      <c r="B49" s="177"/>
      <c r="C49" s="177"/>
      <c r="D49" s="177"/>
      <c r="E49" s="177"/>
      <c r="F49" s="177"/>
      <c r="G49" s="290"/>
      <c r="H49" s="290"/>
      <c r="I49" s="177"/>
      <c r="J49" s="290"/>
      <c r="K49" s="177"/>
      <c r="L49" s="290"/>
      <c r="M49" s="290"/>
    </row>
    <row r="50" spans="1:13">
      <c r="A50" s="177"/>
      <c r="B50" s="177"/>
      <c r="C50" s="177"/>
      <c r="D50" s="177"/>
      <c r="E50" s="177"/>
      <c r="F50" s="177"/>
      <c r="G50" s="290"/>
      <c r="H50" s="290"/>
      <c r="I50" s="177"/>
      <c r="J50" s="290"/>
      <c r="K50" s="177"/>
      <c r="L50" s="290"/>
      <c r="M50" s="290"/>
    </row>
    <row r="51" spans="1:13">
      <c r="A51" s="177"/>
      <c r="B51" s="177"/>
      <c r="C51" s="177"/>
      <c r="D51" s="177"/>
      <c r="E51" s="177"/>
      <c r="F51" s="177"/>
      <c r="G51" s="290"/>
      <c r="H51" s="290"/>
      <c r="I51" s="177"/>
      <c r="J51" s="290"/>
      <c r="K51" s="177"/>
      <c r="L51" s="290"/>
      <c r="M51" s="290"/>
    </row>
    <row r="52" spans="1:13">
      <c r="A52" s="177"/>
      <c r="B52" s="177"/>
      <c r="C52" s="177"/>
      <c r="D52" s="177"/>
      <c r="E52" s="177"/>
      <c r="F52" s="177"/>
      <c r="G52" s="290"/>
      <c r="H52" s="290"/>
      <c r="I52" s="177"/>
      <c r="J52" s="290"/>
      <c r="K52" s="177"/>
      <c r="L52" s="290"/>
      <c r="M52" s="290"/>
    </row>
    <row r="53" spans="1:13">
      <c r="A53" s="177"/>
      <c r="B53" s="177"/>
      <c r="C53" s="177"/>
      <c r="D53" s="177"/>
      <c r="E53" s="177"/>
      <c r="F53" s="177"/>
      <c r="G53" s="290"/>
      <c r="H53" s="290"/>
      <c r="I53" s="177"/>
      <c r="J53" s="290"/>
      <c r="K53" s="177"/>
      <c r="L53" s="290"/>
      <c r="M53" s="290"/>
    </row>
    <row r="54" spans="1:13">
      <c r="A54" s="177"/>
      <c r="B54" s="177"/>
      <c r="C54" s="177"/>
      <c r="D54" s="177"/>
      <c r="E54" s="177"/>
      <c r="F54" s="177"/>
      <c r="G54" s="290"/>
      <c r="H54" s="290"/>
      <c r="I54" s="177"/>
      <c r="J54" s="290"/>
      <c r="K54" s="177"/>
      <c r="L54" s="290"/>
      <c r="M54" s="290"/>
    </row>
    <row r="55" spans="1:13">
      <c r="A55" s="177"/>
      <c r="B55" s="177"/>
      <c r="C55" s="177"/>
      <c r="D55" s="177"/>
      <c r="E55" s="177"/>
      <c r="F55" s="177"/>
      <c r="G55" s="290"/>
      <c r="H55" s="290"/>
      <c r="I55" s="177"/>
      <c r="J55" s="290"/>
      <c r="K55" s="177"/>
      <c r="L55" s="290"/>
      <c r="M55" s="290"/>
    </row>
    <row r="56" spans="1:13">
      <c r="A56" s="177"/>
      <c r="B56" s="177"/>
      <c r="C56" s="177"/>
      <c r="D56" s="177"/>
      <c r="E56" s="177"/>
      <c r="F56" s="177"/>
      <c r="G56" s="290"/>
      <c r="H56" s="290"/>
      <c r="I56" s="177"/>
      <c r="J56" s="290"/>
      <c r="K56" s="177"/>
      <c r="L56" s="290"/>
      <c r="M56" s="290"/>
    </row>
    <row r="57" spans="1:13">
      <c r="A57" s="177"/>
      <c r="B57" s="177"/>
      <c r="C57" s="177"/>
      <c r="D57" s="177"/>
      <c r="E57" s="177"/>
      <c r="F57" s="177"/>
      <c r="G57" s="290"/>
      <c r="H57" s="290"/>
      <c r="I57" s="177"/>
      <c r="J57" s="290"/>
      <c r="K57" s="177"/>
      <c r="L57" s="290"/>
      <c r="M57" s="290"/>
    </row>
    <row r="58" spans="1:13">
      <c r="A58" s="177"/>
      <c r="B58" s="177"/>
      <c r="C58" s="177"/>
      <c r="D58" s="177"/>
      <c r="E58" s="177"/>
      <c r="F58" s="177"/>
      <c r="G58" s="290"/>
      <c r="H58" s="290"/>
      <c r="I58" s="177"/>
      <c r="J58" s="290"/>
      <c r="K58" s="177"/>
      <c r="L58" s="290"/>
      <c r="M58" s="290"/>
    </row>
    <row r="59" spans="1:13">
      <c r="A59" s="177"/>
      <c r="B59" s="177"/>
      <c r="C59" s="177"/>
      <c r="D59" s="177"/>
      <c r="E59" s="177"/>
      <c r="F59" s="177"/>
      <c r="G59" s="290"/>
      <c r="H59" s="290"/>
      <c r="I59" s="177"/>
      <c r="J59" s="290"/>
      <c r="K59" s="177"/>
      <c r="L59" s="290"/>
      <c r="M59" s="290"/>
    </row>
    <row r="60" spans="1:13">
      <c r="A60" s="177"/>
      <c r="B60" s="177"/>
      <c r="C60" s="177"/>
      <c r="D60" s="177"/>
      <c r="E60" s="177"/>
      <c r="F60" s="177"/>
      <c r="G60" s="290"/>
      <c r="H60" s="290"/>
      <c r="I60" s="177"/>
      <c r="J60" s="290"/>
      <c r="K60" s="177"/>
      <c r="L60" s="290"/>
      <c r="M60" s="290"/>
    </row>
    <row r="61" spans="1:13">
      <c r="A61" s="177"/>
      <c r="B61" s="177"/>
      <c r="C61" s="177"/>
      <c r="D61" s="177"/>
      <c r="E61" s="177"/>
      <c r="F61" s="177"/>
      <c r="G61" s="290"/>
      <c r="H61" s="290"/>
      <c r="I61" s="177"/>
      <c r="J61" s="290"/>
      <c r="K61" s="177"/>
      <c r="L61" s="290"/>
      <c r="M61" s="290"/>
    </row>
    <row r="62" spans="1:13">
      <c r="A62" s="177"/>
      <c r="B62" s="177"/>
      <c r="C62" s="177"/>
      <c r="D62" s="177"/>
      <c r="E62" s="177"/>
      <c r="F62" s="177"/>
      <c r="G62" s="290"/>
      <c r="H62" s="290"/>
      <c r="I62" s="177"/>
      <c r="J62" s="290"/>
      <c r="K62" s="177"/>
      <c r="L62" s="290"/>
      <c r="M62" s="290"/>
    </row>
    <row r="63" spans="1:13">
      <c r="A63" s="177"/>
      <c r="B63" s="177"/>
      <c r="C63" s="177"/>
      <c r="D63" s="177"/>
      <c r="E63" s="177"/>
      <c r="F63" s="177"/>
      <c r="G63" s="290"/>
      <c r="H63" s="290"/>
      <c r="I63" s="177"/>
      <c r="J63" s="290"/>
      <c r="K63" s="177"/>
      <c r="L63" s="290"/>
      <c r="M63" s="290"/>
    </row>
    <row r="64" spans="1:13">
      <c r="A64" s="177"/>
      <c r="B64" s="177"/>
      <c r="C64" s="177"/>
      <c r="D64" s="177"/>
      <c r="E64" s="177"/>
      <c r="F64" s="177"/>
      <c r="G64" s="290"/>
      <c r="H64" s="290"/>
      <c r="I64" s="177"/>
      <c r="J64" s="290"/>
      <c r="K64" s="177"/>
      <c r="L64" s="290"/>
      <c r="M64" s="290"/>
    </row>
    <row r="65" spans="1:13">
      <c r="A65" s="177"/>
      <c r="B65" s="177"/>
      <c r="C65" s="177"/>
      <c r="D65" s="177"/>
      <c r="E65" s="177"/>
      <c r="F65" s="177"/>
      <c r="G65" s="290"/>
      <c r="H65" s="290"/>
      <c r="I65" s="177"/>
      <c r="J65" s="290"/>
      <c r="K65" s="177"/>
      <c r="L65" s="290"/>
      <c r="M65" s="290"/>
    </row>
    <row r="66" spans="1:13">
      <c r="A66" s="177"/>
      <c r="B66" s="177"/>
      <c r="C66" s="177"/>
      <c r="D66" s="177"/>
      <c r="E66" s="177"/>
      <c r="F66" s="177"/>
      <c r="G66" s="290"/>
      <c r="H66" s="290"/>
      <c r="I66" s="177"/>
      <c r="J66" s="290"/>
      <c r="K66" s="177"/>
      <c r="L66" s="290"/>
      <c r="M66" s="290"/>
    </row>
    <row r="67" spans="1:13">
      <c r="A67" s="177"/>
      <c r="B67" s="177"/>
      <c r="C67" s="177"/>
      <c r="D67" s="177"/>
      <c r="E67" s="177"/>
      <c r="F67" s="177"/>
      <c r="G67" s="290"/>
      <c r="H67" s="290"/>
      <c r="I67" s="177"/>
      <c r="J67" s="290"/>
      <c r="K67" s="177"/>
      <c r="L67" s="290"/>
      <c r="M67" s="290"/>
    </row>
    <row r="68" spans="1:13">
      <c r="A68" s="177"/>
      <c r="B68" s="177"/>
      <c r="C68" s="177"/>
      <c r="D68" s="177"/>
      <c r="E68" s="177"/>
      <c r="F68" s="177"/>
      <c r="G68" s="290"/>
      <c r="H68" s="290"/>
      <c r="I68" s="177"/>
      <c r="J68" s="290"/>
      <c r="K68" s="177"/>
      <c r="L68" s="290"/>
      <c r="M68" s="290"/>
    </row>
    <row r="69" spans="1:13">
      <c r="A69" s="177"/>
      <c r="B69" s="177"/>
      <c r="C69" s="177"/>
      <c r="D69" s="177"/>
      <c r="E69" s="177"/>
      <c r="F69" s="177"/>
      <c r="G69" s="290"/>
      <c r="H69" s="290"/>
      <c r="I69" s="177"/>
      <c r="J69" s="290"/>
      <c r="K69" s="177"/>
      <c r="L69" s="290"/>
      <c r="M69" s="290"/>
    </row>
    <row r="70" spans="1:13">
      <c r="A70" s="177"/>
      <c r="B70" s="177"/>
      <c r="C70" s="177"/>
      <c r="D70" s="177"/>
      <c r="E70" s="177"/>
      <c r="F70" s="177"/>
      <c r="G70" s="290"/>
      <c r="H70" s="290"/>
      <c r="I70" s="177"/>
      <c r="J70" s="290"/>
      <c r="K70" s="177"/>
      <c r="L70" s="290"/>
      <c r="M70" s="290"/>
    </row>
    <row r="71" spans="1:13">
      <c r="A71" s="177"/>
      <c r="B71" s="177"/>
      <c r="C71" s="177"/>
      <c r="D71" s="177"/>
      <c r="E71" s="177"/>
      <c r="F71" s="177"/>
      <c r="G71" s="290"/>
      <c r="H71" s="290"/>
      <c r="I71" s="177"/>
      <c r="J71" s="290"/>
      <c r="K71" s="177"/>
      <c r="L71" s="290"/>
      <c r="M71" s="290"/>
    </row>
    <row r="72" spans="1:13">
      <c r="A72" s="177"/>
      <c r="B72" s="177"/>
      <c r="C72" s="177"/>
      <c r="D72" s="177"/>
      <c r="E72" s="177"/>
      <c r="F72" s="177"/>
      <c r="G72" s="290"/>
      <c r="H72" s="290"/>
      <c r="I72" s="177"/>
      <c r="J72" s="290"/>
      <c r="K72" s="177"/>
      <c r="L72" s="290"/>
      <c r="M72" s="290"/>
    </row>
    <row r="73" spans="1:13">
      <c r="A73" s="177"/>
      <c r="B73" s="177"/>
      <c r="C73" s="177"/>
      <c r="D73" s="177"/>
      <c r="E73" s="177"/>
      <c r="F73" s="177"/>
      <c r="G73" s="290"/>
      <c r="H73" s="290"/>
      <c r="I73" s="177"/>
      <c r="J73" s="290"/>
      <c r="K73" s="177"/>
      <c r="L73" s="290"/>
      <c r="M73" s="290"/>
    </row>
    <row r="74" spans="1:13">
      <c r="A74" s="177"/>
      <c r="B74" s="177"/>
      <c r="C74" s="177"/>
      <c r="D74" s="177"/>
      <c r="E74" s="177"/>
      <c r="F74" s="177"/>
      <c r="G74" s="290"/>
      <c r="H74" s="290"/>
      <c r="I74" s="177"/>
      <c r="J74" s="290"/>
      <c r="K74" s="177"/>
      <c r="L74" s="290"/>
      <c r="M74" s="290"/>
    </row>
    <row r="75" spans="1:13">
      <c r="A75" s="177"/>
      <c r="B75" s="177"/>
      <c r="C75" s="177"/>
      <c r="D75" s="177"/>
      <c r="E75" s="177"/>
      <c r="F75" s="177"/>
      <c r="G75" s="290"/>
      <c r="H75" s="290"/>
      <c r="I75" s="177"/>
      <c r="J75" s="290"/>
      <c r="K75" s="177"/>
      <c r="L75" s="290"/>
      <c r="M75" s="290"/>
    </row>
    <row r="76" spans="1:13">
      <c r="A76" s="177"/>
      <c r="B76" s="177"/>
      <c r="C76" s="177"/>
      <c r="D76" s="177"/>
      <c r="E76" s="177"/>
      <c r="F76" s="177"/>
      <c r="G76" s="290"/>
      <c r="H76" s="290"/>
      <c r="I76" s="177"/>
      <c r="J76" s="290"/>
      <c r="K76" s="177"/>
      <c r="L76" s="290"/>
      <c r="M76" s="290"/>
    </row>
    <row r="77" spans="1:13">
      <c r="A77" s="177"/>
      <c r="B77" s="177"/>
      <c r="C77" s="177"/>
      <c r="D77" s="177"/>
      <c r="E77" s="177"/>
      <c r="F77" s="177"/>
      <c r="G77" s="290"/>
      <c r="H77" s="290"/>
      <c r="I77" s="177"/>
      <c r="J77" s="290"/>
      <c r="K77" s="177"/>
      <c r="L77" s="290"/>
      <c r="M77" s="290"/>
    </row>
    <row r="78" spans="1:13">
      <c r="A78" s="177"/>
      <c r="B78" s="177"/>
      <c r="C78" s="177"/>
      <c r="D78" s="177"/>
      <c r="E78" s="177"/>
      <c r="F78" s="177"/>
      <c r="G78" s="290"/>
      <c r="H78" s="290"/>
      <c r="I78" s="177"/>
      <c r="J78" s="290"/>
      <c r="K78" s="177"/>
      <c r="L78" s="290"/>
      <c r="M78" s="290"/>
    </row>
    <row r="79" spans="1:13">
      <c r="A79" s="177"/>
      <c r="B79" s="177"/>
      <c r="C79" s="177"/>
      <c r="D79" s="177"/>
      <c r="E79" s="177"/>
      <c r="F79" s="177"/>
      <c r="G79" s="290"/>
      <c r="H79" s="290"/>
      <c r="I79" s="177"/>
      <c r="J79" s="290"/>
      <c r="K79" s="177"/>
      <c r="L79" s="290"/>
      <c r="M79" s="290"/>
    </row>
    <row r="80" spans="1:13">
      <c r="A80" s="167"/>
      <c r="B80" s="167"/>
      <c r="C80" s="167"/>
      <c r="D80" s="167"/>
      <c r="E80" s="167"/>
      <c r="F80" s="167"/>
      <c r="I80" s="167"/>
      <c r="K80" s="167"/>
    </row>
    <row r="81" spans="1:11">
      <c r="A81" s="167"/>
      <c r="B81" s="167"/>
      <c r="C81" s="167"/>
      <c r="D81" s="167"/>
      <c r="E81" s="167"/>
      <c r="F81" s="167"/>
      <c r="I81" s="167"/>
      <c r="K81" s="167"/>
    </row>
    <row r="82" spans="1:11">
      <c r="A82" s="167"/>
      <c r="B82" s="167"/>
      <c r="C82" s="167"/>
      <c r="D82" s="167"/>
      <c r="E82" s="167"/>
      <c r="F82" s="167"/>
      <c r="I82" s="167"/>
      <c r="K82" s="167"/>
    </row>
    <row r="83" spans="1:11">
      <c r="A83" s="167"/>
      <c r="B83" s="167"/>
      <c r="C83" s="167"/>
      <c r="D83" s="167"/>
      <c r="E83" s="167"/>
      <c r="F83" s="167"/>
      <c r="I83" s="167"/>
      <c r="K83" s="167"/>
    </row>
    <row r="84" spans="1:11">
      <c r="A84" s="167"/>
      <c r="B84" s="167"/>
      <c r="C84" s="167"/>
      <c r="D84" s="167"/>
      <c r="E84" s="167"/>
      <c r="F84" s="167"/>
      <c r="I84" s="167"/>
      <c r="K84" s="167"/>
    </row>
    <row r="85" spans="1:11">
      <c r="A85" s="167"/>
      <c r="B85" s="167"/>
      <c r="C85" s="167"/>
      <c r="D85" s="167"/>
      <c r="E85" s="167"/>
      <c r="F85" s="167"/>
      <c r="I85" s="167"/>
      <c r="K85" s="167"/>
    </row>
    <row r="86" spans="1:11">
      <c r="A86" s="167"/>
      <c r="B86" s="167"/>
      <c r="C86" s="167"/>
      <c r="D86" s="167"/>
      <c r="E86" s="167"/>
      <c r="F86" s="167"/>
      <c r="I86" s="167"/>
      <c r="K86" s="167"/>
    </row>
    <row r="87" spans="1:11">
      <c r="A87" s="167"/>
      <c r="B87" s="167"/>
      <c r="C87" s="167"/>
      <c r="D87" s="167"/>
      <c r="E87" s="167"/>
      <c r="F87" s="167"/>
      <c r="I87" s="167"/>
      <c r="K87" s="167"/>
    </row>
    <row r="88" spans="1:11">
      <c r="A88" s="167"/>
      <c r="B88" s="167"/>
      <c r="C88" s="167"/>
      <c r="D88" s="167"/>
      <c r="E88" s="167"/>
      <c r="F88" s="167"/>
      <c r="I88" s="167"/>
      <c r="K88" s="167"/>
    </row>
    <row r="89" spans="1:11">
      <c r="A89" s="167"/>
      <c r="B89" s="167"/>
      <c r="C89" s="167"/>
      <c r="D89" s="167"/>
      <c r="E89" s="167"/>
      <c r="F89" s="167"/>
      <c r="I89" s="167"/>
      <c r="K89" s="167"/>
    </row>
    <row r="90" spans="1:11">
      <c r="A90" s="167"/>
      <c r="B90" s="167"/>
      <c r="C90" s="167"/>
      <c r="D90" s="167"/>
      <c r="E90" s="167"/>
      <c r="F90" s="167"/>
      <c r="I90" s="167"/>
      <c r="K90" s="167"/>
    </row>
    <row r="91" spans="1:11">
      <c r="A91" s="167"/>
      <c r="B91" s="167"/>
      <c r="C91" s="167"/>
      <c r="D91" s="167"/>
      <c r="E91" s="167"/>
      <c r="F91" s="167"/>
      <c r="I91" s="167"/>
      <c r="K91" s="167"/>
    </row>
    <row r="92" spans="1:11">
      <c r="A92" s="167"/>
      <c r="B92" s="167"/>
      <c r="C92" s="167"/>
      <c r="D92" s="167"/>
      <c r="E92" s="167"/>
      <c r="F92" s="167"/>
      <c r="I92" s="167"/>
      <c r="K92" s="167"/>
    </row>
    <row r="93" spans="1:11">
      <c r="A93" s="167"/>
      <c r="B93" s="167"/>
      <c r="C93" s="167"/>
      <c r="D93" s="167"/>
      <c r="E93" s="167"/>
      <c r="F93" s="167"/>
      <c r="I93" s="167"/>
      <c r="K93" s="167"/>
    </row>
    <row r="94" spans="1:11">
      <c r="A94" s="167"/>
      <c r="B94" s="167"/>
      <c r="C94" s="167"/>
      <c r="D94" s="167"/>
      <c r="E94" s="167"/>
      <c r="F94" s="167"/>
      <c r="I94" s="167"/>
      <c r="K94" s="167"/>
    </row>
    <row r="95" spans="1:11">
      <c r="A95" s="167"/>
      <c r="B95" s="167"/>
      <c r="C95" s="167"/>
      <c r="D95" s="167"/>
      <c r="E95" s="167"/>
      <c r="F95" s="167"/>
      <c r="I95" s="167"/>
      <c r="K95" s="167"/>
    </row>
    <row r="96" spans="1:11">
      <c r="A96" s="167"/>
      <c r="B96" s="167"/>
      <c r="C96" s="167"/>
      <c r="D96" s="167"/>
      <c r="E96" s="167"/>
      <c r="F96" s="167"/>
      <c r="I96" s="167"/>
      <c r="K96" s="167"/>
    </row>
    <row r="97" spans="1:11">
      <c r="A97" s="167"/>
      <c r="B97" s="167"/>
      <c r="C97" s="167"/>
      <c r="D97" s="167"/>
      <c r="E97" s="167"/>
      <c r="F97" s="167"/>
      <c r="I97" s="167"/>
      <c r="K97" s="167"/>
    </row>
    <row r="98" spans="1:11">
      <c r="A98" s="167"/>
      <c r="B98" s="167"/>
      <c r="C98" s="167"/>
      <c r="D98" s="167"/>
      <c r="E98" s="167"/>
      <c r="F98" s="167"/>
      <c r="I98" s="167"/>
      <c r="K98" s="167"/>
    </row>
    <row r="99" spans="1:11">
      <c r="A99" s="167"/>
      <c r="B99" s="167"/>
      <c r="C99" s="167"/>
      <c r="D99" s="167"/>
      <c r="E99" s="167"/>
      <c r="F99" s="167"/>
      <c r="I99" s="167"/>
      <c r="K99" s="167"/>
    </row>
    <row r="100" spans="1:11">
      <c r="A100" s="167"/>
      <c r="B100" s="167"/>
      <c r="C100" s="167"/>
      <c r="D100" s="167"/>
      <c r="E100" s="167"/>
      <c r="F100" s="167"/>
      <c r="I100" s="167"/>
      <c r="K100" s="167"/>
    </row>
  </sheetData>
  <mergeCells count="1">
    <mergeCell ref="A1:H1"/>
  </mergeCells>
  <conditionalFormatting sqref="K4:K79">
    <cfRule type="containsText" dxfId="76" priority="11" operator="containsText" text="ملتزم">
      <formula>NOT(ISERROR(SEARCH("ملتزم",K4)))</formula>
    </cfRule>
    <cfRule type="containsText" dxfId="75" priority="12" operator="containsText" text="غير ملتزم">
      <formula>NOT(ISERROR(SEARCH("غير ملتزم",K4)))</formula>
    </cfRule>
  </conditionalFormatting>
  <conditionalFormatting sqref="M4:M32">
    <cfRule type="containsText" dxfId="74" priority="13" operator="containsText" text="منخفض">
      <formula>NOT(ISERROR(SEARCH("منخفض",M4)))</formula>
    </cfRule>
    <cfRule type="containsText" dxfId="73" priority="14" operator="containsText" text="متابعة">
      <formula>NOT(ISERROR(SEARCH("متابعة",M4)))</formula>
    </cfRule>
    <cfRule type="containsText" dxfId="72" priority="15" operator="containsText" text="KFCH">
      <formula>NOT(ISERROR(SEARCH("KFCH",M4)))</formula>
    </cfRule>
  </conditionalFormatting>
  <dataValidations count="2">
    <dataValidation type="list" allowBlank="1" showInputMessage="1" showErrorMessage="1" sqref="M4:M32" xr:uid="{969C34E2-E84D-4D53-B5CD-B0A01759AD7B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32" xr:uid="{AEC34AEB-D588-4B9F-8D50-1CF3B5688129}">
      <formula1>"نعم,لا"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EFF7-940D-486B-8304-7CFE94065994}">
  <sheetPr>
    <tabColor rgb="FF009688"/>
  </sheetPr>
  <dimension ref="A1:O100"/>
  <sheetViews>
    <sheetView rightToLeft="1" topLeftCell="C33" workbookViewId="0">
      <selection activeCell="N6" sqref="N6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8.375" customWidth="1"/>
    <col min="5" max="5" width="25" customWidth="1"/>
    <col min="6" max="6" width="16.625" customWidth="1"/>
    <col min="7" max="7" width="16.625" style="241" customWidth="1"/>
    <col min="8" max="8" width="20" style="241" customWidth="1"/>
    <col min="9" max="10" width="9" style="241"/>
    <col min="11" max="11" width="10.375" bestFit="1" customWidth="1"/>
    <col min="12" max="12" width="10.375" style="241" bestFit="1" customWidth="1"/>
    <col min="14" max="15" width="9" style="241"/>
  </cols>
  <sheetData>
    <row r="1" spans="1:15" ht="20.25">
      <c r="A1" s="345" t="s">
        <v>574</v>
      </c>
      <c r="B1" s="315"/>
      <c r="C1" s="315"/>
      <c r="D1" s="315"/>
      <c r="E1" s="315"/>
      <c r="F1" s="315"/>
      <c r="G1" s="315"/>
      <c r="H1" s="315"/>
      <c r="K1" s="167"/>
      <c r="M1" s="167"/>
    </row>
    <row r="2" spans="1:15" ht="18">
      <c r="A2" s="167" t="s">
        <v>571</v>
      </c>
      <c r="B2" s="28">
        <f>COUNTIF(البيانات!$AS:$AS,"*صامط*")</f>
        <v>29</v>
      </c>
      <c r="C2" s="167"/>
      <c r="D2" s="167"/>
      <c r="E2" s="167"/>
      <c r="F2" s="167"/>
      <c r="K2" s="167"/>
      <c r="M2" s="167"/>
    </row>
    <row r="3" spans="1: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279" t="s">
        <v>575</v>
      </c>
      <c r="J3" s="279" t="s">
        <v>564</v>
      </c>
      <c r="K3" s="180" t="s">
        <v>560</v>
      </c>
      <c r="L3" s="279" t="s">
        <v>561</v>
      </c>
      <c r="M3" s="180" t="s">
        <v>562</v>
      </c>
      <c r="N3" s="279" t="s">
        <v>563</v>
      </c>
      <c r="O3" s="279" t="s">
        <v>565</v>
      </c>
    </row>
    <row r="4" spans="1:15">
      <c r="A4" s="112" cm="1">
        <f t="array" ref="A4">IFERROR(SMALL(IF(البيانات!$AS$2:$AS$265="مستشفى صامطة العام",البيانات!$AT$2:$AT$265),1),"")</f>
        <v>11</v>
      </c>
      <c r="B4" s="112" t="str" cm="1">
        <f t="array" ref="B4">IF(A4="","",INDEX(البيانات!$V$2:$V$265,A4))</f>
        <v>1130121203</v>
      </c>
      <c r="C4" s="112" t="str" cm="1">
        <f t="array" ref="C4">IF(A4="","",INDEX(البيانات!$U$2:$U$265,A4))</f>
        <v>مريم احمد يحيي حمدي</v>
      </c>
      <c r="D4" s="112" cm="1">
        <f t="array" ref="D4">IF(A4="","",INDEX(البيانات!$T$2:$T$265,A4))</f>
        <v>26</v>
      </c>
      <c r="E4" s="112" t="str" cm="1">
        <f t="array" ref="E4">IF(A4="","",INDEX(البيانات!$F$2:$F$265,A4))</f>
        <v>القطاع الجنوبي</v>
      </c>
      <c r="F4" s="112" t="str" cm="1">
        <f t="array" ref="F4">IF(A4="","",INDEX(البيانات!$Y$2:$Y$265,A4))</f>
        <v>0536283933</v>
      </c>
      <c r="G4" s="280"/>
      <c r="H4" s="280"/>
      <c r="I4" s="284"/>
      <c r="J4" s="286"/>
      <c r="K4" s="181" cm="1">
        <f t="array" ref="K4">IF(A4="","",INDEX(البيانات!$P$2:$P$265,A4))</f>
        <v>46035</v>
      </c>
      <c r="L4" s="282">
        <v>46099</v>
      </c>
      <c r="M4" s="109" t="str">
        <f>IF(OR(A4="",L4="",K4=""),"",IF(NETWORKDAYS.INTL(K4,L4,"0000011")-1&lt;=2,"✅ ملتزم","❌ غير ملتزم"))</f>
        <v>❌ غير ملتزم</v>
      </c>
      <c r="N4" s="280"/>
      <c r="O4" s="280"/>
    </row>
    <row r="5" spans="1:15">
      <c r="A5" s="182" cm="1">
        <f t="array" ref="A5">IFERROR(SMALL(IF(البيانات!$AS$2:$AS$265="مستشفى صامطة العام",البيانات!$AT$2:$AT$265),2),"")</f>
        <v>55</v>
      </c>
      <c r="B5" s="182" t="str" cm="1">
        <f t="array" ref="B5">IF(A5="","",INDEX(البيانات!$V$2:$V$265,A5))</f>
        <v>2416033880</v>
      </c>
      <c r="C5" s="182" t="str" cm="1">
        <f t="array" ref="C5">IF(A5="","",INDEX(البيانات!$U$2:$U$265,A5))</f>
        <v>زهره علي جبران حجوري</v>
      </c>
      <c r="D5" s="182" cm="1">
        <f t="array" ref="D5">IF(A5="","",INDEX(البيانات!$T$2:$T$265,A5))</f>
        <v>0</v>
      </c>
      <c r="E5" s="182" t="str" cm="1">
        <f t="array" ref="E5">IF(A5="","",INDEX(البيانات!$F$2:$F$265,A5))</f>
        <v>القطاع الجنوبي</v>
      </c>
      <c r="F5" s="182" t="str" cm="1">
        <f t="array" ref="F5">IF(A5="","",INDEX(البيانات!$Y$2:$Y$265,A5))</f>
        <v>0554277655</v>
      </c>
      <c r="G5" s="281"/>
      <c r="H5" s="281"/>
      <c r="I5" s="285"/>
      <c r="J5" s="286"/>
      <c r="K5" s="184" cm="1">
        <f t="array" ref="K5">IF(A5="","",INDEX(البيانات!$P$2:$P$265,A5))</f>
        <v>46096</v>
      </c>
      <c r="L5" s="283" t="str" cm="1">
        <f t="array" ref="L5">IF(A5="","",INDEX(البيانات!$AI$2:$AI$265,A5))</f>
        <v>18/3/2026</v>
      </c>
      <c r="M5" s="183" t="str">
        <f>IF(OR(A5="",L5="",K5=""),"",IF(NETWORKDAYS.INTL(K5,L5,"0000011")-1&lt;=2,"✅ ملتزم","❌ غير ملتزم"))</f>
        <v>✅ ملتزم</v>
      </c>
      <c r="N5" s="280"/>
      <c r="O5" s="280"/>
    </row>
    <row r="6" spans="1:15">
      <c r="A6" s="112" cm="1">
        <f t="array" ref="A6">IFERROR(SMALL(IF(البيانات!$AS$2:$AS$265="مستشفى صامطة العام",البيانات!$AT$2:$AT$265),4),"")</f>
        <v>67</v>
      </c>
      <c r="B6" s="112" t="str" cm="1">
        <f t="array" ref="B6">IF(A6="","",INDEX(البيانات!$V$2:$V$265,A6))</f>
        <v>1111661334</v>
      </c>
      <c r="C6" s="112" t="str" cm="1">
        <f t="array" ref="C6">IF(A6="","",INDEX(البيانات!$U$2:$U$265,A6))</f>
        <v>نهى ضعافي محمد مباركي</v>
      </c>
      <c r="D6" s="112" cm="1">
        <f t="array" ref="D6">IF(A6="","",INDEX(البيانات!$T$2:$T$265,A6))</f>
        <v>0</v>
      </c>
      <c r="E6" s="112" t="str" cm="1">
        <f t="array" ref="E6">IF(A6="","",INDEX(البيانات!$F$2:$F$265,A6))</f>
        <v>القطاع الجنوبي</v>
      </c>
      <c r="F6" s="112" t="str" cm="1">
        <f t="array" ref="F6">IF(A6="","",INDEX(البيانات!$Y$2:$Y$265,A6))</f>
        <v>0508455039</v>
      </c>
      <c r="G6" s="280"/>
      <c r="H6" s="280"/>
      <c r="I6" s="284"/>
      <c r="J6" s="286"/>
      <c r="K6" s="181" cm="1">
        <f t="array" ref="K6">IF(A6="","",INDEX(البيانات!$P$2:$P$265,A6))</f>
        <v>46104</v>
      </c>
      <c r="L6" s="282" t="str" cm="1">
        <f t="array" ref="L6">IF(A6="","",INDEX(البيانات!$AI$2:$AI$265,A6))</f>
        <v>25/3/2026</v>
      </c>
      <c r="M6" s="109" t="str">
        <f>IF(OR(A6="",L6="",K6=""),"",IF(NETWORKDAYS.INTL(K6,L6,"0000011")-1&lt;=2,"✅ ملتزم","❌ غير ملتزم"))</f>
        <v>✅ ملتزم</v>
      </c>
      <c r="N6" s="280"/>
      <c r="O6" s="280"/>
    </row>
    <row r="7" spans="1:15">
      <c r="A7" s="182" cm="1">
        <f t="array" ref="A7">IFERROR(SMALL(IF(البيانات!$AS$2:$AS$265="مستشفى صامطة العام",البيانات!$AT$2:$AT$265),5),"")</f>
        <v>72</v>
      </c>
      <c r="B7" s="182" t="str" cm="1">
        <f t="array" ref="B7">IF(A7="","",INDEX(البيانات!$V$2:$V$265,A7))</f>
        <v>1100124708</v>
      </c>
      <c r="C7" s="182" t="str" cm="1">
        <f t="array" ref="C7">IF(A7="","",INDEX(البيانات!$U$2:$U$265,A7))</f>
        <v>MARYAM AHMED ALI ABIRI</v>
      </c>
      <c r="D7" s="182" cm="1">
        <f t="array" ref="D7">IF(A7="","",INDEX(البيانات!$T$2:$T$265,A7))</f>
        <v>0</v>
      </c>
      <c r="E7" s="182" t="str" cm="1">
        <f t="array" ref="E7">IF(A7="","",INDEX(البيانات!$F$2:$F$265,A7))</f>
        <v>القطاع الجنوبي</v>
      </c>
      <c r="F7" s="182" cm="1">
        <f t="array" ref="F7">IF(A7="","",INDEX(البيانات!$Y$2:$Y$265,A7))</f>
        <v>559183900</v>
      </c>
      <c r="G7" s="281"/>
      <c r="H7" s="281"/>
      <c r="I7" s="285"/>
      <c r="J7" s="286"/>
      <c r="K7" s="184" cm="1">
        <f t="array" ref="K7">IF(A7="","",INDEX(البيانات!$P$2:$P$265,A7))</f>
        <v>46106</v>
      </c>
      <c r="L7" s="283" t="str" cm="1">
        <f t="array" ref="L7">IF(A7="","",INDEX(البيانات!$AI$2:$AI$265,A7))</f>
        <v>29/3/2026</v>
      </c>
      <c r="M7" s="183" t="str">
        <f>IF(OR(A7="",L7="",K7=""),"",IF(NETWORKDAYS.INTL(K7,L7,"0000011")-1&lt;=2,"✅ ملتزم","❌ غير ملتزم"))</f>
        <v>✅ ملتزم</v>
      </c>
      <c r="N7" s="280"/>
      <c r="O7" s="280"/>
    </row>
    <row r="8" spans="1:15">
      <c r="A8" s="112" cm="1">
        <f t="array" ref="A8">IFERROR(SMALL(IF(البيانات!$AS$2:$AS$265="مستشفى صامطة العام",البيانات!$AT$2:$AT$265),6),"")</f>
        <v>84</v>
      </c>
      <c r="B8" s="112" t="str" cm="1">
        <f t="array" ref="B8">IF(A8="","",INDEX(البيانات!$V$2:$V$265,A8))</f>
        <v>1044402855</v>
      </c>
      <c r="C8" s="112" t="str" cm="1">
        <f t="array" ref="C8">IF(A8="","",INDEX(البيانات!$U$2:$U$265,A8))</f>
        <v>خديجة حسن عيسي حكمي</v>
      </c>
      <c r="D8" s="112" cm="1">
        <f t="array" ref="D8">IF(A8="","",INDEX(البيانات!$T$2:$T$265,A8))</f>
        <v>0</v>
      </c>
      <c r="E8" s="112" t="str" cm="1">
        <f t="array" ref="E8">IF(A8="","",INDEX(البيانات!$F$2:$F$265,A8))</f>
        <v>القطاع الجنوبي</v>
      </c>
      <c r="F8" s="112" t="str" cm="1">
        <f t="array" ref="F8">IF(A8="","",INDEX(البيانات!$Y$2:$Y$265,A8))</f>
        <v>0557695154</v>
      </c>
      <c r="G8" s="280"/>
      <c r="H8" s="280"/>
      <c r="I8" s="284"/>
      <c r="J8" s="286"/>
      <c r="K8" s="181" cm="1">
        <f t="array" ref="K8">IF(A8="","",INDEX(البيانات!$P$2:$P$265,A8))</f>
        <v>46110</v>
      </c>
      <c r="L8" s="282" t="str" cm="1">
        <f t="array" ref="L8">IF(A8="","",INDEX(البيانات!$AI$2:$AI$265,A8))</f>
        <v>31/3/2026</v>
      </c>
      <c r="M8" s="109" t="str">
        <f>IF(OR(A8="",L8="",K8=""),"",IF(NETWORKDAYS.INTL(K8,L8,"0000011")-1&lt;=2,"✅ ملتزم","❌ غير ملتزم"))</f>
        <v>✅ ملتزم</v>
      </c>
      <c r="N8" s="280"/>
      <c r="O8" s="280"/>
    </row>
    <row r="9" spans="1:15">
      <c r="A9" s="182" cm="1">
        <f t="array" ref="A9">IFERROR(SMALL(IF(البيانات!$AS$2:$AS$265="مستشفى صامطة العام",البيانات!$AT$2:$AT$265),7),"")</f>
        <v>99</v>
      </c>
      <c r="B9" s="182" t="str" cm="1">
        <f t="array" ref="B9">IF(A9="","",INDEX(البيانات!$V$2:$V$265,A9))</f>
        <v>2383875495</v>
      </c>
      <c r="C9" s="182" t="str" cm="1">
        <f t="array" ref="C9">IF(A9="","",INDEX(البيانات!$U$2:$U$265,A9))</f>
        <v>ENTESAR ABDULATEF EBRAHIMMOHAMMED ABO ALKASEM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الجنوبي</v>
      </c>
      <c r="F9" s="182" t="str" cm="1">
        <f t="array" ref="F9">IF(A9="","",INDEX(البيانات!$Y$2:$Y$265,A9))</f>
        <v>0506779656</v>
      </c>
      <c r="G9" s="281"/>
      <c r="H9" s="281"/>
      <c r="I9" s="285"/>
      <c r="J9" s="286"/>
      <c r="K9" s="184" cm="1">
        <f t="array" ref="K9">IF(A9="","",INDEX(البيانات!$P$2:$P$265,A9))</f>
        <v>46112</v>
      </c>
      <c r="L9" s="283" t="str" cm="1">
        <f t="array" ref="L9">IF(A9="","",INDEX(البيانات!$AI$2:$AI$265,A9))</f>
        <v>1/4/2026</v>
      </c>
      <c r="M9" s="183" t="str">
        <f>IF(OR(A9="",L9="",K9=""),"",IF(NETWORKDAYS.INTL(K9,L9,"0000011")-1&lt;=2,"✅ ملتزم","❌ غير ملتزم"))</f>
        <v>✅ ملتزم</v>
      </c>
      <c r="N9" s="280"/>
      <c r="O9" s="280"/>
    </row>
    <row r="10" spans="1:15">
      <c r="A10" s="112" cm="1">
        <f t="array" ref="A10">IFERROR(SMALL(IF(البيانات!$AS$2:$AS$265="مستشفى صامطة العام",البيانات!$AT$2:$AT$265),8),"")</f>
        <v>105</v>
      </c>
      <c r="B10" s="112" t="str" cm="1">
        <f t="array" ref="B10">IF(A10="","",INDEX(البيانات!$V$2:$V$265,A10))</f>
        <v>1044609798</v>
      </c>
      <c r="C10" s="112" t="str" cm="1">
        <f t="array" ref="C10">IF(A10="","",INDEX(البيانات!$U$2:$U$265,A10))</f>
        <v>Eman ali hassan sawadi</v>
      </c>
      <c r="D10" s="112" cm="1">
        <f t="array" ref="D10">IF(A10="","",INDEX(البيانات!$T$2:$T$265,A10))</f>
        <v>41</v>
      </c>
      <c r="E10" s="112" t="str" cm="1">
        <f t="array" ref="E10">IF(A10="","",INDEX(البيانات!$F$2:$F$265,A10))</f>
        <v>القطاع الجنوبي</v>
      </c>
      <c r="F10" s="112" t="str" cm="1">
        <f t="array" ref="F10">IF(A10="","",INDEX(البيانات!$Y$2:$Y$265,A10))</f>
        <v>0558560388</v>
      </c>
      <c r="G10" s="280"/>
      <c r="H10" s="280"/>
      <c r="I10" s="284"/>
      <c r="J10" s="286"/>
      <c r="K10" s="181" cm="1">
        <f t="array" ref="K10">IF(A10="","",INDEX(البيانات!$P$2:$P$265,A10))</f>
        <v>46112</v>
      </c>
      <c r="L10" s="282" t="str" cm="1">
        <f t="array" ref="L10">IF(A10="","",INDEX(البيانات!$AI$2:$AI$265,A10))</f>
        <v>6/4/2026</v>
      </c>
      <c r="M10" s="109" t="str">
        <f>IF(OR(A10="",L10="",K10=""),"",IF(NETWORKDAYS.INTL(K10,L10,"0000011")-1&lt;=2,"✅ ملتزم","❌ غير ملتزم"))</f>
        <v>❌ غير ملتزم</v>
      </c>
      <c r="N10" s="280"/>
      <c r="O10" s="280"/>
    </row>
    <row r="11" spans="1:15">
      <c r="A11" s="182" cm="1">
        <f t="array" ref="A11">IFERROR(SMALL(IF(البيانات!$AS$2:$AS$265="مستشفى صامطة العام",البيانات!$AT$2:$AT$265),9),"")</f>
        <v>121</v>
      </c>
      <c r="B11" s="182" t="str" cm="1">
        <f t="array" ref="B11">IF(A11="","",INDEX(البيانات!$V$2:$V$265,A11))</f>
        <v>1115449041</v>
      </c>
      <c r="C11" s="182" t="str" cm="1">
        <f t="array" ref="C11">IF(A11="","",INDEX(البيانات!$U$2:$U$265,A11))</f>
        <v>BASMAH ABED ABDULLAH MASMALI</v>
      </c>
      <c r="D11" s="182" cm="1">
        <f t="array" ref="D11">IF(A11="","",INDEX(البيانات!$T$2:$T$265,A11))</f>
        <v>24</v>
      </c>
      <c r="E11" s="182" t="str" cm="1">
        <f t="array" ref="E11">IF(A11="","",INDEX(البيانات!$F$2:$F$265,A11))</f>
        <v>القطاع الأوسط Middle Sector</v>
      </c>
      <c r="F11" s="182" t="str" cm="1">
        <f t="array" ref="F11">IF(A11="","",INDEX(البيانات!$Y$2:$Y$265,A11))</f>
        <v>0535940921</v>
      </c>
      <c r="G11" s="281"/>
      <c r="H11" s="281"/>
      <c r="I11" s="285"/>
      <c r="J11" s="286"/>
      <c r="K11" s="184" cm="1">
        <f t="array" ref="K11">IF(A11="","",INDEX(البيانات!$P$2:$P$265,A11))</f>
        <v>46117</v>
      </c>
      <c r="L11" s="283" cm="1">
        <f t="array" ref="L11">IF(A11="","",INDEX(البيانات!$AI$2:$AI$265,A11))</f>
        <v>46121</v>
      </c>
      <c r="M11" s="183" t="str">
        <f>IF(OR(A11="",L11="",K11=""),"",IF(NETWORKDAYS.INTL(K11,L11,"0000011")-1&lt;=2,"✅ ملتزم","❌ غير ملتزم"))</f>
        <v>❌ غير ملتزم</v>
      </c>
      <c r="N11" s="280"/>
      <c r="O11" s="280"/>
    </row>
    <row r="12" spans="1:15">
      <c r="A12" s="112" cm="1">
        <f t="array" ref="A12">IFERROR(SMALL(IF(البيانات!$AS$2:$AS$265="مستشفى صامطة العام",البيانات!$AT$2:$AT$265),10),"")</f>
        <v>125</v>
      </c>
      <c r="B12" s="112" t="str" cm="1">
        <f t="array" ref="B12">IF(A12="","",INDEX(البيانات!$V$2:$V$265,A12))</f>
        <v>1084038429</v>
      </c>
      <c r="C12" s="112" t="str" cm="1">
        <f t="array" ref="C12">IF(A12="","",INDEX(البيانات!$U$2:$U$265,A12))</f>
        <v>FATIMAH MOHAMMED HAMAD HAKAMI</v>
      </c>
      <c r="D12" s="112" cm="1">
        <f t="array" ref="D12">IF(A12="","",INDEX(البيانات!$T$2:$T$265,A12))</f>
        <v>42</v>
      </c>
      <c r="E12" s="112" t="str" cm="1">
        <f t="array" ref="E12">IF(A12="","",INDEX(البيانات!$F$2:$F$265,A12))</f>
        <v>القطاع المركزي Central Sector</v>
      </c>
      <c r="F12" s="112" t="str" cm="1">
        <f t="array" ref="F12">IF(A12="","",INDEX(البيانات!$Y$2:$Y$265,A12))</f>
        <v>0554981502</v>
      </c>
      <c r="G12" s="280"/>
      <c r="H12" s="280"/>
      <c r="I12" s="284"/>
      <c r="J12" s="286"/>
      <c r="K12" s="181" cm="1">
        <f t="array" ref="K12">IF(A12="","",INDEX(البيانات!$P$2:$P$265,A12))</f>
        <v>46117</v>
      </c>
      <c r="L12" s="282" cm="1">
        <f t="array" ref="L12">IF(A12="","",INDEX(البيانات!$AI$2:$AI$265,A12))</f>
        <v>46121</v>
      </c>
      <c r="M12" s="109" t="str">
        <f>IF(OR(A12="",L12="",K12=""),"",IF(NETWORKDAYS.INTL(K12,L12,"0000011")-1&lt;=2,"✅ ملتزم","❌ غير ملتزم"))</f>
        <v>❌ غير ملتزم</v>
      </c>
      <c r="N12" s="280"/>
      <c r="O12" s="280"/>
    </row>
    <row r="13" spans="1:15">
      <c r="A13" s="182" cm="1">
        <f t="array" ref="A13">IFERROR(SMALL(IF(البيانات!$AS$2:$AS$265="مستشفى صامطة العام",البيانات!$AT$2:$AT$265),11),"")</f>
        <v>148</v>
      </c>
      <c r="B13" s="182" t="str" cm="1">
        <f t="array" ref="B13">IF(A13="","",INDEX(البيانات!$V$2:$V$265,A13))</f>
        <v>2473991921</v>
      </c>
      <c r="C13" s="182" t="str" cm="1">
        <f t="array" ref="C13">IF(A13="","",INDEX(البيانات!$U$2:$U$265,A13))</f>
        <v>SALMA YAHYA ALI AHMED MOHAMMED</v>
      </c>
      <c r="D13" s="182" t="str" cm="1">
        <f t="array" ref="D13">IF(A13="","",INDEX(البيانات!$T$2:$T$265,A13))</f>
        <v>38</v>
      </c>
      <c r="E13" s="182" t="str" cm="1">
        <f t="array" ref="E13">IF(A13="","",INDEX(البيانات!$F$2:$F$265,A13))</f>
        <v>Central Sectorالقطاع المركزي</v>
      </c>
      <c r="F13" s="182" t="str" cm="1">
        <f t="array" ref="F13">IF(A13="","",INDEX(البيانات!$Y$2:$Y$265,A13))</f>
        <v>0507187030</v>
      </c>
      <c r="G13" s="281"/>
      <c r="H13" s="281"/>
      <c r="I13" s="285"/>
      <c r="J13" s="286"/>
      <c r="K13" s="184" cm="1">
        <f t="array" ref="K13">IF(A13="","",INDEX(البيانات!$P$2:$P$265,A13))</f>
        <v>46124</v>
      </c>
      <c r="L13" s="283" cm="1">
        <f t="array" ref="L13">IF(A13="","",INDEX(البيانات!$AI$2:$AI$265,A13))</f>
        <v>46133</v>
      </c>
      <c r="M13" s="183" t="str">
        <f>IF(OR(A13="",L13="",K13=""),"",IF(NETWORKDAYS.INTL(K13,L13,"0000011")-1&lt;=2,"✅ ملتزم","❌ غير ملتزم"))</f>
        <v>❌ غير ملتزم</v>
      </c>
      <c r="N13" s="280"/>
      <c r="O13" s="280"/>
    </row>
    <row r="14" spans="1:15">
      <c r="A14" s="112" cm="1">
        <f t="array" ref="A14">IFERROR(SMALL(IF(البيانات!$AS$2:$AS$265="مستشفى صامطة العام",البيانات!$AT$2:$AT$265),12),"")</f>
        <v>150</v>
      </c>
      <c r="B14" s="112" t="str" cm="1">
        <f t="array" ref="B14">IF(A14="","",INDEX(البيانات!$V$2:$V$265,A14))</f>
        <v>1067796324</v>
      </c>
      <c r="C14" s="112" t="str" cm="1">
        <f t="array" ref="C14">IF(A14="","",INDEX(البيانات!$U$2:$U$265,A14))</f>
        <v>نورة عبدة محمد القاضي</v>
      </c>
      <c r="D14" s="112" t="str" cm="1">
        <f t="array" ref="D14">IF(A14="","",INDEX(البيانات!$T$2:$T$265,A14))</f>
        <v>36</v>
      </c>
      <c r="E14" s="112" t="str" cm="1">
        <f t="array" ref="E14">IF(A14="","",INDEX(البيانات!$F$2:$F$265,A14))</f>
        <v>Southern Sector القطاع الجنوبي</v>
      </c>
      <c r="F14" s="112" t="str" cm="1">
        <f t="array" ref="F14">IF(A14="","",INDEX(البيانات!$Y$2:$Y$265,A14))</f>
        <v>0509158040</v>
      </c>
      <c r="G14" s="280"/>
      <c r="H14" s="280"/>
      <c r="I14" s="284"/>
      <c r="J14" s="286"/>
      <c r="K14" s="181" cm="1">
        <f t="array" ref="K14">IF(A14="","",INDEX(البيانات!$P$2:$P$265,A14))</f>
        <v>46124</v>
      </c>
      <c r="L14" s="282" cm="1">
        <f t="array" ref="L14">IF(A14="","",INDEX(البيانات!$AI$2:$AI$265,A14))</f>
        <v>46131</v>
      </c>
      <c r="M14" s="109" t="str">
        <f>IF(OR(A14="",L14="",K14=""),"",IF(NETWORKDAYS.INTL(K14,L14,"0000011")-1&lt;=2,"✅ ملتزم","❌ غير ملتزم"))</f>
        <v>❌ غير ملتزم</v>
      </c>
      <c r="N14" s="280"/>
      <c r="O14" s="280"/>
    </row>
    <row r="15" spans="1:15">
      <c r="A15" s="182" cm="1">
        <f t="array" ref="A15">IFERROR(SMALL(IF(البيانات!$AS$2:$AS$265="مستشفى صامطة العام",البيانات!$AT$2:$AT$265),13),"")</f>
        <v>151</v>
      </c>
      <c r="B15" s="182" t="str" cm="1">
        <f t="array" ref="B15">IF(A15="","",INDEX(البيانات!$V$2:$V$265,A15))</f>
        <v>1128328653</v>
      </c>
      <c r="C15" s="182" t="str" cm="1">
        <f t="array" ref="C15">IF(A15="","",INDEX(البيانات!$U$2:$U$265,A15))</f>
        <v>صفيه محمد جابر هزازى</v>
      </c>
      <c r="D15" s="182" t="str" cm="1">
        <f t="array" ref="D15">IF(A15="","",INDEX(البيانات!$T$2:$T$265,A15))</f>
        <v>42</v>
      </c>
      <c r="E15" s="182" t="str" cm="1">
        <f t="array" ref="E15">IF(A15="","",INDEX(البيانات!$F$2:$F$265,A15))</f>
        <v>Southern Sector القطاع الجنوبي</v>
      </c>
      <c r="F15" s="182" t="str" cm="1">
        <f t="array" ref="F15">IF(A15="","",INDEX(البيانات!$Y$2:$Y$265,A15))</f>
        <v>0504938806</v>
      </c>
      <c r="G15" s="281"/>
      <c r="H15" s="281"/>
      <c r="I15" s="285"/>
      <c r="J15" s="286"/>
      <c r="K15" s="184" cm="1">
        <f t="array" ref="K15">IF(A15="","",INDEX(البيانات!$P$2:$P$265,A15))</f>
        <v>46124</v>
      </c>
      <c r="L15" s="283" cm="1">
        <f t="array" ref="L15">IF(A15="","",INDEX(البيانات!$AI$2:$AI$265,A15))</f>
        <v>46140</v>
      </c>
      <c r="M15" s="183" t="str">
        <f>IF(OR(A15="",L15="",K15=""),"",IF(NETWORKDAYS.INTL(K15,L15,"0000011")-1&lt;=2,"✅ ملتزم","❌ غير ملتزم"))</f>
        <v>❌ غير ملتزم</v>
      </c>
      <c r="N15" s="280"/>
      <c r="O15" s="280"/>
    </row>
    <row r="16" spans="1:15">
      <c r="A16" s="112" cm="1">
        <f t="array" ref="A16">IFERROR(SMALL(IF(البيانات!$AS$2:$AS$265="مستشفى صامطة العام",البيانات!$AT$2:$AT$265),14),"")</f>
        <v>152</v>
      </c>
      <c r="B16" s="112" t="str" cm="1">
        <f t="array" ref="B16">IF(A16="","",INDEX(البيانات!$V$2:$V$265,A16))</f>
        <v>1087731228</v>
      </c>
      <c r="C16" s="112" t="str" cm="1">
        <f t="array" ref="C16">IF(A16="","",INDEX(البيانات!$U$2:$U$265,A16))</f>
        <v>وفاء فيصل عبدالله قيسي</v>
      </c>
      <c r="D16" s="112" t="str" cm="1">
        <f t="array" ref="D16">IF(A16="","",INDEX(البيانات!$T$2:$T$265,A16))</f>
        <v>31</v>
      </c>
      <c r="E16" s="112" t="str" cm="1">
        <f t="array" ref="E16">IF(A16="","",INDEX(البيانات!$F$2:$F$265,A16))</f>
        <v>Central Sectorالقطاع المركزي</v>
      </c>
      <c r="F16" s="112" t="str" cm="1">
        <f t="array" ref="F16">IF(A16="","",INDEX(البيانات!$Y$2:$Y$265,A16))</f>
        <v>0509047308</v>
      </c>
      <c r="G16" s="280"/>
      <c r="H16" s="280"/>
      <c r="I16" s="284"/>
      <c r="J16" s="286"/>
      <c r="K16" s="181" cm="1">
        <f t="array" ref="K16">IF(A16="","",INDEX(البيانات!$P$2:$P$265,A16))</f>
        <v>46124</v>
      </c>
      <c r="L16" s="282" cm="1">
        <f t="array" ref="L16">IF(A16="","",INDEX(البيانات!$AI$2:$AI$265,A16))</f>
        <v>46132</v>
      </c>
      <c r="M16" s="109" t="str">
        <f>IF(OR(A16="",L16="",K16=""),"",IF(NETWORKDAYS.INTL(K16,L16,"0000011")-1&lt;=2,"✅ ملتزم","❌ غير ملتزم"))</f>
        <v>❌ غير ملتزم</v>
      </c>
      <c r="N16" s="280"/>
      <c r="O16" s="280"/>
    </row>
    <row r="17" spans="1:15">
      <c r="A17" s="182" cm="1">
        <f t="array" ref="A17">IFERROR(SMALL(IF(البيانات!$AS$2:$AS$265="مستشفى صامطة العام",البيانات!$AT$2:$AT$265),15),"")</f>
        <v>153</v>
      </c>
      <c r="B17" s="182" t="str" cm="1">
        <f t="array" ref="B17">IF(A17="","",INDEX(البيانات!$V$2:$V$265,A17))</f>
        <v>1067852978</v>
      </c>
      <c r="C17" s="182" t="str" cm="1">
        <f t="array" ref="C17">IF(A17="","",INDEX(البيانات!$U$2:$U$265,A17))</f>
        <v>Amani jubran sahly</v>
      </c>
      <c r="D17" s="182" t="str" cm="1">
        <f t="array" ref="D17">IF(A17="","",INDEX(البيانات!$T$2:$T$265,A17))</f>
        <v>38</v>
      </c>
      <c r="E17" s="182" t="str" cm="1">
        <f t="array" ref="E17">IF(A17="","",INDEX(البيانات!$F$2:$F$265,A17))</f>
        <v>Southern Sector القطاع الجنوبي</v>
      </c>
      <c r="F17" s="182" t="str" cm="1">
        <f t="array" ref="F17">IF(A17="","",INDEX(البيانات!$Y$2:$Y$265,A17))</f>
        <v>0554817417</v>
      </c>
      <c r="G17" s="281"/>
      <c r="H17" s="281"/>
      <c r="I17" s="285"/>
      <c r="J17" s="286"/>
      <c r="K17" s="184" cm="1">
        <f t="array" ref="K17">IF(A17="","",INDEX(البيانات!$P$2:$P$265,A17))</f>
        <v>46124</v>
      </c>
      <c r="L17" s="283" cm="1">
        <f t="array" ref="L17">IF(A17="","",INDEX(البيانات!$AI$2:$AI$265,A17))</f>
        <v>46133</v>
      </c>
      <c r="M17" s="183" t="str">
        <f>IF(OR(A17="",L17="",K17=""),"",IF(NETWORKDAYS.INTL(K17,L17,"0000011")-1&lt;=2,"✅ ملتزم","❌ غير ملتزم"))</f>
        <v>❌ غير ملتزم</v>
      </c>
      <c r="N17" s="280"/>
      <c r="O17" s="280"/>
    </row>
    <row r="18" spans="1:15">
      <c r="A18" s="112" cm="1">
        <f t="array" ref="A18">IFERROR(SMALL(IF(البيانات!$AS$2:$AS$265="مستشفى صامطة العام",البيانات!$AT$2:$AT$265),16),"")</f>
        <v>160</v>
      </c>
      <c r="B18" s="112" t="str" cm="1">
        <f t="array" ref="B18">IF(A18="","",INDEX(البيانات!$V$2:$V$265,A18))</f>
        <v>107974781</v>
      </c>
      <c r="C18" s="112" t="str" cm="1">
        <f t="array" ref="C18">IF(A18="","",INDEX(البيانات!$U$2:$U$265,A18))</f>
        <v>زينب علي عيسي قيسي</v>
      </c>
      <c r="D18" s="112" t="str" cm="1">
        <f t="array" ref="D18">IF(A18="","",INDEX(البيانات!$T$2:$T$265,A18))</f>
        <v>33</v>
      </c>
      <c r="E18" s="112" t="str" cm="1">
        <f t="array" ref="E18">IF(A18="","",INDEX(البيانات!$F$2:$F$265,A18))</f>
        <v>Southern Sector القطاع الجنوبي</v>
      </c>
      <c r="F18" s="112" t="str" cm="1">
        <f t="array" ref="F18">IF(A18="","",INDEX(البيانات!$Y$2:$Y$265,A18))</f>
        <v>0552660916</v>
      </c>
      <c r="G18" s="280"/>
      <c r="H18" s="280"/>
      <c r="I18" s="284"/>
      <c r="J18" s="286"/>
      <c r="K18" s="181" cm="1">
        <f t="array" ref="K18">IF(A18="","",INDEX(البيانات!$P$2:$P$265,A18))</f>
        <v>46126</v>
      </c>
      <c r="L18" s="282" cm="1">
        <f t="array" ref="L18">IF(A18="","",INDEX(البيانات!$AI$2:$AI$265,A18))</f>
        <v>46131</v>
      </c>
      <c r="M18" s="109" t="str">
        <f>IF(OR(A18="",L18="",K18=""),"",IF(NETWORKDAYS.INTL(K18,L18,"0000011")-1&lt;=2,"✅ ملتزم","❌ غير ملتزم"))</f>
        <v>❌ غير ملتزم</v>
      </c>
      <c r="N18" s="280"/>
      <c r="O18" s="280"/>
    </row>
    <row r="19" spans="1:15">
      <c r="A19" s="182" cm="1">
        <f t="array" ref="A19">IFERROR(SMALL(IF(البيانات!$AS$2:$AS$265="مستشفى صامطة العام",البيانات!$AT$2:$AT$265),17),"")</f>
        <v>165</v>
      </c>
      <c r="B19" s="182" t="str" cm="1">
        <f t="array" ref="B19">IF(A19="","",INDEX(البيانات!$V$2:$V$265,A19))</f>
        <v>2055979120</v>
      </c>
      <c r="C19" s="182" t="str" cm="1">
        <f t="array" ref="C19">IF(A19="","",INDEX(البيانات!$U$2:$U$265,A19))</f>
        <v>TAYSIR HASSAN ABDU SIDDIQ</v>
      </c>
      <c r="D19" s="182" t="str" cm="1">
        <f t="array" ref="D19">IF(A19="","",INDEX(البيانات!$T$2:$T$265,A19))</f>
        <v>42</v>
      </c>
      <c r="E19" s="182" t="str" cm="1">
        <f t="array" ref="E19">IF(A19="","",INDEX(البيانات!$F$2:$F$265,A19))</f>
        <v>Central Sectorالقطاع المركزي</v>
      </c>
      <c r="F19" s="182" t="str" cm="1">
        <f t="array" ref="F19">IF(A19="","",INDEX(البيانات!$Y$2:$Y$265,A19))</f>
        <v>0598947792</v>
      </c>
      <c r="G19" s="281"/>
      <c r="H19" s="281"/>
      <c r="I19" s="285"/>
      <c r="J19" s="286"/>
      <c r="K19" s="184" cm="1">
        <f t="array" ref="K19">IF(A19="","",INDEX(البيانات!$P$2:$P$265,A19))</f>
        <v>46127</v>
      </c>
      <c r="L19" s="283" cm="1">
        <f t="array" ref="L19">IF(A19="","",INDEX(البيانات!$AI$2:$AI$265,A19))</f>
        <v>46132</v>
      </c>
      <c r="M19" s="183" t="str">
        <f>IF(OR(A19="",L19="",K19=""),"",IF(NETWORKDAYS.INTL(K19,L19,"0000011")-1&lt;=2,"✅ ملتزم","❌ غير ملتزم"))</f>
        <v>❌ غير ملتزم</v>
      </c>
      <c r="N19" s="280"/>
      <c r="O19" s="280"/>
    </row>
    <row r="20" spans="1:15">
      <c r="A20" s="112" cm="1">
        <f t="array" ref="A20">IFERROR(SMALL(IF(البيانات!$AS$2:$AS$265="مستشفى صامطة العام",البيانات!$AT$2:$AT$265),18),"")</f>
        <v>177</v>
      </c>
      <c r="B20" s="112" t="str" cm="1">
        <f t="array" ref="B20">IF(A20="","",INDEX(البيانات!$V$2:$V$265,A20))</f>
        <v>2495492387</v>
      </c>
      <c r="C20" s="112" t="str" cm="1">
        <f t="array" ref="C20">IF(A20="","",INDEX(البيانات!$U$2:$U$265,A20))</f>
        <v>عائشة محمد عبدالله حدادي</v>
      </c>
      <c r="D20" s="112" t="str" cm="1">
        <f t="array" ref="D20">IF(A20="","",INDEX(البيانات!$T$2:$T$265,A20))</f>
        <v>34</v>
      </c>
      <c r="E20" s="112" t="str" cm="1">
        <f t="array" ref="E20">IF(A20="","",INDEX(البيانات!$F$2:$F$265,A20))</f>
        <v xml:space="preserve">Southern Sector القطاع الجنوبي				</v>
      </c>
      <c r="F20" s="112" t="str" cm="1">
        <f t="array" ref="F20">IF(A20="","",INDEX(البيانات!$Y$2:$Y$265,A20))</f>
        <v>0503913807</v>
      </c>
      <c r="G20" s="280"/>
      <c r="H20" s="280"/>
      <c r="I20" s="284"/>
      <c r="J20" s="286"/>
      <c r="K20" s="181" cm="1">
        <f t="array" ref="K20">IF(A20="","",INDEX(البيانات!$P$2:$P$265,A20))</f>
        <v>46128</v>
      </c>
      <c r="L20" s="282" cm="1">
        <f t="array" ref="L20">IF(A20="","",INDEX(البيانات!$AI$2:$AI$265,A20))</f>
        <v>46133</v>
      </c>
      <c r="M20" s="109" t="str">
        <f>IF(OR(A20="",L20="",K20=""),"",IF(NETWORKDAYS.INTL(K20,L20,"0000011")-1&lt;=2,"✅ ملتزم","❌ غير ملتزم"))</f>
        <v>❌ غير ملتزم</v>
      </c>
      <c r="N20" s="280"/>
      <c r="O20" s="280"/>
    </row>
    <row r="21" spans="1:15">
      <c r="A21" s="182" cm="1">
        <f t="array" ref="A21">IFERROR(SMALL(IF(البيانات!$AS$2:$AS$265="مستشفى صامطة العام",البيانات!$AT$2:$AT$265),19),"")</f>
        <v>179</v>
      </c>
      <c r="B21" s="182" t="str" cm="1">
        <f t="array" ref="B21">IF(A21="","",INDEX(البيانات!$V$2:$V$265,A21))</f>
        <v>1107083220</v>
      </c>
      <c r="C21" s="182" t="str" cm="1">
        <f t="array" ref="C21">IF(A21="","",INDEX(البيانات!$U$2:$U$265,A21))</f>
        <v>ناديه علي احمد مدخلي</v>
      </c>
      <c r="D21" s="182" cm="1">
        <f t="array" ref="D21">IF(A21="","",INDEX(البيانات!$T$2:$T$265,A21))</f>
        <v>27</v>
      </c>
      <c r="E21" s="182" t="str" cm="1">
        <f t="array" ref="E21">IF(A21="","",INDEX(البيانات!$F$2:$F$265,A21))</f>
        <v xml:space="preserve">Southern Sector القطاع الجنوبي				</v>
      </c>
      <c r="F21" s="182" t="str" cm="1">
        <f t="array" ref="F21">IF(A21="","",INDEX(البيانات!$Y$2:$Y$265,A21))</f>
        <v>0556632076</v>
      </c>
      <c r="G21" s="281"/>
      <c r="H21" s="281"/>
      <c r="I21" s="285"/>
      <c r="J21" s="286"/>
      <c r="K21" s="184" cm="1">
        <f t="array" ref="K21">IF(A21="","",INDEX(البيانات!$P$2:$P$265,A21))</f>
        <v>46126</v>
      </c>
      <c r="L21" s="283" cm="1">
        <f t="array" ref="L21">IF(A21="","",INDEX(البيانات!$AI$2:$AI$265,A21))</f>
        <v>46133</v>
      </c>
      <c r="M21" s="183" t="str">
        <f>IF(OR(A21="",L21="",K21=""),"",IF(NETWORKDAYS.INTL(K21,L21,"0000011")-1&lt;=2,"✅ ملتزم","❌ غير ملتزم"))</f>
        <v>❌ غير ملتزم</v>
      </c>
      <c r="N21" s="280"/>
      <c r="O21" s="280"/>
    </row>
    <row r="22" spans="1:15">
      <c r="A22" s="112" cm="1">
        <f t="array" ref="A22">IFERROR(SMALL(IF(البيانات!$AS$2:$AS$265="مستشفى صامطة العام",البيانات!$AT$2:$AT$265),20),"")</f>
        <v>184</v>
      </c>
      <c r="B22" s="112" t="str" cm="1">
        <f t="array" ref="B22">IF(A22="","",INDEX(البيانات!$V$2:$V$265,A22))</f>
        <v>1079140610</v>
      </c>
      <c r="C22" s="112" t="str" cm="1">
        <f t="array" ref="C22">IF(A22="","",INDEX(البيانات!$U$2:$U$265,A22))</f>
        <v>عزيزة احمد مساوي  شوك</v>
      </c>
      <c r="D22" s="112" cm="1">
        <f t="array" ref="D22">IF(A22="","",INDEX(البيانات!$T$2:$T$265,A22))</f>
        <v>38</v>
      </c>
      <c r="E22" s="112" t="str" cm="1">
        <f t="array" ref="E22">IF(A22="","",INDEX(البيانات!$F$2:$F$265,A22))</f>
        <v xml:space="preserve">Southern Sector القطاع الجنوبي				</v>
      </c>
      <c r="F22" s="112" t="str" cm="1">
        <f t="array" ref="F22">IF(A22="","",INDEX(البيانات!$Y$2:$Y$265,A22))</f>
        <v>0550059938</v>
      </c>
      <c r="G22" s="280"/>
      <c r="H22" s="280"/>
      <c r="I22" s="284"/>
      <c r="J22" s="286"/>
      <c r="K22" s="181" cm="1">
        <f t="array" ref="K22">IF(A22="","",INDEX(البيانات!$P$2:$P$265,A22))</f>
        <v>46131</v>
      </c>
      <c r="L22" s="282" cm="1">
        <f t="array" ref="L22">IF(A22="","",INDEX(البيانات!$AI$2:$AI$265,A22))</f>
        <v>46138</v>
      </c>
      <c r="M22" s="109" t="str">
        <f>IF(OR(A22="",L22="",K22=""),"",IF(NETWORKDAYS.INTL(K22,L22,"0000011")-1&lt;=2,"✅ ملتزم","❌ غير ملتزم"))</f>
        <v>❌ غير ملتزم</v>
      </c>
      <c r="N22" s="280"/>
      <c r="O22" s="280"/>
    </row>
    <row r="23" spans="1:15">
      <c r="A23" s="182" cm="1">
        <f t="array" ref="A23">IFERROR(SMALL(IF(البيانات!$AS$2:$AS$265="مستشفى صامطة العام",البيانات!$AT$2:$AT$265),21),"")</f>
        <v>192</v>
      </c>
      <c r="B23" s="182" t="str" cm="1">
        <f t="array" ref="B23">IF(A23="","",INDEX(البيانات!$V$2:$V$265,A23))</f>
        <v>1072225616</v>
      </c>
      <c r="C23" s="182" t="str" cm="1">
        <f t="array" ref="C23">IF(A23="","",INDEX(البيانات!$U$2:$U$265,A23))</f>
        <v xml:space="preserve">Walla abdu awajy </v>
      </c>
      <c r="D23" s="182" cm="1">
        <f t="array" ref="D23">IF(A23="","",INDEX(البيانات!$T$2:$T$265,A23))</f>
        <v>34</v>
      </c>
      <c r="E23" s="182" t="str" cm="1">
        <f t="array" ref="E23">IF(A23="","",INDEX(البيانات!$F$2:$F$265,A23))</f>
        <v xml:space="preserve">Southern Sector القطاع الجنوبي				</v>
      </c>
      <c r="F23" s="182" t="str" cm="1">
        <f t="array" ref="F23">IF(A23="","",INDEX(البيانات!$Y$2:$Y$265,A23))</f>
        <v>0549660328</v>
      </c>
      <c r="G23" s="281"/>
      <c r="H23" s="281"/>
      <c r="I23" s="285"/>
      <c r="J23" s="286"/>
      <c r="K23" s="184" cm="1">
        <f t="array" ref="K23">IF(A23="","",INDEX(البيانات!$P$2:$P$265,A23))</f>
        <v>46133</v>
      </c>
      <c r="L23" s="283" cm="1">
        <f t="array" ref="L23">IF(A23="","",INDEX(البيانات!$AI$2:$AI$265,A23))</f>
        <v>46134</v>
      </c>
      <c r="M23" s="183" t="str">
        <f>IF(OR(A23="",L23="",K23=""),"",IF(NETWORKDAYS.INTL(K23,L23,"0000011")-1&lt;=2,"✅ ملتزم","❌ غير ملتزم"))</f>
        <v>✅ ملتزم</v>
      </c>
      <c r="N23" s="280"/>
      <c r="O23" s="280"/>
    </row>
    <row r="24" spans="1:15">
      <c r="A24" s="112" cm="1">
        <f t="array" ref="A24">IFERROR(SMALL(IF(البيانات!$AS$2:$AS$265="مستشفى صامطة العام",البيانات!$AT$2:$AT$265),22),"")</f>
        <v>195</v>
      </c>
      <c r="B24" s="112" t="str" cm="1">
        <f t="array" ref="B24">IF(A24="","",INDEX(البيانات!$V$2:$V$265,A24))</f>
        <v>1077583548</v>
      </c>
      <c r="C24" s="112" t="str" cm="1">
        <f t="array" ref="C24">IF(A24="","",INDEX(البيانات!$U$2:$U$265,A24))</f>
        <v>حنان احمد محمد عواجي</v>
      </c>
      <c r="D24" s="112" cm="1">
        <f t="array" ref="D24">IF(A24="","",INDEX(البيانات!$T$2:$T$265,A24))</f>
        <v>32</v>
      </c>
      <c r="E24" s="112" t="str" cm="1">
        <f t="array" ref="E24">IF(A24="","",INDEX(البيانات!$F$2:$F$265,A24))</f>
        <v xml:space="preserve">Southern Sector القطاع الجنوبي				</v>
      </c>
      <c r="F24" s="112" t="str" cm="1">
        <f t="array" ref="F24">IF(A24="","",INDEX(البيانات!$Y$2:$Y$265,A24))</f>
        <v>0535826618</v>
      </c>
      <c r="G24" s="280"/>
      <c r="H24" s="280"/>
      <c r="I24" s="284"/>
      <c r="J24" s="286"/>
      <c r="K24" s="181" cm="1">
        <f t="array" ref="K24">IF(A24="","",INDEX(البيانات!$P$2:$P$265,A24))</f>
        <v>46133</v>
      </c>
      <c r="L24" s="282" cm="1">
        <f t="array" ref="L24">IF(A24="","",INDEX(البيانات!$AI$2:$AI$265,A24))</f>
        <v>46138</v>
      </c>
      <c r="M24" s="109" t="str">
        <f>IF(OR(A24="",L24="",K24=""),"",IF(NETWORKDAYS.INTL(K24,L24,"0000011")-1&lt;=2,"✅ ملتزم","❌ غير ملتزم"))</f>
        <v>❌ غير ملتزم</v>
      </c>
      <c r="N24" s="280"/>
      <c r="O24" s="280"/>
    </row>
    <row r="25" spans="1:15">
      <c r="A25" s="182" cm="1">
        <f t="array" ref="A25">IFERROR(SMALL(IF(البيانات!$AS$2:$AS$265="مستشفى صامطة العام",البيانات!$AT$2:$AT$265),23),"")</f>
        <v>218</v>
      </c>
      <c r="B25" s="182" t="str" cm="1">
        <f t="array" ref="B25">IF(A25="","",INDEX(البيانات!$V$2:$V$265,A25))</f>
        <v>1067878585</v>
      </c>
      <c r="C25" s="182" t="str" cm="1">
        <f t="array" ref="C25">IF(A25="","",INDEX(البيانات!$U$2:$U$265,A25))</f>
        <v>هاشميه الحسن محمد مجرشي</v>
      </c>
      <c r="D25" s="182" cm="1">
        <f t="array" ref="D25">IF(A25="","",INDEX(البيانات!$T$2:$T$265,A25))</f>
        <v>42</v>
      </c>
      <c r="E25" s="182" t="str" cm="1">
        <f t="array" ref="E25">IF(A25="","",INDEX(البيانات!$F$2:$F$265,A25))</f>
        <v xml:space="preserve">Southern Sector القطاع الجنوبي				</v>
      </c>
      <c r="F25" s="182" t="str" cm="1">
        <f t="array" ref="F25">IF(A25="","",INDEX(البيانات!$Y$2:$Y$265,A25))</f>
        <v>0504560141</v>
      </c>
      <c r="G25" s="281"/>
      <c r="H25" s="281"/>
      <c r="I25" s="285"/>
      <c r="J25" s="286"/>
      <c r="K25" s="184" cm="1">
        <f t="array" ref="K25">IF(A25="","",INDEX(البيانات!$P$2:$P$265,A25))</f>
        <v>46140</v>
      </c>
      <c r="L25" s="283" cm="1">
        <f t="array" ref="L25">IF(A25="","",INDEX(البيانات!$AI$2:$AI$265,A25))</f>
        <v>46141</v>
      </c>
      <c r="M25" s="183" t="str">
        <f>IF(OR(A25="",L25="",K25=""),"",IF(NETWORKDAYS.INTL(K25,L25,"0000011")-1&lt;=2,"✅ ملتزم","❌ غير ملتزم"))</f>
        <v>✅ ملتزم</v>
      </c>
      <c r="N25" s="280"/>
      <c r="O25" s="280"/>
    </row>
    <row r="26" spans="1:15">
      <c r="A26" s="112" cm="1">
        <f t="array" ref="A26">IFERROR(SMALL(IF(البيانات!$AS$2:$AS$265="مستشفى صامطة العام",البيانات!$AT$2:$AT$265),24),"")</f>
        <v>228</v>
      </c>
      <c r="B26" s="112" t="str" cm="1">
        <f t="array" ref="B26">IF(A26="","",INDEX(البيانات!$V$2:$V$265,A26))</f>
        <v>2620053716</v>
      </c>
      <c r="C26" s="112" t="str" cm="1">
        <f t="array" ref="C26">IF(A26="","",INDEX(البيانات!$U$2:$U$265,A26))</f>
        <v>حاجة احمد محمد حدادي</v>
      </c>
      <c r="D26" s="112" cm="1">
        <f t="array" ref="D26">IF(A26="","",INDEX(البيانات!$T$2:$T$265,A26))</f>
        <v>30</v>
      </c>
      <c r="E26" s="112" t="str" cm="1">
        <f t="array" ref="E26">IF(A26="","",INDEX(البيانات!$F$2:$F$265,A26))</f>
        <v xml:space="preserve">Southern Sector القطاع الجنوبي				</v>
      </c>
      <c r="F26" s="112" t="str" cm="1">
        <f t="array" ref="F26">IF(A26="","",INDEX(البيانات!$Y$2:$Y$265,A26))</f>
        <v>0553924201</v>
      </c>
      <c r="G26" s="280"/>
      <c r="H26" s="280"/>
      <c r="I26" s="284"/>
      <c r="J26" s="286"/>
      <c r="K26" s="181" cm="1">
        <f t="array" ref="K26">IF(A26="","",INDEX(البيانات!$P$2:$P$265,A26))</f>
        <v>46142</v>
      </c>
      <c r="L26" s="282" cm="1">
        <f t="array" ref="L26">IF(A26="","",INDEX(البيانات!$AI$2:$AI$265,A26))</f>
        <v>46145</v>
      </c>
      <c r="M26" s="109" t="str">
        <f>IF(OR(A26="",L26="",K26=""),"",IF(NETWORKDAYS.INTL(K26,L26,"0000011")-1&lt;=2,"✅ ملتزم","❌ غير ملتزم"))</f>
        <v>✅ ملتزم</v>
      </c>
      <c r="N26" s="280"/>
      <c r="O26" s="280"/>
    </row>
    <row r="27" spans="1:15">
      <c r="A27" s="182" cm="1">
        <f t="array" ref="A27">IFERROR(SMALL(IF(البيانات!$AS$2:$AS$265="مستشفى صامطة العام",البيانات!$AT$2:$AT$265),25),"")</f>
        <v>239</v>
      </c>
      <c r="B27" s="182" t="str" cm="1">
        <f t="array" ref="B27">IF(A27="","",INDEX(البيانات!$V$2:$V$265,A27))</f>
        <v>1076725777</v>
      </c>
      <c r="C27" s="182" t="str" cm="1">
        <f t="array" ref="C27">IF(A27="","",INDEX(البيانات!$U$2:$U$265,A27))</f>
        <v>Huda hussein najmi</v>
      </c>
      <c r="D27" s="182" cm="1">
        <f t="array" ref="D27">IF(A27="","",INDEX(البيانات!$T$2:$T$265,A27))</f>
        <v>33</v>
      </c>
      <c r="E27" s="182" t="str" cm="1">
        <f t="array" ref="E27">IF(A27="","",INDEX(البيانات!$F$2:$F$265,A27))</f>
        <v xml:space="preserve">Southern Sector القطاع الجنوبي				</v>
      </c>
      <c r="F27" s="182" t="str" cm="1">
        <f t="array" ref="F27">IF(A27="","",INDEX(البيانات!$Y$2:$Y$265,A27))</f>
        <v>0558910761</v>
      </c>
      <c r="G27" s="281"/>
      <c r="H27" s="281"/>
      <c r="I27" s="285"/>
      <c r="J27" s="286"/>
      <c r="K27" s="184" cm="1">
        <f t="array" ref="K27">IF(A27="","",INDEX(البيانات!$P$2:$P$265,A27))</f>
        <v>46134</v>
      </c>
      <c r="L27" s="283" cm="1">
        <f t="array" ref="L27">IF(A27="","",INDEX(البيانات!$AI$2:$AI$265,A27))</f>
        <v>46147</v>
      </c>
      <c r="M27" s="183" t="str">
        <f>IF(OR(A27="",L27="",K27=""),"",IF(NETWORKDAYS.INTL(K27,L27,"0000011")-1&lt;=2,"✅ ملتزم","❌ غير ملتزم"))</f>
        <v>❌ غير ملتزم</v>
      </c>
      <c r="N27" s="280"/>
      <c r="O27" s="280"/>
    </row>
    <row r="28" spans="1:15">
      <c r="A28" s="112" cm="1">
        <f t="array" ref="A28">IFERROR(SMALL(IF(البيانات!$AS$2:$AS$265="مستشفى صامطة العام",البيانات!$AT$2:$AT$265),26),"")</f>
        <v>257</v>
      </c>
      <c r="B28" s="112" t="str" cm="1">
        <f t="array" ref="B28">IF(A28="","",INDEX(البيانات!$V$2:$V$265,A28))</f>
        <v>1069692869</v>
      </c>
      <c r="C28" s="112" t="str" cm="1">
        <f t="array" ref="C28">IF(A28="","",INDEX(البيانات!$U$2:$U$265,A28))</f>
        <v>حنان علي حسين ازيبي</v>
      </c>
      <c r="D28" s="112" cm="1">
        <f t="array" ref="D28">IF(A28="","",INDEX(البيانات!$T$2:$T$265,A28))</f>
        <v>36</v>
      </c>
      <c r="E28" s="112" t="str" cm="1">
        <f t="array" ref="E28">IF(A28="","",INDEX(البيانات!$F$2:$F$265,A28))</f>
        <v xml:space="preserve">Southern Sector القطاع الجنوبي				</v>
      </c>
      <c r="F28" s="112" t="str" cm="1">
        <f t="array" ref="F28">IF(A28="","",INDEX(البيانات!$Y$2:$Y$265,A28))</f>
        <v>0557981348</v>
      </c>
      <c r="G28" s="280"/>
      <c r="H28" s="280"/>
      <c r="I28" s="284"/>
      <c r="J28" s="286"/>
      <c r="K28" s="181" cm="1">
        <f t="array" ref="K28">IF(A28="","",INDEX(البيانات!$P$2:$P$265,A28))</f>
        <v>46148</v>
      </c>
      <c r="L28" s="282" cm="1">
        <f t="array" ref="L28">IF(A28="","",INDEX(البيانات!$AI$2:$AI$265,A28))</f>
        <v>46152</v>
      </c>
      <c r="M28" s="109" t="str">
        <f>IF(OR(A28="",L28="",K28=""),"",IF(NETWORKDAYS.INTL(K28,L28,"0000011")-1&lt;=2,"✅ ملتزم","❌ غير ملتزم"))</f>
        <v>✅ ملتزم</v>
      </c>
      <c r="N28" s="280"/>
      <c r="O28" s="280"/>
    </row>
    <row r="29" spans="1:15">
      <c r="A29" s="182" cm="1">
        <f t="array" ref="A29">IFERROR(SMALL(IF(البيانات!$AS$2:$AS$265="مستشفى صامطة العام",البيانات!$AT$2:$AT$265),27),"")</f>
        <v>259</v>
      </c>
      <c r="B29" s="182" t="str" cm="1">
        <f t="array" ref="B29">IF(A29="","",INDEX(البيانات!$V$2:$V$265,A29))</f>
        <v>2501622324</v>
      </c>
      <c r="C29" s="182" t="str" cm="1">
        <f t="array" ref="C29">IF(A29="","",INDEX(البيانات!$U$2:$U$265,A29))</f>
        <v>wafa abkar hazazi</v>
      </c>
      <c r="D29" s="182" cm="1">
        <f t="array" ref="D29">IF(A29="","",INDEX(البيانات!$T$2:$T$265,A29))</f>
        <v>36</v>
      </c>
      <c r="E29" s="182" t="str" cm="1">
        <f t="array" ref="E29">IF(A29="","",INDEX(البيانات!$F$2:$F$265,A29))</f>
        <v xml:space="preserve">Southern Sector القطاع الجنوبي				</v>
      </c>
      <c r="F29" s="182" t="str" cm="1">
        <f t="array" ref="F29">IF(A29="","",INDEX(البيانات!$Y$2:$Y$265,A29))</f>
        <v>0557533857</v>
      </c>
      <c r="G29" s="281"/>
      <c r="H29" s="281"/>
      <c r="I29" s="285"/>
      <c r="J29" s="286"/>
      <c r="K29" s="184" cm="1">
        <f t="array" ref="K29">IF(A29="","",INDEX(البيانات!$P$2:$P$265,A29))</f>
        <v>46149</v>
      </c>
      <c r="L29" s="283" cm="1">
        <f t="array" ref="L29">IF(A29="","",INDEX(البيانات!$AI$2:$AI$265,A29))</f>
        <v>0</v>
      </c>
      <c r="M29" s="183" t="str">
        <f>IF(OR(A29="",L29="",K29=""),"",IF(NETWORKDAYS.INTL(K29,L29,"0000011")-1&lt;=2,"✅ ملتزم","❌ غير ملتزم"))</f>
        <v>✅ ملتزم</v>
      </c>
      <c r="N29" s="280"/>
      <c r="O29" s="280"/>
    </row>
    <row r="30" spans="1:15">
      <c r="A30" s="112" cm="1">
        <f t="array" ref="A30">IFERROR(SMALL(IF(البيانات!$AS$2:$AS$265="مستشفى صامطة العام",البيانات!$AT$2:$AT$265),28),"")</f>
        <v>260</v>
      </c>
      <c r="B30" s="112" t="str" cm="1">
        <f t="array" ref="B30">IF(A30="","",INDEX(البيانات!$V$2:$V$265,A30))</f>
        <v>1122677964</v>
      </c>
      <c r="C30" s="112" t="str" cm="1">
        <f t="array" ref="C30">IF(A30="","",INDEX(البيانات!$U$2:$U$265,A30))</f>
        <v>خلود عبدالله محمد مرير</v>
      </c>
      <c r="D30" s="112" cm="1">
        <f t="array" ref="D30">IF(A30="","",INDEX(البيانات!$T$2:$T$265,A30))</f>
        <v>23</v>
      </c>
      <c r="E30" s="112" t="str" cm="1">
        <f t="array" ref="E30">IF(A30="","",INDEX(البيانات!$F$2:$F$265,A30))</f>
        <v xml:space="preserve">Southern Sector القطاع الجنوبي				</v>
      </c>
      <c r="F30" s="112" t="str" cm="1">
        <f t="array" ref="F30">IF(A30="","",INDEX(البيانات!$Y$2:$Y$265,A30))</f>
        <v>0550540322</v>
      </c>
      <c r="G30" s="280"/>
      <c r="H30" s="280"/>
      <c r="I30" s="284"/>
      <c r="J30" s="286"/>
      <c r="K30" s="181" cm="1">
        <f t="array" ref="K30">IF(A30="","",INDEX(البيانات!$P$2:$P$265,A30))</f>
        <v>46149</v>
      </c>
      <c r="L30" s="282" cm="1">
        <f t="array" ref="L30">IF(A30="","",INDEX(البيانات!$AI$2:$AI$265,A30))</f>
        <v>0</v>
      </c>
      <c r="M30" s="109" t="str">
        <f>IF(OR(A30="",L30="",K30=""),"",IF(NETWORKDAYS.INTL(K30,L30,"0000011")-1&lt;=2,"✅ ملتزم","❌ غير ملتزم"))</f>
        <v>✅ ملتزم</v>
      </c>
      <c r="N30" s="280"/>
      <c r="O30" s="280"/>
    </row>
    <row r="31" spans="1:15">
      <c r="A31" s="182" cm="1">
        <f t="array" ref="A31">IFERROR(SMALL(IF(البيانات!$AS$2:$AS$265="مستشفى صامطة العام",البيانات!$AT$2:$AT$265),29),"")</f>
        <v>264</v>
      </c>
      <c r="B31" s="182" t="str" cm="1">
        <f t="array" ref="B31">IF(A31="","",INDEX(البيانات!$V$2:$V$265,A31))</f>
        <v>1043528536</v>
      </c>
      <c r="C31" s="182" t="str" cm="1">
        <f t="array" ref="C31">IF(A31="","",INDEX(البيانات!$U$2:$U$265,A31))</f>
        <v>فوزيه شوعي مقبول</v>
      </c>
      <c r="D31" s="182" cm="1">
        <f t="array" ref="D31">IF(A31="","",INDEX(البيانات!$T$2:$T$265,A31))</f>
        <v>41</v>
      </c>
      <c r="E31" s="182" t="str" cm="1">
        <f t="array" ref="E31">IF(A31="","",INDEX(البيانات!$F$2:$F$265,A31))</f>
        <v xml:space="preserve">Southern Sector القطاع الجنوبي				</v>
      </c>
      <c r="F31" s="182" t="str" cm="1">
        <f t="array" ref="F31">IF(A31="","",INDEX(البيانات!$Y$2:$Y$265,A31))</f>
        <v>0536235525</v>
      </c>
      <c r="G31" s="281"/>
      <c r="H31" s="281"/>
      <c r="I31" s="285"/>
      <c r="J31" s="286"/>
      <c r="K31" s="184" cm="1">
        <f t="array" ref="K31">IF(A31="","",INDEX(البيانات!$P$2:$P$265,A31))</f>
        <v>46149</v>
      </c>
      <c r="L31" s="283" cm="1">
        <f t="array" ref="L31">IF(A31="","",INDEX(البيانات!$AI$2:$AI$265,A31))</f>
        <v>0</v>
      </c>
      <c r="M31" s="183" t="str">
        <f>IF(OR(A31="",L31="",K31=""),"",IF(NETWORKDAYS.INTL(K31,L31,"0000011")-1&lt;=2,"✅ ملتزم","❌ غير ملتزم"))</f>
        <v>✅ ملتزم</v>
      </c>
      <c r="N31" s="280"/>
      <c r="O31" s="280"/>
    </row>
    <row r="32" spans="1:15">
      <c r="A32" s="177"/>
      <c r="B32" s="177"/>
      <c r="C32" s="177"/>
      <c r="D32" s="177"/>
      <c r="E32" s="177"/>
      <c r="F32" s="177"/>
      <c r="G32" s="290"/>
      <c r="H32" s="290"/>
      <c r="I32" s="290"/>
      <c r="J32" s="290"/>
      <c r="K32" s="177"/>
      <c r="L32" s="290"/>
      <c r="M32" s="177"/>
    </row>
    <row r="33" spans="1:13">
      <c r="A33" s="177"/>
      <c r="B33" s="177"/>
      <c r="C33" s="177"/>
      <c r="D33" s="177"/>
      <c r="E33" s="177"/>
      <c r="F33" s="177"/>
      <c r="G33" s="290"/>
      <c r="H33" s="290"/>
      <c r="I33" s="290"/>
      <c r="J33" s="290"/>
      <c r="K33" s="177"/>
      <c r="L33" s="290"/>
      <c r="M33" s="177"/>
    </row>
    <row r="34" spans="1:13">
      <c r="A34" s="177"/>
      <c r="B34" s="177"/>
      <c r="C34" s="177"/>
      <c r="D34" s="177"/>
      <c r="E34" s="177"/>
      <c r="F34" s="177"/>
      <c r="G34" s="290"/>
      <c r="H34" s="290"/>
      <c r="I34" s="290"/>
      <c r="J34" s="290"/>
      <c r="K34" s="177"/>
      <c r="L34" s="290"/>
      <c r="M34" s="177"/>
    </row>
    <row r="35" spans="1:13">
      <c r="A35" s="177"/>
      <c r="B35" s="177"/>
      <c r="C35" s="177"/>
      <c r="D35" s="177"/>
      <c r="E35" s="177"/>
      <c r="F35" s="177"/>
      <c r="G35" s="290"/>
      <c r="H35" s="290"/>
      <c r="I35" s="290"/>
      <c r="J35" s="290"/>
      <c r="K35" s="177"/>
      <c r="L35" s="290"/>
      <c r="M35" s="177"/>
    </row>
    <row r="36" spans="1:13">
      <c r="A36" s="177"/>
      <c r="B36" s="177"/>
      <c r="C36" s="177"/>
      <c r="D36" s="177"/>
      <c r="E36" s="177"/>
      <c r="F36" s="177"/>
      <c r="G36" s="290"/>
      <c r="H36" s="290"/>
      <c r="I36" s="290"/>
      <c r="J36" s="290"/>
      <c r="K36" s="177"/>
      <c r="L36" s="290"/>
      <c r="M36" s="177"/>
    </row>
    <row r="37" spans="1:13">
      <c r="A37" s="177"/>
      <c r="B37" s="177"/>
      <c r="C37" s="177"/>
      <c r="D37" s="177"/>
      <c r="E37" s="177"/>
      <c r="F37" s="177"/>
      <c r="G37" s="290"/>
      <c r="H37" s="290"/>
      <c r="I37" s="290"/>
      <c r="J37" s="290"/>
      <c r="K37" s="177"/>
      <c r="L37" s="290"/>
      <c r="M37" s="177"/>
    </row>
    <row r="38" spans="1:13">
      <c r="A38" s="177"/>
      <c r="B38" s="177"/>
      <c r="C38" s="177"/>
      <c r="D38" s="177"/>
      <c r="E38" s="177"/>
      <c r="F38" s="177"/>
      <c r="G38" s="290"/>
      <c r="H38" s="290"/>
      <c r="I38" s="290"/>
      <c r="J38" s="290"/>
      <c r="K38" s="177"/>
      <c r="L38" s="290"/>
      <c r="M38" s="177"/>
    </row>
    <row r="39" spans="1:13">
      <c r="A39" s="177"/>
      <c r="B39" s="177"/>
      <c r="C39" s="177"/>
      <c r="D39" s="177"/>
      <c r="E39" s="177"/>
      <c r="F39" s="177"/>
      <c r="G39" s="290"/>
      <c r="H39" s="290"/>
      <c r="I39" s="290"/>
      <c r="J39" s="290"/>
      <c r="K39" s="177"/>
      <c r="L39" s="290"/>
      <c r="M39" s="177"/>
    </row>
    <row r="40" spans="1:13">
      <c r="A40" s="177"/>
      <c r="B40" s="177"/>
      <c r="C40" s="177"/>
      <c r="D40" s="177"/>
      <c r="E40" s="177"/>
      <c r="F40" s="177"/>
      <c r="G40" s="290"/>
      <c r="H40" s="290"/>
      <c r="I40" s="290"/>
      <c r="J40" s="290"/>
      <c r="K40" s="177"/>
      <c r="L40" s="290"/>
      <c r="M40" s="177"/>
    </row>
    <row r="41" spans="1:13">
      <c r="A41" s="177"/>
      <c r="B41" s="177"/>
      <c r="C41" s="177"/>
      <c r="D41" s="177"/>
      <c r="E41" s="177"/>
      <c r="F41" s="177"/>
      <c r="G41" s="290"/>
      <c r="H41" s="290"/>
      <c r="I41" s="290"/>
      <c r="J41" s="290"/>
      <c r="K41" s="177"/>
      <c r="L41" s="290"/>
      <c r="M41" s="177"/>
    </row>
    <row r="42" spans="1:13">
      <c r="A42" s="177"/>
      <c r="B42" s="177"/>
      <c r="C42" s="177"/>
      <c r="D42" s="177"/>
      <c r="E42" s="177"/>
      <c r="F42" s="177"/>
      <c r="G42" s="290"/>
      <c r="H42" s="290"/>
      <c r="I42" s="290"/>
      <c r="J42" s="290"/>
      <c r="K42" s="177"/>
      <c r="L42" s="290"/>
      <c r="M42" s="177"/>
    </row>
    <row r="43" spans="1:13">
      <c r="A43" s="177"/>
      <c r="B43" s="177"/>
      <c r="C43" s="177"/>
      <c r="D43" s="177"/>
      <c r="E43" s="177"/>
      <c r="F43" s="177"/>
      <c r="G43" s="290"/>
      <c r="H43" s="290"/>
      <c r="I43" s="290"/>
      <c r="J43" s="290"/>
      <c r="K43" s="177"/>
      <c r="L43" s="290"/>
      <c r="M43" s="177"/>
    </row>
    <row r="44" spans="1:13">
      <c r="A44" s="177"/>
      <c r="B44" s="177"/>
      <c r="C44" s="177"/>
      <c r="D44" s="177"/>
      <c r="E44" s="177"/>
      <c r="F44" s="177"/>
      <c r="G44" s="290"/>
      <c r="H44" s="290"/>
      <c r="I44" s="290"/>
      <c r="J44" s="290"/>
      <c r="K44" s="177"/>
      <c r="L44" s="290"/>
      <c r="M44" s="177"/>
    </row>
    <row r="45" spans="1:13">
      <c r="A45" s="177"/>
      <c r="B45" s="177"/>
      <c r="C45" s="177"/>
      <c r="D45" s="177"/>
      <c r="E45" s="177"/>
      <c r="F45" s="177"/>
      <c r="G45" s="290"/>
      <c r="H45" s="290"/>
      <c r="I45" s="290"/>
      <c r="J45" s="290"/>
      <c r="K45" s="177"/>
      <c r="L45" s="290"/>
      <c r="M45" s="177"/>
    </row>
    <row r="46" spans="1:13">
      <c r="A46" s="177"/>
      <c r="B46" s="177"/>
      <c r="C46" s="177"/>
      <c r="D46" s="177"/>
      <c r="E46" s="177"/>
      <c r="F46" s="177"/>
      <c r="G46" s="290"/>
      <c r="H46" s="290"/>
      <c r="I46" s="290"/>
      <c r="J46" s="290"/>
      <c r="K46" s="177"/>
      <c r="L46" s="290"/>
      <c r="M46" s="177"/>
    </row>
    <row r="47" spans="1:13">
      <c r="A47" s="177"/>
      <c r="B47" s="177"/>
      <c r="C47" s="177"/>
      <c r="D47" s="177"/>
      <c r="E47" s="177"/>
      <c r="F47" s="177"/>
      <c r="G47" s="290"/>
      <c r="H47" s="290"/>
      <c r="I47" s="290"/>
      <c r="J47" s="290"/>
      <c r="K47" s="177"/>
      <c r="L47" s="290"/>
      <c r="M47" s="177"/>
    </row>
    <row r="48" spans="1:13">
      <c r="A48" s="177"/>
      <c r="B48" s="177"/>
      <c r="C48" s="177"/>
      <c r="D48" s="177"/>
      <c r="E48" s="177"/>
      <c r="F48" s="177"/>
      <c r="G48" s="290"/>
      <c r="H48" s="290"/>
      <c r="I48" s="290"/>
      <c r="J48" s="290"/>
      <c r="K48" s="177"/>
      <c r="L48" s="290"/>
      <c r="M48" s="177"/>
    </row>
    <row r="49" spans="1:13">
      <c r="A49" s="177"/>
      <c r="B49" s="177"/>
      <c r="C49" s="177"/>
      <c r="D49" s="177"/>
      <c r="E49" s="177"/>
      <c r="F49" s="177"/>
      <c r="G49" s="290"/>
      <c r="H49" s="290"/>
      <c r="I49" s="290"/>
      <c r="J49" s="290"/>
      <c r="K49" s="177"/>
      <c r="L49" s="290"/>
      <c r="M49" s="177"/>
    </row>
    <row r="50" spans="1:13">
      <c r="A50" s="177"/>
      <c r="B50" s="177"/>
      <c r="C50" s="177"/>
      <c r="D50" s="177"/>
      <c r="E50" s="177"/>
      <c r="F50" s="177"/>
      <c r="G50" s="290"/>
      <c r="H50" s="290"/>
      <c r="I50" s="290"/>
      <c r="J50" s="290"/>
      <c r="K50" s="177"/>
      <c r="L50" s="290"/>
      <c r="M50" s="177"/>
    </row>
    <row r="51" spans="1:13">
      <c r="A51" s="177"/>
      <c r="B51" s="177"/>
      <c r="C51" s="177"/>
      <c r="D51" s="177"/>
      <c r="E51" s="177"/>
      <c r="F51" s="177"/>
      <c r="G51" s="290"/>
      <c r="H51" s="290"/>
      <c r="I51" s="290"/>
      <c r="J51" s="290"/>
      <c r="K51" s="177"/>
      <c r="L51" s="290"/>
      <c r="M51" s="177"/>
    </row>
    <row r="52" spans="1:13">
      <c r="A52" s="177"/>
      <c r="B52" s="177"/>
      <c r="C52" s="177"/>
      <c r="D52" s="177"/>
      <c r="E52" s="177"/>
      <c r="F52" s="177"/>
      <c r="G52" s="290"/>
      <c r="H52" s="290"/>
      <c r="I52" s="290"/>
      <c r="J52" s="290"/>
      <c r="K52" s="177"/>
      <c r="L52" s="290"/>
      <c r="M52" s="177"/>
    </row>
    <row r="53" spans="1:13">
      <c r="A53" s="177"/>
      <c r="B53" s="177"/>
      <c r="C53" s="177"/>
      <c r="D53" s="177"/>
      <c r="E53" s="177"/>
      <c r="F53" s="177"/>
      <c r="G53" s="290"/>
      <c r="H53" s="290"/>
      <c r="I53" s="290"/>
      <c r="J53" s="290"/>
      <c r="K53" s="177"/>
      <c r="L53" s="290"/>
      <c r="M53" s="177"/>
    </row>
    <row r="54" spans="1:13">
      <c r="A54" s="177"/>
      <c r="B54" s="177"/>
      <c r="C54" s="177"/>
      <c r="D54" s="177"/>
      <c r="E54" s="177"/>
      <c r="F54" s="177"/>
      <c r="G54" s="290"/>
      <c r="H54" s="290"/>
      <c r="I54" s="290"/>
      <c r="J54" s="290"/>
      <c r="K54" s="177"/>
      <c r="L54" s="290"/>
      <c r="M54" s="177"/>
    </row>
    <row r="55" spans="1:13">
      <c r="A55" s="177"/>
      <c r="B55" s="177"/>
      <c r="C55" s="177"/>
      <c r="D55" s="177"/>
      <c r="E55" s="177"/>
      <c r="F55" s="177"/>
      <c r="G55" s="290"/>
      <c r="H55" s="290"/>
      <c r="I55" s="290"/>
      <c r="J55" s="290"/>
      <c r="K55" s="177"/>
      <c r="L55" s="290"/>
      <c r="M55" s="177"/>
    </row>
    <row r="56" spans="1:13">
      <c r="A56" s="177"/>
      <c r="B56" s="177"/>
      <c r="C56" s="177"/>
      <c r="D56" s="177"/>
      <c r="E56" s="177"/>
      <c r="F56" s="177"/>
      <c r="G56" s="290"/>
      <c r="H56" s="290"/>
      <c r="I56" s="290"/>
      <c r="J56" s="290"/>
      <c r="K56" s="177"/>
      <c r="L56" s="290"/>
      <c r="M56" s="177"/>
    </row>
    <row r="57" spans="1:13">
      <c r="A57" s="177"/>
      <c r="B57" s="177"/>
      <c r="C57" s="177"/>
      <c r="D57" s="177"/>
      <c r="E57" s="177"/>
      <c r="F57" s="177"/>
      <c r="G57" s="290"/>
      <c r="H57" s="290"/>
      <c r="I57" s="290"/>
      <c r="J57" s="290"/>
      <c r="K57" s="177"/>
      <c r="L57" s="290"/>
      <c r="M57" s="177"/>
    </row>
    <row r="58" spans="1:13">
      <c r="A58" s="177"/>
      <c r="B58" s="177"/>
      <c r="C58" s="177"/>
      <c r="D58" s="177"/>
      <c r="E58" s="177"/>
      <c r="F58" s="177"/>
      <c r="G58" s="290"/>
      <c r="H58" s="290"/>
      <c r="I58" s="290"/>
      <c r="J58" s="290"/>
      <c r="K58" s="177"/>
      <c r="L58" s="290"/>
      <c r="M58" s="177"/>
    </row>
    <row r="59" spans="1:13">
      <c r="A59" s="177"/>
      <c r="B59" s="177"/>
      <c r="C59" s="177"/>
      <c r="D59" s="177"/>
      <c r="E59" s="177"/>
      <c r="F59" s="177"/>
      <c r="G59" s="290"/>
      <c r="H59" s="290"/>
      <c r="I59" s="290"/>
      <c r="J59" s="290"/>
      <c r="K59" s="177"/>
      <c r="L59" s="290"/>
      <c r="M59" s="177"/>
    </row>
    <row r="60" spans="1:13">
      <c r="A60" s="177"/>
      <c r="B60" s="177"/>
      <c r="C60" s="177"/>
      <c r="D60" s="177"/>
      <c r="E60" s="177"/>
      <c r="F60" s="177"/>
      <c r="G60" s="290"/>
      <c r="H60" s="290"/>
      <c r="I60" s="290"/>
      <c r="J60" s="290"/>
      <c r="K60" s="177"/>
      <c r="L60" s="290"/>
      <c r="M60" s="177"/>
    </row>
    <row r="61" spans="1:13">
      <c r="A61" s="177"/>
      <c r="B61" s="177"/>
      <c r="C61" s="177"/>
      <c r="D61" s="177"/>
      <c r="E61" s="177"/>
      <c r="F61" s="177"/>
      <c r="G61" s="290"/>
      <c r="H61" s="290"/>
      <c r="I61" s="290"/>
      <c r="J61" s="290"/>
      <c r="K61" s="177"/>
      <c r="L61" s="290"/>
      <c r="M61" s="177"/>
    </row>
    <row r="62" spans="1:13">
      <c r="A62" s="177"/>
      <c r="B62" s="177"/>
      <c r="C62" s="177"/>
      <c r="D62" s="177"/>
      <c r="E62" s="177"/>
      <c r="F62" s="177"/>
      <c r="G62" s="290"/>
      <c r="H62" s="290"/>
      <c r="I62" s="290"/>
      <c r="J62" s="290"/>
      <c r="K62" s="177"/>
      <c r="L62" s="290"/>
      <c r="M62" s="177"/>
    </row>
    <row r="63" spans="1:13">
      <c r="A63" s="177"/>
      <c r="B63" s="177"/>
      <c r="C63" s="177"/>
      <c r="D63" s="177"/>
      <c r="E63" s="177"/>
      <c r="F63" s="177"/>
      <c r="G63" s="290"/>
      <c r="H63" s="290"/>
      <c r="I63" s="290"/>
      <c r="J63" s="290"/>
      <c r="K63" s="177"/>
      <c r="L63" s="290"/>
      <c r="M63" s="177"/>
    </row>
    <row r="64" spans="1:13">
      <c r="A64" s="177"/>
      <c r="B64" s="177"/>
      <c r="C64" s="177"/>
      <c r="D64" s="177"/>
      <c r="E64" s="177"/>
      <c r="F64" s="177"/>
      <c r="G64" s="290"/>
      <c r="H64" s="290"/>
      <c r="I64" s="290"/>
      <c r="J64" s="290"/>
      <c r="K64" s="177"/>
      <c r="L64" s="290"/>
      <c r="M64" s="177"/>
    </row>
    <row r="65" spans="1:13">
      <c r="A65" s="177"/>
      <c r="B65" s="177"/>
      <c r="C65" s="177"/>
      <c r="D65" s="177"/>
      <c r="E65" s="177"/>
      <c r="F65" s="177"/>
      <c r="G65" s="290"/>
      <c r="H65" s="290"/>
      <c r="I65" s="290"/>
      <c r="J65" s="290"/>
      <c r="K65" s="177"/>
      <c r="L65" s="290"/>
      <c r="M65" s="177"/>
    </row>
    <row r="66" spans="1:13">
      <c r="A66" s="177"/>
      <c r="B66" s="177"/>
      <c r="C66" s="177"/>
      <c r="D66" s="177"/>
      <c r="E66" s="177"/>
      <c r="F66" s="177"/>
      <c r="G66" s="290"/>
      <c r="H66" s="290"/>
      <c r="I66" s="290"/>
      <c r="J66" s="290"/>
      <c r="K66" s="177"/>
      <c r="L66" s="290"/>
      <c r="M66" s="177"/>
    </row>
    <row r="67" spans="1:13">
      <c r="A67" s="177"/>
      <c r="B67" s="177"/>
      <c r="C67" s="177"/>
      <c r="D67" s="177"/>
      <c r="E67" s="177"/>
      <c r="F67" s="177"/>
      <c r="G67" s="290"/>
      <c r="H67" s="290"/>
      <c r="I67" s="290"/>
      <c r="J67" s="290"/>
      <c r="K67" s="177"/>
      <c r="L67" s="290"/>
      <c r="M67" s="177"/>
    </row>
    <row r="68" spans="1:13">
      <c r="A68" s="177"/>
      <c r="B68" s="177"/>
      <c r="C68" s="177"/>
      <c r="D68" s="177"/>
      <c r="E68" s="177"/>
      <c r="F68" s="177"/>
      <c r="G68" s="290"/>
      <c r="H68" s="290"/>
      <c r="I68" s="290"/>
      <c r="J68" s="290"/>
      <c r="K68" s="177"/>
      <c r="L68" s="290"/>
      <c r="M68" s="177"/>
    </row>
    <row r="69" spans="1:13">
      <c r="A69" s="177"/>
      <c r="B69" s="177"/>
      <c r="C69" s="177"/>
      <c r="D69" s="177"/>
      <c r="E69" s="177"/>
      <c r="F69" s="177"/>
      <c r="G69" s="290"/>
      <c r="H69" s="290"/>
      <c r="I69" s="290"/>
      <c r="J69" s="290"/>
      <c r="K69" s="177"/>
      <c r="L69" s="290"/>
      <c r="M69" s="177"/>
    </row>
    <row r="70" spans="1:13">
      <c r="A70" s="177"/>
      <c r="B70" s="177"/>
      <c r="C70" s="177"/>
      <c r="D70" s="177"/>
      <c r="E70" s="177"/>
      <c r="F70" s="177"/>
      <c r="G70" s="290"/>
      <c r="H70" s="290"/>
      <c r="I70" s="290"/>
      <c r="J70" s="290"/>
      <c r="K70" s="177"/>
      <c r="L70" s="290"/>
      <c r="M70" s="177"/>
    </row>
    <row r="71" spans="1:13">
      <c r="A71" s="177"/>
      <c r="B71" s="177"/>
      <c r="C71" s="177"/>
      <c r="D71" s="177"/>
      <c r="E71" s="177"/>
      <c r="F71" s="177"/>
      <c r="G71" s="290"/>
      <c r="H71" s="290"/>
      <c r="I71" s="290"/>
      <c r="J71" s="290"/>
      <c r="K71" s="177"/>
      <c r="L71" s="290"/>
      <c r="M71" s="177"/>
    </row>
    <row r="72" spans="1:13">
      <c r="A72" s="177"/>
      <c r="B72" s="177"/>
      <c r="C72" s="177"/>
      <c r="D72" s="177"/>
      <c r="E72" s="177"/>
      <c r="F72" s="177"/>
      <c r="G72" s="290"/>
      <c r="H72" s="290"/>
      <c r="I72" s="290"/>
      <c r="J72" s="290"/>
      <c r="K72" s="177"/>
      <c r="L72" s="290"/>
      <c r="M72" s="177"/>
    </row>
    <row r="73" spans="1:13">
      <c r="A73" s="177"/>
      <c r="B73" s="177"/>
      <c r="C73" s="177"/>
      <c r="D73" s="177"/>
      <c r="E73" s="177"/>
      <c r="F73" s="177"/>
      <c r="G73" s="290"/>
      <c r="H73" s="290"/>
      <c r="I73" s="290"/>
      <c r="J73" s="290"/>
      <c r="K73" s="177"/>
      <c r="L73" s="290"/>
      <c r="M73" s="177"/>
    </row>
    <row r="74" spans="1:13">
      <c r="A74" s="177"/>
      <c r="B74" s="177"/>
      <c r="C74" s="177"/>
      <c r="D74" s="177"/>
      <c r="E74" s="177"/>
      <c r="F74" s="177"/>
      <c r="G74" s="290"/>
      <c r="H74" s="290"/>
      <c r="I74" s="290"/>
      <c r="J74" s="290"/>
      <c r="K74" s="177"/>
      <c r="L74" s="290"/>
      <c r="M74" s="177"/>
    </row>
    <row r="75" spans="1:13">
      <c r="A75" s="177"/>
      <c r="B75" s="177"/>
      <c r="C75" s="177"/>
      <c r="D75" s="177"/>
      <c r="E75" s="177"/>
      <c r="F75" s="177"/>
      <c r="G75" s="290"/>
      <c r="H75" s="290"/>
      <c r="I75" s="290"/>
      <c r="J75" s="290"/>
      <c r="K75" s="177"/>
      <c r="L75" s="290"/>
      <c r="M75" s="177"/>
    </row>
    <row r="76" spans="1:13">
      <c r="A76" s="177"/>
      <c r="B76" s="177"/>
      <c r="C76" s="177"/>
      <c r="D76" s="177"/>
      <c r="E76" s="177"/>
      <c r="F76" s="177"/>
      <c r="G76" s="290"/>
      <c r="H76" s="290"/>
      <c r="I76" s="290"/>
      <c r="J76" s="290"/>
      <c r="K76" s="177"/>
      <c r="L76" s="290"/>
      <c r="M76" s="177"/>
    </row>
    <row r="77" spans="1:13">
      <c r="A77" s="177"/>
      <c r="B77" s="177"/>
      <c r="C77" s="177"/>
      <c r="D77" s="177"/>
      <c r="E77" s="177"/>
      <c r="F77" s="177"/>
      <c r="G77" s="290"/>
      <c r="H77" s="290"/>
      <c r="I77" s="290"/>
      <c r="J77" s="290"/>
      <c r="K77" s="177"/>
      <c r="L77" s="290"/>
      <c r="M77" s="177"/>
    </row>
    <row r="78" spans="1:13">
      <c r="A78" s="177"/>
      <c r="B78" s="177"/>
      <c r="C78" s="177"/>
      <c r="D78" s="177"/>
      <c r="E78" s="177"/>
      <c r="F78" s="177"/>
      <c r="G78" s="290"/>
      <c r="H78" s="290"/>
      <c r="I78" s="290"/>
      <c r="J78" s="290"/>
      <c r="K78" s="177"/>
      <c r="L78" s="290"/>
      <c r="M78" s="177"/>
    </row>
    <row r="79" spans="1:13">
      <c r="A79" s="177"/>
      <c r="B79" s="177"/>
      <c r="C79" s="177"/>
      <c r="D79" s="177"/>
      <c r="E79" s="177"/>
      <c r="F79" s="177"/>
      <c r="G79" s="290"/>
      <c r="H79" s="290"/>
      <c r="I79" s="290"/>
      <c r="J79" s="290"/>
      <c r="K79" s="177"/>
      <c r="L79" s="290"/>
      <c r="M79" s="177"/>
    </row>
    <row r="80" spans="1:13">
      <c r="A80" s="167"/>
      <c r="B80" s="167"/>
      <c r="C80" s="167"/>
      <c r="D80" s="167"/>
      <c r="E80" s="167"/>
      <c r="F80" s="167"/>
      <c r="K80" s="167"/>
      <c r="M80" s="167"/>
    </row>
    <row r="81" spans="1:13">
      <c r="A81" s="167"/>
      <c r="B81" s="167"/>
      <c r="C81" s="167"/>
      <c r="D81" s="167"/>
      <c r="E81" s="167"/>
      <c r="F81" s="167"/>
      <c r="K81" s="167"/>
      <c r="M81" s="167"/>
    </row>
    <row r="82" spans="1:13">
      <c r="A82" s="167"/>
      <c r="B82" s="167"/>
      <c r="C82" s="167"/>
      <c r="D82" s="167"/>
      <c r="E82" s="167"/>
      <c r="F82" s="167"/>
      <c r="K82" s="167"/>
      <c r="M82" s="167"/>
    </row>
    <row r="83" spans="1:13">
      <c r="A83" s="167"/>
      <c r="B83" s="167"/>
      <c r="C83" s="167"/>
      <c r="D83" s="167"/>
      <c r="E83" s="167"/>
      <c r="F83" s="167"/>
      <c r="K83" s="167"/>
      <c r="M83" s="167"/>
    </row>
    <row r="84" spans="1:13">
      <c r="A84" s="167"/>
      <c r="B84" s="167"/>
      <c r="C84" s="167"/>
      <c r="D84" s="167"/>
      <c r="E84" s="167"/>
      <c r="F84" s="167"/>
      <c r="K84" s="167"/>
      <c r="M84" s="167"/>
    </row>
    <row r="85" spans="1:13">
      <c r="A85" s="167"/>
      <c r="B85" s="167"/>
      <c r="C85" s="167"/>
      <c r="D85" s="167"/>
      <c r="E85" s="167"/>
      <c r="F85" s="167"/>
      <c r="K85" s="167"/>
      <c r="M85" s="167"/>
    </row>
    <row r="86" spans="1:13">
      <c r="A86" s="167"/>
      <c r="B86" s="167"/>
      <c r="C86" s="167"/>
      <c r="D86" s="167"/>
      <c r="E86" s="167"/>
      <c r="F86" s="167"/>
      <c r="K86" s="167"/>
      <c r="M86" s="167"/>
    </row>
    <row r="87" spans="1:13">
      <c r="A87" s="167"/>
      <c r="B87" s="167"/>
      <c r="C87" s="167"/>
      <c r="D87" s="167"/>
      <c r="E87" s="167"/>
      <c r="F87" s="167"/>
      <c r="K87" s="167"/>
      <c r="M87" s="167"/>
    </row>
    <row r="88" spans="1:13">
      <c r="A88" s="167"/>
      <c r="B88" s="167"/>
      <c r="C88" s="167"/>
      <c r="D88" s="167"/>
      <c r="E88" s="167"/>
      <c r="F88" s="167"/>
      <c r="K88" s="167"/>
      <c r="M88" s="167"/>
    </row>
    <row r="89" spans="1:13">
      <c r="A89" s="167"/>
      <c r="B89" s="167"/>
      <c r="C89" s="167"/>
      <c r="D89" s="167"/>
      <c r="E89" s="167"/>
      <c r="F89" s="167"/>
      <c r="K89" s="167"/>
      <c r="M89" s="167"/>
    </row>
    <row r="90" spans="1:13">
      <c r="A90" s="167"/>
      <c r="B90" s="167"/>
      <c r="C90" s="167"/>
      <c r="D90" s="167"/>
      <c r="E90" s="167"/>
      <c r="F90" s="167"/>
      <c r="K90" s="167"/>
      <c r="M90" s="167"/>
    </row>
    <row r="91" spans="1:13">
      <c r="A91" s="167"/>
      <c r="B91" s="167"/>
      <c r="C91" s="167"/>
      <c r="D91" s="167"/>
      <c r="E91" s="167"/>
      <c r="F91" s="167"/>
      <c r="K91" s="167"/>
      <c r="M91" s="167"/>
    </row>
    <row r="92" spans="1:13">
      <c r="A92" s="167"/>
      <c r="B92" s="167"/>
      <c r="C92" s="167"/>
      <c r="D92" s="167"/>
      <c r="E92" s="167"/>
      <c r="F92" s="167"/>
      <c r="K92" s="167"/>
      <c r="M92" s="167"/>
    </row>
    <row r="93" spans="1:13">
      <c r="A93" s="167"/>
      <c r="B93" s="167"/>
      <c r="C93" s="167"/>
      <c r="D93" s="167"/>
      <c r="E93" s="167"/>
      <c r="F93" s="167"/>
      <c r="K93" s="167"/>
      <c r="M93" s="167"/>
    </row>
    <row r="94" spans="1:13">
      <c r="A94" s="167"/>
      <c r="B94" s="167"/>
      <c r="C94" s="167"/>
      <c r="D94" s="167"/>
      <c r="E94" s="167"/>
      <c r="F94" s="167"/>
      <c r="K94" s="167"/>
      <c r="M94" s="167"/>
    </row>
    <row r="95" spans="1:13">
      <c r="A95" s="167"/>
      <c r="B95" s="167"/>
      <c r="C95" s="167"/>
      <c r="D95" s="167"/>
      <c r="E95" s="167"/>
      <c r="F95" s="167"/>
      <c r="K95" s="167"/>
      <c r="M95" s="167"/>
    </row>
    <row r="96" spans="1:13">
      <c r="A96" s="167"/>
      <c r="B96" s="167"/>
      <c r="C96" s="167"/>
      <c r="D96" s="167"/>
      <c r="E96" s="167"/>
      <c r="F96" s="167"/>
      <c r="K96" s="167"/>
      <c r="M96" s="167"/>
    </row>
    <row r="97" spans="1:13">
      <c r="A97" s="167"/>
      <c r="B97" s="167"/>
      <c r="C97" s="167"/>
      <c r="D97" s="167"/>
      <c r="E97" s="167"/>
      <c r="F97" s="167"/>
      <c r="K97" s="167"/>
      <c r="M97" s="167"/>
    </row>
    <row r="98" spans="1:13">
      <c r="A98" s="167"/>
      <c r="B98" s="167"/>
      <c r="C98" s="167"/>
      <c r="D98" s="167"/>
      <c r="E98" s="167"/>
      <c r="F98" s="167"/>
      <c r="K98" s="167"/>
      <c r="M98" s="167"/>
    </row>
    <row r="99" spans="1:13">
      <c r="A99" s="167"/>
      <c r="B99" s="167"/>
      <c r="C99" s="167"/>
      <c r="D99" s="167"/>
      <c r="E99" s="167"/>
      <c r="F99" s="167"/>
      <c r="K99" s="167"/>
      <c r="M99" s="167"/>
    </row>
    <row r="100" spans="1:13">
      <c r="A100" s="167"/>
      <c r="B100" s="167"/>
      <c r="C100" s="167"/>
      <c r="D100" s="167"/>
      <c r="E100" s="167"/>
      <c r="F100" s="167"/>
      <c r="K100" s="167"/>
      <c r="M100" s="167"/>
    </row>
  </sheetData>
  <mergeCells count="1">
    <mergeCell ref="A1:H1"/>
  </mergeCells>
  <conditionalFormatting sqref="J4:J31">
    <cfRule type="containsText" dxfId="71" priority="15" operator="containsText" text="منخفض">
      <formula>NOT(ISERROR(SEARCH("منخفض",J4)))</formula>
    </cfRule>
    <cfRule type="containsText" dxfId="70" priority="16" operator="containsText" text="متابعة">
      <formula>NOT(ISERROR(SEARCH("متابعة",J4)))</formula>
    </cfRule>
    <cfRule type="containsText" dxfId="69" priority="17" operator="containsText" text="KFCH">
      <formula>NOT(ISERROR(SEARCH("KFCH",J4)))</formula>
    </cfRule>
  </conditionalFormatting>
  <conditionalFormatting sqref="M4:M31">
    <cfRule type="containsText" dxfId="68" priority="13" operator="containsText" text="ملتزم">
      <formula>NOT(ISERROR(SEARCH("ملتزم",M4)))</formula>
    </cfRule>
    <cfRule type="containsText" dxfId="67" priority="14" operator="containsText" text="غير ملتزم">
      <formula>NOT(ISERROR(SEARCH("غير ملتزم",M4)))</formula>
    </cfRule>
  </conditionalFormatting>
  <conditionalFormatting sqref="M4:M78">
    <cfRule type="containsText" dxfId="66" priority="11" operator="containsText" text="ملتزم">
      <formula>NOT(ISERROR(SEARCH("ملتزم",M4)))</formula>
    </cfRule>
    <cfRule type="containsText" dxfId="65" priority="12" operator="containsText" text="غير ملتزم">
      <formula>NOT(ISERROR(SEARCH("غير ملتزم",M4)))</formula>
    </cfRule>
  </conditionalFormatting>
  <dataValidations count="2">
    <dataValidation type="list" allowBlank="1" showInputMessage="1" showErrorMessage="1" sqref="J4:J31" xr:uid="{075DAEF5-6C27-4A04-8D18-E57E3E27B19E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I4:I31" xr:uid="{BF25EA61-8461-4BB4-8343-CAA485AFCBC6}">
      <formula1>"نعم,لا"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C244-25DE-455B-9B0E-AA58D514F76C}">
  <sheetPr>
    <tabColor rgb="FFFF9800"/>
  </sheetPr>
  <dimension ref="A1:O100"/>
  <sheetViews>
    <sheetView rightToLeft="1" topLeftCell="B9" workbookViewId="0">
      <selection activeCell="N1" sqref="N1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8.375" customWidth="1"/>
    <col min="5" max="5" width="25" customWidth="1"/>
    <col min="6" max="6" width="16.625" customWidth="1"/>
    <col min="7" max="7" width="16.625" style="241" customWidth="1"/>
    <col min="8" max="8" width="20" style="241" customWidth="1"/>
    <col min="9" max="9" width="10.375" bestFit="1" customWidth="1"/>
    <col min="10" max="10" width="10.375" style="241" bestFit="1" customWidth="1"/>
    <col min="12" max="12" width="19.125" style="241" customWidth="1"/>
    <col min="13" max="13" width="24" style="241" customWidth="1"/>
    <col min="14" max="14" width="15.5" style="241" customWidth="1"/>
  </cols>
  <sheetData>
    <row r="1" spans="1:15" ht="20.25">
      <c r="A1" s="346" t="s">
        <v>576</v>
      </c>
      <c r="B1" s="315"/>
      <c r="C1" s="315"/>
      <c r="D1" s="315"/>
      <c r="E1" s="315"/>
      <c r="F1" s="315"/>
      <c r="G1" s="315"/>
      <c r="H1" s="315"/>
      <c r="I1" s="167"/>
      <c r="K1" s="167"/>
      <c r="O1" s="167"/>
    </row>
    <row r="2" spans="1:15" ht="18">
      <c r="A2" s="167" t="s">
        <v>571</v>
      </c>
      <c r="B2" s="28">
        <f>COUNTIF(البيانات!$AS:$AS,"*بيش*")</f>
        <v>15</v>
      </c>
      <c r="C2" s="167"/>
      <c r="D2" s="167"/>
      <c r="E2" s="167"/>
      <c r="F2" s="167"/>
      <c r="I2" s="167"/>
      <c r="K2" s="167"/>
      <c r="O2" s="167"/>
    </row>
    <row r="3" spans="1:15">
      <c r="A3" s="180" t="s">
        <v>352</v>
      </c>
      <c r="B3" s="180" t="s">
        <v>353</v>
      </c>
      <c r="C3" s="180" t="s">
        <v>354</v>
      </c>
      <c r="D3" s="180" t="s">
        <v>355</v>
      </c>
      <c r="E3" s="180" t="s">
        <v>48</v>
      </c>
      <c r="F3" s="180" t="s">
        <v>559</v>
      </c>
      <c r="G3" s="279" t="s">
        <v>357</v>
      </c>
      <c r="H3" s="279" t="s">
        <v>358</v>
      </c>
      <c r="I3" s="180" t="s">
        <v>560</v>
      </c>
      <c r="J3" s="279" t="s">
        <v>561</v>
      </c>
      <c r="K3" s="180" t="s">
        <v>562</v>
      </c>
      <c r="L3" s="279" t="s">
        <v>563</v>
      </c>
      <c r="M3" s="279" t="s">
        <v>564</v>
      </c>
      <c r="N3" s="279" t="s">
        <v>565</v>
      </c>
      <c r="O3" s="167"/>
    </row>
    <row r="4" spans="1:15">
      <c r="A4" s="112" cm="1">
        <f t="array" ref="A4">IFERROR(SMALL(IF(البيانات!$AS$2:$AS$265="مستشفى بيش العام",البيانات!$AT$2:$AT$265),1),"")</f>
        <v>6</v>
      </c>
      <c r="B4" s="112" t="str" cm="1">
        <f t="array" ref="B4">IF(A4="","",INDEX(البيانات!$V$2:$V$265,A4))</f>
        <v>1103367783</v>
      </c>
      <c r="C4" s="112" t="str" cm="1">
        <f t="array" ref="C4">IF(A4="","",INDEX(البيانات!$U$2:$U$265,A4))</f>
        <v>حالية يحي جبران المصغري</v>
      </c>
      <c r="D4" s="112" cm="1">
        <f t="array" ref="D4">IF(A4="","",INDEX(البيانات!$T$2:$T$265,A4))</f>
        <v>28</v>
      </c>
      <c r="E4" s="112" t="str" cm="1">
        <f t="array" ref="E4">IF(A4="","",INDEX(البيانات!$F$2:$F$265,A4))</f>
        <v>القطاع الشمالي</v>
      </c>
      <c r="F4" s="112" t="str" cm="1">
        <f t="array" ref="F4">IF(A4="","",INDEX(البيانات!$Y$2:$Y$265,A4))</f>
        <v>0559703070</v>
      </c>
      <c r="G4" s="280"/>
      <c r="H4" s="280"/>
      <c r="I4" s="181" cm="1">
        <f t="array" ref="I4">IF(A4="","",INDEX(البيانات!$P$2:$P$265,A4))</f>
        <v>46027</v>
      </c>
      <c r="J4" s="282" t="str" cm="1">
        <f t="array" ref="J4">IF(A4="","",INDEX(البيانات!$AI$2:$AI$265,A4))</f>
        <v>16/3/2026</v>
      </c>
      <c r="K4" s="109" t="str">
        <f>IF(OR(A4="",J4="",I4=""),"",IF(NETWORKDAYS.INTL(I4,J4,"0000011")-1&lt;=2,"✅ ملتزم","❌ غير ملتزم"))</f>
        <v>❌ غير ملتزم</v>
      </c>
      <c r="L4" s="284" t="str" cm="1">
        <f t="array" ref="L4">IF(A4="","",INDEX(البيانات!$AJ$2:$AJ$265,A4))</f>
        <v>لم تحظر</v>
      </c>
      <c r="M4" s="286"/>
      <c r="N4" s="288"/>
      <c r="O4" s="167"/>
    </row>
    <row r="5" spans="1:15">
      <c r="A5" s="182" cm="1">
        <f t="array" ref="A5">IFERROR(SMALL(IF(البيانات!$AS$2:$AS$265="مستشفى بيش العام",البيانات!$AT$2:$AT$265),2),"")</f>
        <v>9</v>
      </c>
      <c r="B5" s="182" t="str" cm="1">
        <f t="array" ref="B5">IF(A5="","",INDEX(البيانات!$V$2:$V$265,A5))</f>
        <v>1073682286</v>
      </c>
      <c r="C5" s="182" t="str" cm="1">
        <f t="array" ref="C5">IF(A5="","",INDEX(البيانات!$U$2:$U$265,A5))</f>
        <v>اماني يحي علي كبش</v>
      </c>
      <c r="D5" s="182" cm="1">
        <f t="array" ref="D5">IF(A5="","",INDEX(البيانات!$T$2:$T$265,A5))</f>
        <v>37</v>
      </c>
      <c r="E5" s="182" t="str" cm="1">
        <f t="array" ref="E5">IF(A5="","",INDEX(البيانات!$F$2:$F$265,A5))</f>
        <v>القطاع الشمالي</v>
      </c>
      <c r="F5" s="182" cm="1">
        <f t="array" ref="F5">IF(A5="","",INDEX(البيانات!$Y$2:$Y$265,A5))</f>
        <v>532391487</v>
      </c>
      <c r="G5" s="281"/>
      <c r="H5" s="281"/>
      <c r="I5" s="184" cm="1">
        <f t="array" ref="I5">IF(A5="","",INDEX(البيانات!$P$2:$P$265,A5))</f>
        <v>46086</v>
      </c>
      <c r="J5" s="283">
        <v>46093</v>
      </c>
      <c r="K5" s="183" t="str">
        <f>IF(OR(A5="",J5="",I5=""),"",IF(NETWORKDAYS.INTL(I5,J5,"0000011")-1&lt;=2,"✅ ملتزم","❌ غير ملتزم"))</f>
        <v>❌ غير ملتزم</v>
      </c>
      <c r="L5" s="285" t="str" cm="1">
        <f t="array" ref="L5">IF(A5="","",INDEX(البيانات!$AJ$2:$AJ$265,A5))</f>
        <v>لاترغب بالموعد</v>
      </c>
      <c r="M5" s="286"/>
      <c r="N5" s="288"/>
      <c r="O5" s="167"/>
    </row>
    <row r="6" spans="1:15">
      <c r="A6" s="112" cm="1">
        <f t="array" ref="A6">IFERROR(SMALL(IF(البيانات!$AS$2:$AS$265="مستشفى بيش العام",البيانات!$AT$2:$AT$265),3),"")</f>
        <v>13</v>
      </c>
      <c r="B6" s="112" t="str" cm="1">
        <f t="array" ref="B6">IF(A6="","",INDEX(البيانات!$V$2:$V$265,A6))</f>
        <v>1065138073</v>
      </c>
      <c r="C6" s="112" t="str" cm="1">
        <f t="array" ref="C6">IF(A6="","",INDEX(البيانات!$U$2:$U$265,A6))</f>
        <v>FATMA MUFARRH YAHYA</v>
      </c>
      <c r="D6" s="112" cm="1">
        <f t="array" ref="D6">IF(A6="","",INDEX(البيانات!$T$2:$T$265,A6))</f>
        <v>40</v>
      </c>
      <c r="E6" s="112" t="str" cm="1">
        <f t="array" ref="E6">IF(A6="","",INDEX(البيانات!$F$2:$F$265,A6))</f>
        <v>القطاع الشمالي</v>
      </c>
      <c r="F6" s="112" t="str" cm="1">
        <f t="array" ref="F6">IF(A6="","",INDEX(البيانات!$Y$2:$Y$265,A6))</f>
        <v>0532081461</v>
      </c>
      <c r="G6" s="280"/>
      <c r="H6" s="280"/>
      <c r="I6" s="181" cm="1">
        <f t="array" ref="I6">IF(A6="","",INDEX(البيانات!$P$2:$P$265,A6))</f>
        <v>46089</v>
      </c>
      <c r="J6" s="282">
        <v>46100</v>
      </c>
      <c r="K6" s="109" t="str">
        <f>IF(OR(A6="",J6="",I6=""),"",IF(NETWORKDAYS.INTL(I6,J6,"0000011")-1&lt;=2,"✅ ملتزم","❌ غير ملتزم"))</f>
        <v>❌ غير ملتزم</v>
      </c>
      <c r="L6" s="284" t="str" cm="1">
        <f t="array" ref="L6">IF(A6="","",INDEX(البيانات!$AJ$2:$AJ$265,A6))</f>
        <v>لم يتم الرد اكثر من مرة 3</v>
      </c>
      <c r="M6" s="286"/>
      <c r="N6" s="288"/>
      <c r="O6" s="167"/>
    </row>
    <row r="7" spans="1:15">
      <c r="A7" s="182" cm="1">
        <f t="array" ref="A7">IFERROR(SMALL(IF(البيانات!$AS$2:$AS$265="مستشفى بيش العام",البيانات!$AT$2:$AT$265),4),"")</f>
        <v>71</v>
      </c>
      <c r="B7" s="182" t="str" cm="1">
        <f t="array" ref="B7">IF(A7="","",INDEX(البيانات!$V$2:$V$265,A7))</f>
        <v>1087997001</v>
      </c>
      <c r="C7" s="182" t="str" cm="1">
        <f t="array" ref="C7">IF(A7="","",INDEX(البيانات!$U$2:$U$265,A7))</f>
        <v>عسلة محمد جبار الريثي</v>
      </c>
      <c r="D7" s="182" cm="1">
        <f t="array" ref="D7">IF(A7="","",INDEX(البيانات!$T$2:$T$265,A7))</f>
        <v>0</v>
      </c>
      <c r="E7" s="182" t="str" cm="1">
        <f t="array" ref="E7">IF(A7="","",INDEX(البيانات!$F$2:$F$265,A7))</f>
        <v>القطاع الشمالي</v>
      </c>
      <c r="F7" s="182" t="str" cm="1">
        <f t="array" ref="F7">IF(A7="","",INDEX(البيانات!$Y$2:$Y$265,A7))</f>
        <v>0503938963</v>
      </c>
      <c r="G7" s="281"/>
      <c r="H7" s="281"/>
      <c r="I7" s="184" cm="1">
        <f t="array" ref="I7">IF(A7="","",INDEX(البيانات!$P$2:$P$265,A7))</f>
        <v>46106</v>
      </c>
      <c r="J7" s="283" t="str" cm="1">
        <f t="array" ref="J7">IF(A7="","",INDEX(البيانات!$AI$2:$AI$265,A7))</f>
        <v>30/3/2026</v>
      </c>
      <c r="K7" s="183" t="str">
        <f>IF(OR(A7="",J7="",I7=""),"",IF(NETWORKDAYS.INTL(I7,J7,"0000011")-1&lt;=2,"✅ ملتزم","❌ غير ملتزم"))</f>
        <v>❌ غير ملتزم</v>
      </c>
      <c r="L7" s="285" t="str" cm="1">
        <f t="array" ref="L7">IF(A7="","",INDEX(البيانات!$AJ$2:$AJ$265,A7))</f>
        <v>لم تحظر</v>
      </c>
      <c r="M7" s="286"/>
      <c r="N7" s="288"/>
      <c r="O7" s="167"/>
    </row>
    <row r="8" spans="1:15">
      <c r="A8" s="112" cm="1">
        <f t="array" ref="A8">IFERROR(SMALL(IF(البيانات!$AS$2:$AS$265="مستشفى بيش العام",البيانات!$AT$2:$AT$265),5),"")</f>
        <v>82</v>
      </c>
      <c r="B8" s="112" t="str" cm="1">
        <f t="array" ref="B8">IF(A8="","",INDEX(البيانات!$V$2:$V$265,A8))</f>
        <v>1115386177</v>
      </c>
      <c r="C8" s="112" t="str" cm="1">
        <f t="array" ref="C8">IF(A8="","",INDEX(البيانات!$U$2:$U$265,A8))</f>
        <v>DAWYA MOHAMMED JABER</v>
      </c>
      <c r="D8" s="112" cm="1">
        <f t="array" ref="D8">IF(A8="","",INDEX(البيانات!$T$2:$T$265,A8))</f>
        <v>0</v>
      </c>
      <c r="E8" s="112" t="str" cm="1">
        <f t="array" ref="E8">IF(A8="","",INDEX(البيانات!$F$2:$F$265,A8))</f>
        <v>القطاع الشمالي</v>
      </c>
      <c r="F8" s="112" t="str" cm="1">
        <f t="array" ref="F8">IF(A8="","",INDEX(البيانات!$Y$2:$Y$265,A8))</f>
        <v>0564446100</v>
      </c>
      <c r="G8" s="280"/>
      <c r="H8" s="280"/>
      <c r="I8" s="181" cm="1">
        <f t="array" ref="I8">IF(A8="","",INDEX(البيانات!$P$2:$P$265,A8))</f>
        <v>46110</v>
      </c>
      <c r="J8" s="282" t="str" cm="1">
        <f t="array" ref="J8">IF(A8="","",INDEX(البيانات!$AI$2:$AI$265,A8))</f>
        <v>1/4/2026</v>
      </c>
      <c r="K8" s="109" t="str">
        <f>IF(OR(A8="",J8="",I8=""),"",IF(NETWORKDAYS.INTL(I8,J8,"0000011")-1&lt;=2,"✅ ملتزم","❌ غير ملتزم"))</f>
        <v>✅ ملتزم</v>
      </c>
      <c r="L8" s="284" cm="1">
        <f t="array" ref="L8">IF(A8="","",INDEX(البيانات!$AJ$2:$AJ$265,A8))</f>
        <v>0</v>
      </c>
      <c r="M8" s="286"/>
      <c r="N8" s="288"/>
      <c r="O8" s="167"/>
    </row>
    <row r="9" spans="1:15">
      <c r="A9" s="182" cm="1">
        <f t="array" ref="A9">IFERROR(SMALL(IF(البيانات!$AS$2:$AS$265="مستشفى بيش العام",البيانات!$AT$2:$AT$265),6),"")</f>
        <v>95</v>
      </c>
      <c r="B9" s="182" t="str" cm="1">
        <f t="array" ref="B9">IF(A9="","",INDEX(البيانات!$V$2:$V$265,A9))</f>
        <v>1069979795</v>
      </c>
      <c r="C9" s="182" t="str" cm="1">
        <f t="array" ref="C9">IF(A9="","",INDEX(البيانات!$U$2:$U$265,A9))</f>
        <v>SAIDA ALI OKFI</v>
      </c>
      <c r="D9" s="182" cm="1">
        <f t="array" ref="D9">IF(A9="","",INDEX(البيانات!$T$2:$T$265,A9))</f>
        <v>0</v>
      </c>
      <c r="E9" s="182" t="str" cm="1">
        <f t="array" ref="E9">IF(A9="","",INDEX(البيانات!$F$2:$F$265,A9))</f>
        <v>القطاع الشمالي</v>
      </c>
      <c r="F9" s="182" t="str" cm="1">
        <f t="array" ref="F9">IF(A9="","",INDEX(البيانات!$Y$2:$Y$265,A9))</f>
        <v>0542170731</v>
      </c>
      <c r="G9" s="281"/>
      <c r="H9" s="281"/>
      <c r="I9" s="184" cm="1">
        <f t="array" ref="I9">IF(A9="","",INDEX(البيانات!$P$2:$P$265,A9))</f>
        <v>46111</v>
      </c>
      <c r="J9" s="283" t="str" cm="1">
        <f t="array" ref="J9">IF(A9="","",INDEX(البيانات!$AI$2:$AI$265,A9))</f>
        <v>6/4/2026</v>
      </c>
      <c r="K9" s="183" t="str">
        <f>IF(OR(A9="",J9="",I9=""),"",IF(NETWORKDAYS.INTL(I9,J9,"0000011")-1&lt;=2,"✅ ملتزم","❌ غير ملتزم"))</f>
        <v>❌ غير ملتزم</v>
      </c>
      <c r="L9" s="285" t="str" cm="1">
        <f t="array" ref="L9">IF(A9="","",INDEX(البيانات!$AJ$2:$AJ$265,A9))</f>
        <v>لم تحظر</v>
      </c>
      <c r="M9" s="286"/>
      <c r="N9" s="288"/>
      <c r="O9" s="167"/>
    </row>
    <row r="10" spans="1:15">
      <c r="A10" s="112" cm="1">
        <f t="array" ref="A10">IFERROR(SMALL(IF(البيانات!$AS$2:$AS$265="مستشفى بيش العام",البيانات!$AT$2:$AT$265),8),"")</f>
        <v>124</v>
      </c>
      <c r="B10" s="112" cm="1">
        <f t="array" ref="B10">IF(A10="","",INDEX(البيانات!$V$2:$V$265,A10))</f>
        <v>1081663989</v>
      </c>
      <c r="C10" s="112" t="str" cm="1">
        <f t="array" ref="C10">IF(A10="","",INDEX(البيانات!$U$2:$U$265,A10))</f>
        <v>هدي منصور عبده حمدي</v>
      </c>
      <c r="D10" s="112" cm="1">
        <f t="array" ref="D10">IF(A10="","",INDEX(البيانات!$T$2:$T$265,A10))</f>
        <v>33</v>
      </c>
      <c r="E10" s="112" t="str" cm="1">
        <f t="array" ref="E10">IF(A10="","",INDEX(البيانات!$F$2:$F$265,A10))</f>
        <v>القطاع الجنوبي Southern Sector</v>
      </c>
      <c r="F10" s="112" cm="1">
        <f t="array" ref="F10">IF(A10="","",INDEX(البيانات!$Y$2:$Y$265,A10))</f>
        <v>554981502</v>
      </c>
      <c r="G10" s="280"/>
      <c r="H10" s="280"/>
      <c r="I10" s="181" cm="1">
        <f t="array" ref="I10">IF(A10="","",INDEX(البيانات!$P$2:$P$265,A10))</f>
        <v>46117</v>
      </c>
      <c r="J10" s="282" cm="1">
        <f t="array" ref="J10">IF(A10="","",INDEX(البيانات!$AI$2:$AI$265,A10))</f>
        <v>46120</v>
      </c>
      <c r="K10" s="109" t="str">
        <f>IF(OR(A10="",J10="",I10=""),"",IF(NETWORKDAYS.INTL(I10,J10,"0000011")-1&lt;=2,"✅ ملتزم","❌ غير ملتزم"))</f>
        <v>✅ ملتزم</v>
      </c>
      <c r="L10" s="284" t="str" cm="1">
        <f t="array" ref="L10">IF(A10="","",INDEX(البيانات!$AJ$2:$AJ$265,A10))</f>
        <v>حضرت</v>
      </c>
      <c r="M10" s="286"/>
      <c r="N10" s="288"/>
      <c r="O10" s="167"/>
    </row>
    <row r="11" spans="1:15">
      <c r="A11" s="182" cm="1">
        <f t="array" ref="A11">IFERROR(SMALL(IF(البيانات!$AS$2:$AS$265="مستشفى بيش العام",البيانات!$AT$2:$AT$265),9),"")</f>
        <v>172</v>
      </c>
      <c r="B11" s="182" t="str" cm="1">
        <f t="array" ref="B11">IF(A11="","",INDEX(البيانات!$V$2:$V$265,A11))</f>
        <v>1074755255</v>
      </c>
      <c r="C11" s="182" t="str" cm="1">
        <f t="array" ref="C11">IF(A11="","",INDEX(البيانات!$U$2:$U$265,A11))</f>
        <v>HAWMAA ALI IBRAHIM FOQERY</v>
      </c>
      <c r="D11" s="182" t="str" cm="1">
        <f t="array" ref="D11">IF(A11="","",INDEX(البيانات!$T$2:$T$265,A11))</f>
        <v>41</v>
      </c>
      <c r="E11" s="182" t="str" cm="1">
        <f t="array" ref="E11">IF(A11="","",INDEX(البيانات!$F$2:$F$265,A11))</f>
        <v>Northern Sectorالقطاع الشمالي</v>
      </c>
      <c r="F11" s="182" t="str" cm="1">
        <f t="array" ref="F11">IF(A11="","",INDEX(البيانات!$Y$2:$Y$265,A11))</f>
        <v>0559124824</v>
      </c>
      <c r="G11" s="281"/>
      <c r="H11" s="281"/>
      <c r="I11" s="184" cm="1">
        <f t="array" ref="I11">IF(A11="","",INDEX(البيانات!$P$2:$P$265,A11))</f>
        <v>46127</v>
      </c>
      <c r="J11" s="283" cm="1">
        <f t="array" ref="J11">IF(A11="","",INDEX(البيانات!$AI$2:$AI$265,A11))</f>
        <v>46134</v>
      </c>
      <c r="K11" s="183" t="str">
        <f>IF(OR(A11="",J11="",I11=""),"",IF(NETWORKDAYS.INTL(I11,J11,"0000011")-1&lt;=2,"✅ ملتزم","❌ غير ملتزم"))</f>
        <v>❌ غير ملتزم</v>
      </c>
      <c r="L11" s="285" t="str" cm="1">
        <f t="array" ref="L11">IF(A11="","",INDEX(البيانات!$AJ$2:$AJ$265,A11))</f>
        <v>حضرت</v>
      </c>
      <c r="M11" s="286"/>
      <c r="N11" s="288"/>
      <c r="O11" s="167"/>
    </row>
    <row r="12" spans="1:15">
      <c r="A12" s="112" cm="1">
        <f t="array" ref="A12">IFERROR(SMALL(IF(البيانات!$AS$2:$AS$265="مستشفى بيش العام",البيانات!$AT$2:$AT$265),10),"")</f>
        <v>194</v>
      </c>
      <c r="B12" s="112" cm="1">
        <f t="array" ref="B12">IF(A12="","",INDEX(البيانات!$V$2:$V$265,A12))</f>
        <v>1115266841</v>
      </c>
      <c r="C12" s="112" t="str" cm="1">
        <f t="array" ref="C12">IF(A12="","",INDEX(البيانات!$U$2:$U$265,A12))</f>
        <v>SALMA ALI JABBAR</v>
      </c>
      <c r="D12" s="112" cm="1">
        <f t="array" ref="D12">IF(A12="","",INDEX(البيانات!$T$2:$T$265,A12))</f>
        <v>24</v>
      </c>
      <c r="E12" s="112" t="str" cm="1">
        <f t="array" ref="E12">IF(A12="","",INDEX(البيانات!$F$2:$F$265,A12))</f>
        <v>Northern Sectorالقطاع الشمالي</v>
      </c>
      <c r="F12" s="112" t="str" cm="1">
        <f t="array" ref="F12">IF(A12="","",INDEX(البيانات!$Y$2:$Y$265,A12))</f>
        <v>0531540496</v>
      </c>
      <c r="G12" s="280"/>
      <c r="H12" s="280"/>
      <c r="I12" s="181" cm="1">
        <f t="array" ref="I12">IF(A12="","",INDEX(البيانات!$P$2:$P$265,A12))</f>
        <v>46133</v>
      </c>
      <c r="J12" s="282" cm="1">
        <f t="array" ref="J12">IF(A12="","",INDEX(البيانات!$AI$2:$AI$265,A12))</f>
        <v>46138</v>
      </c>
      <c r="K12" s="109" t="str">
        <f>IF(OR(A12="",J12="",I12=""),"",IF(NETWORKDAYS.INTL(I12,J12,"0000011")-1&lt;=2,"✅ ملتزم","❌ غير ملتزم"))</f>
        <v>❌ غير ملتزم</v>
      </c>
      <c r="L12" s="284" t="str" cm="1">
        <f t="array" ref="L12">IF(A12="","",INDEX(البيانات!$AJ$2:$AJ$265,A12))</f>
        <v>حضرت</v>
      </c>
      <c r="M12" s="286"/>
      <c r="N12" s="288"/>
      <c r="O12" s="167"/>
    </row>
    <row r="13" spans="1:15">
      <c r="A13" s="182" cm="1">
        <f t="array" ref="A13">IFERROR(SMALL(IF(البيانات!$AS$2:$AS$265="مستشفى بيش العام",البيانات!$AT$2:$AT$265),11),"")</f>
        <v>196</v>
      </c>
      <c r="B13" s="182" t="str" cm="1">
        <f t="array" ref="B13">IF(A13="","",INDEX(البيانات!$V$2:$V$265,A13))</f>
        <v>1105342776</v>
      </c>
      <c r="C13" s="182" t="str" cm="1">
        <f t="array" ref="C13">IF(A13="","",INDEX(البيانات!$U$2:$U$265,A13))</f>
        <v>MASHAEL  JABER  SAWHAN</v>
      </c>
      <c r="D13" s="182" cm="1">
        <f t="array" ref="D13">IF(A13="","",INDEX(البيانات!$T$2:$T$265,A13))</f>
        <v>27</v>
      </c>
      <c r="E13" s="182" t="str" cm="1">
        <f t="array" ref="E13">IF(A13="","",INDEX(البيانات!$F$2:$F$265,A13))</f>
        <v>Northern Sectorالقطاع الشمالي</v>
      </c>
      <c r="F13" s="182" t="str" cm="1">
        <f t="array" ref="F13">IF(A13="","",INDEX(البيانات!$Y$2:$Y$265,A13))</f>
        <v>0505712256</v>
      </c>
      <c r="G13" s="281"/>
      <c r="H13" s="281"/>
      <c r="I13" s="184" cm="1">
        <f t="array" ref="I13">IF(A13="","",INDEX(البيانات!$P$2:$P$265,A13))</f>
        <v>46133</v>
      </c>
      <c r="J13" s="283" cm="1">
        <f t="array" ref="J13">IF(A13="","",INDEX(البيانات!$AI$2:$AI$265,A13))</f>
        <v>46138</v>
      </c>
      <c r="K13" s="183" t="str">
        <f>IF(OR(A13="",J13="",I13=""),"",IF(NETWORKDAYS.INTL(I13,J13,"0000011")-1&lt;=2,"✅ ملتزم","❌ غير ملتزم"))</f>
        <v>❌ غير ملتزم</v>
      </c>
      <c r="L13" s="285" t="str" cm="1">
        <f t="array" ref="L13">IF(A13="","",INDEX(البيانات!$AJ$2:$AJ$265,A13))</f>
        <v>تراجع بمستشفى اخر</v>
      </c>
      <c r="M13" s="286"/>
      <c r="N13" s="288"/>
      <c r="O13" s="167"/>
    </row>
    <row r="14" spans="1:15">
      <c r="A14" s="112" cm="1">
        <f t="array" ref="A14">IFERROR(SMALL(IF(البيانات!$AS$2:$AS$265="مستشفى بيش العام",البيانات!$AT$2:$AT$265),12),"")</f>
        <v>220</v>
      </c>
      <c r="B14" s="112" t="str" cm="1">
        <f t="array" ref="B14">IF(A14="","",INDEX(البيانات!$V$2:$V$265,A14))</f>
        <v>2493426882</v>
      </c>
      <c r="C14" s="112" t="str" cm="1">
        <f t="array" ref="C14">IF(A14="","",INDEX(البيانات!$U$2:$U$265,A14))</f>
        <v>MUIDHAH ABDU ABDULLAH WAHHAN</v>
      </c>
      <c r="D14" s="112" cm="1">
        <f t="array" ref="D14">IF(A14="","",INDEX(البيانات!$T$2:$T$265,A14))</f>
        <v>41</v>
      </c>
      <c r="E14" s="112" t="str" cm="1">
        <f t="array" ref="E14">IF(A14="","",INDEX(البيانات!$F$2:$F$265,A14))</f>
        <v>Northern Sectorالقطاع الشمالي</v>
      </c>
      <c r="F14" s="112" t="str" cm="1">
        <f t="array" ref="F14">IF(A14="","",INDEX(البيانات!$Y$2:$Y$265,A14))</f>
        <v>0551582582</v>
      </c>
      <c r="G14" s="280"/>
      <c r="H14" s="280"/>
      <c r="I14" s="181" cm="1">
        <f t="array" ref="I14">IF(A14="","",INDEX(البيانات!$P$2:$P$265,A14))</f>
        <v>46140</v>
      </c>
      <c r="J14" s="282" cm="1">
        <f t="array" ref="J14">IF(A14="","",INDEX(البيانات!$AI$2:$AI$265,A14))</f>
        <v>46146</v>
      </c>
      <c r="K14" s="109" t="str">
        <f>IF(OR(A14="",J14="",I14=""),"",IF(NETWORKDAYS.INTL(I14,J14,"0000011")-1&lt;=2,"✅ ملتزم","❌ غير ملتزم"))</f>
        <v>❌ غير ملتزم</v>
      </c>
      <c r="L14" s="284" t="str" cm="1">
        <f t="array" ref="L14">IF(A14="","",INDEX(البيانات!$AJ$2:$AJ$265,A14))</f>
        <v xml:space="preserve">لم تحضر </v>
      </c>
      <c r="M14" s="286"/>
      <c r="N14" s="288"/>
      <c r="O14" s="167"/>
    </row>
    <row r="15" spans="1:15">
      <c r="A15" s="182" cm="1">
        <f t="array" ref="A15">IFERROR(SMALL(IF(البيانات!$AS$2:$AS$265="مستشفى بيش العام",البيانات!$AT$2:$AT$265),13),"")</f>
        <v>230</v>
      </c>
      <c r="B15" s="182" t="str" cm="1">
        <f t="array" ref="B15">IF(A15="","",INDEX(البيانات!$V$2:$V$265,A15))</f>
        <v>1153311335</v>
      </c>
      <c r="C15" s="182" t="str" cm="1">
        <f t="array" ref="C15">IF(A15="","",INDEX(البيانات!$U$2:$U$265,A15))</f>
        <v xml:space="preserve">fatma ali  masoud  </v>
      </c>
      <c r="D15" s="182" cm="1">
        <f t="array" ref="D15">IF(A15="","",INDEX(البيانات!$T$2:$T$265,A15))</f>
        <v>15</v>
      </c>
      <c r="E15" s="182" t="str" cm="1">
        <f t="array" ref="E15">IF(A15="","",INDEX(البيانات!$F$2:$F$265,A15))</f>
        <v>Northern Sectorالقطاع الشمالي</v>
      </c>
      <c r="F15" s="182" t="str" cm="1">
        <f t="array" ref="F15">IF(A15="","",INDEX(البيانات!$Y$2:$Y$265,A15))</f>
        <v>0502575617</v>
      </c>
      <c r="G15" s="281"/>
      <c r="H15" s="281"/>
      <c r="I15" s="184" cm="1">
        <f t="array" ref="I15">IF(A15="","",INDEX(البيانات!$P$2:$P$265,A15))</f>
        <v>46145</v>
      </c>
      <c r="J15" s="283" cm="1">
        <f t="array" ref="J15">IF(A15="","",INDEX(البيانات!$AI$2:$AI$265,A15))</f>
        <v>46146</v>
      </c>
      <c r="K15" s="183" t="str">
        <f>IF(OR(A15="",J15="",I15=""),"",IF(NETWORKDAYS.INTL(I15,J15,"0000011")-1&lt;=2,"✅ ملتزم","❌ غير ملتزم"))</f>
        <v>✅ ملتزم</v>
      </c>
      <c r="L15" s="285" t="str" cm="1">
        <f t="array" ref="L15">IF(A15="","",INDEX(البيانات!$AJ$2:$AJ$265,A15))</f>
        <v xml:space="preserve">لم تحضر </v>
      </c>
      <c r="M15" s="286"/>
      <c r="N15" s="288"/>
      <c r="O15" s="167"/>
    </row>
    <row r="16" spans="1:15">
      <c r="A16" s="112" cm="1">
        <f t="array" ref="A16">IFERROR(SMALL(IF(البيانات!$AS$2:$AS$265="مستشفى بيش العام",البيانات!$AT$2:$AT$265),14),"")</f>
        <v>236</v>
      </c>
      <c r="B16" s="112" cm="1">
        <f t="array" ref="B16">IF(A16="","",INDEX(البيانات!$V$2:$V$265,A16))</f>
        <v>1123199612</v>
      </c>
      <c r="C16" s="112" t="str" cm="1">
        <f t="array" ref="C16">IF(A16="","",INDEX(البيانات!$U$2:$U$265,A16))</f>
        <v>SALHA JABBAR  ALI</v>
      </c>
      <c r="D16" s="112" cm="1">
        <f t="array" ref="D16">IF(A16="","",INDEX(البيانات!$T$2:$T$265,A16))</f>
        <v>29</v>
      </c>
      <c r="E16" s="112" t="str" cm="1">
        <f t="array" ref="E16">IF(A16="","",INDEX(البيانات!$F$2:$F$265,A16))</f>
        <v>Northern Sectorالقطاع الشمالي</v>
      </c>
      <c r="F16" s="112" t="str" cm="1">
        <f t="array" ref="F16">IF(A16="","",INDEX(البيانات!$Y$2:$Y$265,A16))</f>
        <v>0583684612</v>
      </c>
      <c r="G16" s="280"/>
      <c r="H16" s="280"/>
      <c r="I16" s="181" cm="1">
        <f t="array" ref="I16">IF(A16="","",INDEX(البيانات!$P$2:$P$265,A16))</f>
        <v>46145</v>
      </c>
      <c r="J16" s="282" cm="1">
        <f t="array" ref="J16">IF(A16="","",INDEX(البيانات!$AI$2:$AI$265,A16))</f>
        <v>46146</v>
      </c>
      <c r="K16" s="109" t="str">
        <f>IF(OR(A16="",J16="",I16=""),"",IF(NETWORKDAYS.INTL(I16,J16,"0000011")-1&lt;=2,"✅ ملتزم","❌ غير ملتزم"))</f>
        <v>✅ ملتزم</v>
      </c>
      <c r="L16" s="284" t="str" cm="1">
        <f t="array" ref="L16">IF(A16="","",INDEX(البيانات!$AJ$2:$AJ$265,A16))</f>
        <v>حضرت</v>
      </c>
      <c r="M16" s="286"/>
      <c r="N16" s="288"/>
      <c r="O16" s="167"/>
    </row>
    <row r="17" spans="1:15">
      <c r="A17" s="182" cm="1">
        <f t="array" ref="A17">IFERROR(SMALL(IF(البيانات!$AS$2:$AS$265="مستشفى بيش العام",البيانات!$AT$2:$AT$265),15),"")</f>
        <v>262</v>
      </c>
      <c r="B17" s="182" t="str" cm="1">
        <f t="array" ref="B17">IF(A17="","",INDEX(البيانات!$V$2:$V$265,A17))</f>
        <v>1053242747</v>
      </c>
      <c r="C17" s="182" t="str" cm="1">
        <f t="array" ref="C17">IF(A17="","",INDEX(البيانات!$U$2:$U$265,A17))</f>
        <v>LOBNA YAHYA MARUI HAMLAN</v>
      </c>
      <c r="D17" s="182" cm="1">
        <f t="array" ref="D17">IF(A17="","",INDEX(البيانات!$T$2:$T$265,A17))</f>
        <v>41</v>
      </c>
      <c r="E17" s="182" t="str" cm="1">
        <f t="array" ref="E17">IF(A17="","",INDEX(البيانات!$F$2:$F$265,A17))</f>
        <v>Northern Sectorالقطاع الشمالي</v>
      </c>
      <c r="F17" s="182" t="str" cm="1">
        <f t="array" ref="F17">IF(A17="","",INDEX(البيانات!$Y$2:$Y$265,A17))</f>
        <v>0593135256</v>
      </c>
      <c r="G17" s="281"/>
      <c r="H17" s="281"/>
      <c r="I17" s="184" cm="1">
        <f t="array" ref="I17">IF(A17="","",INDEX(البيانات!$P$2:$P$265,A17))</f>
        <v>46149</v>
      </c>
      <c r="J17" s="283"/>
      <c r="K17" s="183" t="str">
        <f>IF(OR(A17="",J17="",I17=""),"",IF(NETWORKDAYS.INTL(I17,J17,"0000011")-1&lt;=2,"✅ ملتزم","❌ غير ملتزم"))</f>
        <v/>
      </c>
      <c r="L17" s="285" cm="1">
        <f t="array" ref="L17">IF(A17="","",INDEX(البيانات!$AJ$2:$AJ$265,A17))</f>
        <v>0</v>
      </c>
      <c r="M17" s="286"/>
      <c r="N17" s="289"/>
      <c r="O17" s="167"/>
    </row>
    <row r="18" spans="1:15">
      <c r="A18" s="177"/>
      <c r="B18" s="177"/>
      <c r="C18" s="177"/>
      <c r="D18" s="177"/>
      <c r="E18" s="177"/>
      <c r="F18" s="177"/>
      <c r="G18" s="290"/>
      <c r="H18" s="290"/>
      <c r="I18" s="179"/>
      <c r="J18" s="291"/>
      <c r="K18" s="178"/>
      <c r="L18" s="292"/>
      <c r="M18" s="292"/>
      <c r="O18" s="167"/>
    </row>
    <row r="19" spans="1:15">
      <c r="A19" s="177"/>
      <c r="B19" s="177"/>
      <c r="C19" s="177"/>
      <c r="D19" s="177"/>
      <c r="E19" s="177"/>
      <c r="F19" s="177"/>
      <c r="G19" s="290"/>
      <c r="H19" s="290"/>
      <c r="I19" s="179"/>
      <c r="J19" s="291"/>
      <c r="K19" s="178"/>
      <c r="L19" s="292"/>
      <c r="M19" s="292"/>
      <c r="O19" s="167"/>
    </row>
    <row r="20" spans="1:15">
      <c r="A20" s="177"/>
      <c r="B20" s="177"/>
      <c r="C20" s="177"/>
      <c r="D20" s="177"/>
      <c r="E20" s="177"/>
      <c r="F20" s="177"/>
      <c r="G20" s="290"/>
      <c r="H20" s="290"/>
      <c r="I20" s="179"/>
      <c r="J20" s="291"/>
      <c r="K20" s="178"/>
      <c r="L20" s="292"/>
      <c r="M20" s="292"/>
      <c r="O20" s="167"/>
    </row>
    <row r="21" spans="1:15">
      <c r="A21" s="177"/>
      <c r="B21" s="177"/>
      <c r="C21" s="177"/>
      <c r="D21" s="177"/>
      <c r="E21" s="177"/>
      <c r="F21" s="177"/>
      <c r="G21" s="290"/>
      <c r="H21" s="290"/>
      <c r="I21" s="179"/>
      <c r="J21" s="291"/>
      <c r="K21" s="178"/>
      <c r="L21" s="292"/>
      <c r="M21" s="292"/>
      <c r="O21" s="167"/>
    </row>
    <row r="22" spans="1:15">
      <c r="A22" s="177"/>
      <c r="B22" s="177"/>
      <c r="C22" s="177"/>
      <c r="D22" s="177"/>
      <c r="E22" s="177"/>
      <c r="F22" s="177"/>
      <c r="G22" s="290"/>
      <c r="H22" s="290"/>
      <c r="I22" s="179"/>
      <c r="J22" s="291"/>
      <c r="K22" s="178"/>
      <c r="L22" s="292"/>
      <c r="M22" s="292"/>
      <c r="O22" s="167"/>
    </row>
    <row r="23" spans="1:15">
      <c r="A23" s="177"/>
      <c r="B23" s="177"/>
      <c r="C23" s="177"/>
      <c r="D23" s="177"/>
      <c r="E23" s="177"/>
      <c r="F23" s="177"/>
      <c r="G23" s="290"/>
      <c r="H23" s="290"/>
      <c r="I23" s="179"/>
      <c r="J23" s="291"/>
      <c r="K23" s="178"/>
      <c r="L23" s="292"/>
      <c r="M23" s="292"/>
      <c r="O23" s="167"/>
    </row>
    <row r="24" spans="1:15">
      <c r="A24" s="177"/>
      <c r="B24" s="177"/>
      <c r="C24" s="177"/>
      <c r="D24" s="177"/>
      <c r="E24" s="177"/>
      <c r="F24" s="177"/>
      <c r="G24" s="290"/>
      <c r="H24" s="290"/>
      <c r="I24" s="179"/>
      <c r="J24" s="291"/>
      <c r="K24" s="178"/>
      <c r="L24" s="292"/>
      <c r="M24" s="292"/>
      <c r="O24" s="167"/>
    </row>
    <row r="25" spans="1:15">
      <c r="A25" s="177"/>
      <c r="B25" s="177"/>
      <c r="C25" s="177"/>
      <c r="D25" s="177"/>
      <c r="E25" s="177"/>
      <c r="F25" s="177"/>
      <c r="G25" s="290"/>
      <c r="H25" s="290"/>
      <c r="I25" s="179"/>
      <c r="J25" s="291"/>
      <c r="K25" s="178"/>
      <c r="L25" s="292"/>
      <c r="M25" s="292"/>
      <c r="O25" s="167"/>
    </row>
    <row r="26" spans="1:15">
      <c r="A26" s="177"/>
      <c r="B26" s="177"/>
      <c r="C26" s="177"/>
      <c r="D26" s="177"/>
      <c r="E26" s="177"/>
      <c r="F26" s="177"/>
      <c r="G26" s="290"/>
      <c r="H26" s="290"/>
      <c r="I26" s="179"/>
      <c r="J26" s="291"/>
      <c r="K26" s="178"/>
      <c r="L26" s="292"/>
      <c r="M26" s="292"/>
      <c r="O26" s="167"/>
    </row>
    <row r="27" spans="1:15">
      <c r="A27" s="177"/>
      <c r="B27" s="177"/>
      <c r="C27" s="177"/>
      <c r="D27" s="177"/>
      <c r="E27" s="177"/>
      <c r="F27" s="177"/>
      <c r="G27" s="290"/>
      <c r="H27" s="290"/>
      <c r="I27" s="179"/>
      <c r="J27" s="291"/>
      <c r="K27" s="178"/>
      <c r="L27" s="292"/>
      <c r="M27" s="292"/>
      <c r="O27" s="167"/>
    </row>
    <row r="28" spans="1:15">
      <c r="A28" s="177"/>
      <c r="B28" s="177"/>
      <c r="C28" s="177"/>
      <c r="D28" s="177"/>
      <c r="E28" s="177"/>
      <c r="F28" s="177"/>
      <c r="G28" s="290"/>
      <c r="H28" s="290"/>
      <c r="I28" s="179"/>
      <c r="J28" s="291"/>
      <c r="K28" s="178"/>
      <c r="L28" s="292"/>
      <c r="M28" s="292"/>
      <c r="O28" s="167"/>
    </row>
    <row r="29" spans="1:15">
      <c r="A29" s="177"/>
      <c r="B29" s="177"/>
      <c r="C29" s="177"/>
      <c r="D29" s="177"/>
      <c r="E29" s="177"/>
      <c r="F29" s="177"/>
      <c r="G29" s="290"/>
      <c r="H29" s="290"/>
      <c r="I29" s="179"/>
      <c r="J29" s="291"/>
      <c r="K29" s="178"/>
      <c r="L29" s="292"/>
      <c r="M29" s="292"/>
      <c r="O29" s="167"/>
    </row>
    <row r="30" spans="1:15">
      <c r="A30" s="177"/>
      <c r="B30" s="177"/>
      <c r="C30" s="177"/>
      <c r="D30" s="177"/>
      <c r="E30" s="177"/>
      <c r="F30" s="177"/>
      <c r="G30" s="290"/>
      <c r="H30" s="290"/>
      <c r="I30" s="179"/>
      <c r="J30" s="291"/>
      <c r="K30" s="178"/>
      <c r="L30" s="292"/>
      <c r="M30" s="292"/>
      <c r="O30" s="167"/>
    </row>
    <row r="31" spans="1:15">
      <c r="A31" s="177"/>
      <c r="B31" s="177"/>
      <c r="C31" s="177"/>
      <c r="D31" s="177"/>
      <c r="E31" s="177"/>
      <c r="F31" s="177"/>
      <c r="G31" s="290"/>
      <c r="H31" s="290"/>
      <c r="I31" s="179"/>
      <c r="J31" s="291"/>
      <c r="K31" s="178"/>
      <c r="L31" s="292"/>
      <c r="M31" s="292"/>
      <c r="O31" s="167"/>
    </row>
    <row r="32" spans="1:15">
      <c r="A32" s="177"/>
      <c r="B32" s="177"/>
      <c r="C32" s="177"/>
      <c r="D32" s="177"/>
      <c r="E32" s="177"/>
      <c r="F32" s="177"/>
      <c r="G32" s="290"/>
      <c r="H32" s="290"/>
      <c r="I32" s="179"/>
      <c r="J32" s="291"/>
      <c r="K32" s="178"/>
      <c r="L32" s="292"/>
      <c r="M32" s="292"/>
      <c r="O32" s="167"/>
    </row>
    <row r="33" spans="1:13">
      <c r="A33" s="177"/>
      <c r="B33" s="177"/>
      <c r="C33" s="177"/>
      <c r="D33" s="177"/>
      <c r="E33" s="177"/>
      <c r="F33" s="177"/>
      <c r="G33" s="290"/>
      <c r="H33" s="290"/>
      <c r="I33" s="177"/>
      <c r="J33" s="290"/>
      <c r="K33" s="177"/>
      <c r="L33" s="292"/>
      <c r="M33" s="292"/>
    </row>
    <row r="34" spans="1:13">
      <c r="A34" s="177"/>
      <c r="B34" s="177"/>
      <c r="C34" s="177"/>
      <c r="D34" s="177"/>
      <c r="E34" s="177"/>
      <c r="F34" s="177"/>
      <c r="G34" s="290"/>
      <c r="H34" s="290"/>
      <c r="I34" s="177"/>
      <c r="J34" s="290"/>
      <c r="K34" s="177"/>
      <c r="L34" s="292"/>
      <c r="M34" s="292"/>
    </row>
    <row r="35" spans="1:13">
      <c r="A35" s="177"/>
      <c r="B35" s="177"/>
      <c r="C35" s="177"/>
      <c r="D35" s="177"/>
      <c r="E35" s="177"/>
      <c r="F35" s="177"/>
      <c r="G35" s="290"/>
      <c r="H35" s="290"/>
      <c r="I35" s="177"/>
      <c r="J35" s="290"/>
      <c r="K35" s="177"/>
      <c r="L35" s="290"/>
      <c r="M35" s="290"/>
    </row>
    <row r="36" spans="1:13">
      <c r="A36" s="177"/>
      <c r="B36" s="177"/>
      <c r="C36" s="177"/>
      <c r="D36" s="177"/>
      <c r="E36" s="177"/>
      <c r="F36" s="177"/>
      <c r="G36" s="290"/>
      <c r="H36" s="290"/>
      <c r="I36" s="177"/>
      <c r="J36" s="290"/>
      <c r="K36" s="177"/>
      <c r="L36" s="290"/>
      <c r="M36" s="290"/>
    </row>
    <row r="37" spans="1:13">
      <c r="A37" s="177"/>
      <c r="B37" s="177"/>
      <c r="C37" s="177"/>
      <c r="D37" s="177"/>
      <c r="E37" s="177"/>
      <c r="F37" s="177"/>
      <c r="G37" s="290"/>
      <c r="H37" s="290"/>
      <c r="I37" s="177"/>
      <c r="J37" s="290"/>
      <c r="K37" s="177"/>
      <c r="L37" s="290"/>
      <c r="M37" s="290"/>
    </row>
    <row r="38" spans="1:13">
      <c r="A38" s="177"/>
      <c r="B38" s="177"/>
      <c r="C38" s="177"/>
      <c r="D38" s="177"/>
      <c r="E38" s="177"/>
      <c r="F38" s="177"/>
      <c r="G38" s="290"/>
      <c r="H38" s="290"/>
      <c r="I38" s="177"/>
      <c r="J38" s="290"/>
      <c r="K38" s="177"/>
      <c r="L38" s="290"/>
      <c r="M38" s="290"/>
    </row>
    <row r="39" spans="1:13">
      <c r="A39" s="177"/>
      <c r="B39" s="177"/>
      <c r="C39" s="177"/>
      <c r="D39" s="177"/>
      <c r="E39" s="177"/>
      <c r="F39" s="177"/>
      <c r="G39" s="290"/>
      <c r="H39" s="290"/>
      <c r="I39" s="177"/>
      <c r="J39" s="290"/>
      <c r="K39" s="177"/>
      <c r="L39" s="290"/>
      <c r="M39" s="290"/>
    </row>
    <row r="40" spans="1:13">
      <c r="A40" s="177"/>
      <c r="B40" s="177"/>
      <c r="C40" s="177"/>
      <c r="D40" s="177"/>
      <c r="E40" s="177"/>
      <c r="F40" s="177"/>
      <c r="G40" s="290"/>
      <c r="H40" s="290"/>
      <c r="I40" s="177"/>
      <c r="J40" s="290"/>
      <c r="K40" s="177"/>
      <c r="L40" s="290"/>
      <c r="M40" s="290"/>
    </row>
    <row r="41" spans="1:13">
      <c r="A41" s="177"/>
      <c r="B41" s="177"/>
      <c r="C41" s="177"/>
      <c r="D41" s="177"/>
      <c r="E41" s="177"/>
      <c r="F41" s="177"/>
      <c r="G41" s="290"/>
      <c r="H41" s="290"/>
      <c r="I41" s="177"/>
      <c r="J41" s="290"/>
      <c r="K41" s="177"/>
      <c r="L41" s="290"/>
      <c r="M41" s="290"/>
    </row>
    <row r="42" spans="1:13">
      <c r="A42" s="177"/>
      <c r="B42" s="177"/>
      <c r="C42" s="177"/>
      <c r="D42" s="177"/>
      <c r="E42" s="177"/>
      <c r="F42" s="177"/>
      <c r="G42" s="290"/>
      <c r="H42" s="290"/>
      <c r="I42" s="177"/>
      <c r="J42" s="290"/>
      <c r="K42" s="177"/>
      <c r="L42" s="290"/>
      <c r="M42" s="290"/>
    </row>
    <row r="43" spans="1:13">
      <c r="A43" s="177"/>
      <c r="B43" s="177"/>
      <c r="C43" s="177"/>
      <c r="D43" s="177"/>
      <c r="E43" s="177"/>
      <c r="F43" s="177"/>
      <c r="G43" s="290"/>
      <c r="H43" s="290"/>
      <c r="I43" s="177"/>
      <c r="J43" s="290"/>
      <c r="K43" s="177"/>
      <c r="L43" s="290"/>
      <c r="M43" s="290"/>
    </row>
    <row r="44" spans="1:13">
      <c r="A44" s="177"/>
      <c r="B44" s="177"/>
      <c r="C44" s="177"/>
      <c r="D44" s="177"/>
      <c r="E44" s="177"/>
      <c r="F44" s="177"/>
      <c r="G44" s="290"/>
      <c r="H44" s="290"/>
      <c r="I44" s="177"/>
      <c r="J44" s="290"/>
      <c r="K44" s="177"/>
      <c r="L44" s="290"/>
      <c r="M44" s="290"/>
    </row>
    <row r="45" spans="1:13">
      <c r="A45" s="177"/>
      <c r="B45" s="177"/>
      <c r="C45" s="177"/>
      <c r="D45" s="177"/>
      <c r="E45" s="177"/>
      <c r="F45" s="177"/>
      <c r="G45" s="290"/>
      <c r="H45" s="290"/>
      <c r="I45" s="177"/>
      <c r="J45" s="290"/>
      <c r="K45" s="177"/>
      <c r="L45" s="290"/>
      <c r="M45" s="290"/>
    </row>
    <row r="46" spans="1:13">
      <c r="A46" s="177"/>
      <c r="B46" s="177"/>
      <c r="C46" s="177"/>
      <c r="D46" s="177"/>
      <c r="E46" s="177"/>
      <c r="F46" s="177"/>
      <c r="G46" s="290"/>
      <c r="H46" s="290"/>
      <c r="I46" s="177"/>
      <c r="J46" s="290"/>
      <c r="K46" s="177"/>
      <c r="L46" s="290"/>
      <c r="M46" s="290"/>
    </row>
    <row r="47" spans="1:13">
      <c r="A47" s="177"/>
      <c r="B47" s="177"/>
      <c r="C47" s="177"/>
      <c r="D47" s="177"/>
      <c r="E47" s="177"/>
      <c r="F47" s="177"/>
      <c r="G47" s="290"/>
      <c r="H47" s="290"/>
      <c r="I47" s="177"/>
      <c r="J47" s="290"/>
      <c r="K47" s="177"/>
      <c r="L47" s="290"/>
      <c r="M47" s="290"/>
    </row>
    <row r="48" spans="1:13">
      <c r="A48" s="177"/>
      <c r="B48" s="177"/>
      <c r="C48" s="177"/>
      <c r="D48" s="177"/>
      <c r="E48" s="177"/>
      <c r="F48" s="177"/>
      <c r="G48" s="290"/>
      <c r="H48" s="290"/>
      <c r="I48" s="177"/>
      <c r="J48" s="290"/>
      <c r="K48" s="177"/>
      <c r="L48" s="290"/>
      <c r="M48" s="290"/>
    </row>
    <row r="49" spans="1:13">
      <c r="A49" s="177"/>
      <c r="B49" s="177"/>
      <c r="C49" s="177"/>
      <c r="D49" s="177"/>
      <c r="E49" s="177"/>
      <c r="F49" s="177"/>
      <c r="G49" s="290"/>
      <c r="H49" s="290"/>
      <c r="I49" s="177"/>
      <c r="J49" s="290"/>
      <c r="K49" s="177"/>
      <c r="L49" s="290"/>
      <c r="M49" s="290"/>
    </row>
    <row r="50" spans="1:13">
      <c r="A50" s="177"/>
      <c r="B50" s="177"/>
      <c r="C50" s="177"/>
      <c r="D50" s="177"/>
      <c r="E50" s="177"/>
      <c r="F50" s="177"/>
      <c r="G50" s="290"/>
      <c r="H50" s="290"/>
      <c r="I50" s="177"/>
      <c r="J50" s="290"/>
      <c r="K50" s="177"/>
      <c r="L50" s="290"/>
      <c r="M50" s="290"/>
    </row>
    <row r="51" spans="1:13">
      <c r="A51" s="177"/>
      <c r="B51" s="177"/>
      <c r="C51" s="177"/>
      <c r="D51" s="177"/>
      <c r="E51" s="177"/>
      <c r="F51" s="177"/>
      <c r="G51" s="290"/>
      <c r="H51" s="290"/>
      <c r="I51" s="177"/>
      <c r="J51" s="290"/>
      <c r="K51" s="177"/>
      <c r="L51" s="290"/>
      <c r="M51" s="290"/>
    </row>
    <row r="52" spans="1:13">
      <c r="A52" s="177"/>
      <c r="B52" s="177"/>
      <c r="C52" s="177"/>
      <c r="D52" s="177"/>
      <c r="E52" s="177"/>
      <c r="F52" s="177"/>
      <c r="G52" s="290"/>
      <c r="H52" s="290"/>
      <c r="I52" s="177"/>
      <c r="J52" s="290"/>
      <c r="K52" s="177"/>
      <c r="L52" s="290"/>
      <c r="M52" s="290"/>
    </row>
    <row r="53" spans="1:13">
      <c r="A53" s="177"/>
      <c r="B53" s="177"/>
      <c r="C53" s="177"/>
      <c r="D53" s="177"/>
      <c r="E53" s="177"/>
      <c r="F53" s="177"/>
      <c r="G53" s="290"/>
      <c r="H53" s="290"/>
      <c r="I53" s="177"/>
      <c r="J53" s="290"/>
      <c r="K53" s="177"/>
      <c r="L53" s="290"/>
      <c r="M53" s="290"/>
    </row>
    <row r="54" spans="1:13">
      <c r="A54" s="177"/>
      <c r="B54" s="177"/>
      <c r="C54" s="177"/>
      <c r="D54" s="177"/>
      <c r="E54" s="177"/>
      <c r="F54" s="177"/>
      <c r="G54" s="290"/>
      <c r="H54" s="290"/>
      <c r="I54" s="177"/>
      <c r="J54" s="290"/>
      <c r="K54" s="177"/>
      <c r="L54" s="290"/>
      <c r="M54" s="290"/>
    </row>
    <row r="55" spans="1:13">
      <c r="A55" s="177"/>
      <c r="B55" s="177"/>
      <c r="C55" s="177"/>
      <c r="D55" s="177"/>
      <c r="E55" s="177"/>
      <c r="F55" s="177"/>
      <c r="G55" s="290"/>
      <c r="H55" s="290"/>
      <c r="I55" s="177"/>
      <c r="J55" s="290"/>
      <c r="K55" s="177"/>
      <c r="L55" s="290"/>
      <c r="M55" s="290"/>
    </row>
    <row r="56" spans="1:13">
      <c r="A56" s="177"/>
      <c r="B56" s="177"/>
      <c r="C56" s="177"/>
      <c r="D56" s="177"/>
      <c r="E56" s="177"/>
      <c r="F56" s="177"/>
      <c r="G56" s="290"/>
      <c r="H56" s="290"/>
      <c r="I56" s="177"/>
      <c r="J56" s="290"/>
      <c r="K56" s="177"/>
      <c r="L56" s="290"/>
      <c r="M56" s="290"/>
    </row>
    <row r="57" spans="1:13">
      <c r="A57" s="177"/>
      <c r="B57" s="177"/>
      <c r="C57" s="177"/>
      <c r="D57" s="177"/>
      <c r="E57" s="177"/>
      <c r="F57" s="177"/>
      <c r="G57" s="290"/>
      <c r="H57" s="290"/>
      <c r="I57" s="177"/>
      <c r="J57" s="290"/>
      <c r="K57" s="177"/>
      <c r="L57" s="290"/>
      <c r="M57" s="290"/>
    </row>
    <row r="58" spans="1:13">
      <c r="A58" s="177"/>
      <c r="B58" s="177"/>
      <c r="C58" s="177"/>
      <c r="D58" s="177"/>
      <c r="E58" s="177"/>
      <c r="F58" s="177"/>
      <c r="G58" s="290"/>
      <c r="H58" s="290"/>
      <c r="I58" s="177"/>
      <c r="J58" s="290"/>
      <c r="K58" s="177"/>
      <c r="L58" s="290"/>
      <c r="M58" s="290"/>
    </row>
    <row r="59" spans="1:13">
      <c r="A59" s="177"/>
      <c r="B59" s="177"/>
      <c r="C59" s="177"/>
      <c r="D59" s="177"/>
      <c r="E59" s="177"/>
      <c r="F59" s="177"/>
      <c r="G59" s="290"/>
      <c r="H59" s="290"/>
      <c r="I59" s="177"/>
      <c r="J59" s="290"/>
      <c r="K59" s="177"/>
      <c r="L59" s="290"/>
      <c r="M59" s="290"/>
    </row>
    <row r="60" spans="1:13">
      <c r="A60" s="177"/>
      <c r="B60" s="177"/>
      <c r="C60" s="177"/>
      <c r="D60" s="177"/>
      <c r="E60" s="177"/>
      <c r="F60" s="177"/>
      <c r="G60" s="290"/>
      <c r="H60" s="290"/>
      <c r="I60" s="177"/>
      <c r="J60" s="290"/>
      <c r="K60" s="177"/>
      <c r="L60" s="290"/>
      <c r="M60" s="290"/>
    </row>
    <row r="61" spans="1:13">
      <c r="A61" s="177"/>
      <c r="B61" s="177"/>
      <c r="C61" s="177"/>
      <c r="D61" s="177"/>
      <c r="E61" s="177"/>
      <c r="F61" s="177"/>
      <c r="G61" s="290"/>
      <c r="H61" s="290"/>
      <c r="I61" s="177"/>
      <c r="J61" s="290"/>
      <c r="K61" s="177"/>
      <c r="L61" s="290"/>
      <c r="M61" s="290"/>
    </row>
    <row r="62" spans="1:13">
      <c r="A62" s="177"/>
      <c r="B62" s="177"/>
      <c r="C62" s="177"/>
      <c r="D62" s="177"/>
      <c r="E62" s="177"/>
      <c r="F62" s="177"/>
      <c r="G62" s="290"/>
      <c r="H62" s="290"/>
      <c r="I62" s="177"/>
      <c r="J62" s="290"/>
      <c r="K62" s="177"/>
      <c r="L62" s="290"/>
      <c r="M62" s="290"/>
    </row>
    <row r="63" spans="1:13">
      <c r="A63" s="177"/>
      <c r="B63" s="177"/>
      <c r="C63" s="177"/>
      <c r="D63" s="177"/>
      <c r="E63" s="177"/>
      <c r="F63" s="177"/>
      <c r="G63" s="290"/>
      <c r="H63" s="290"/>
      <c r="I63" s="177"/>
      <c r="J63" s="290"/>
      <c r="K63" s="177"/>
      <c r="L63" s="290"/>
      <c r="M63" s="290"/>
    </row>
    <row r="64" spans="1:13">
      <c r="A64" s="177"/>
      <c r="B64" s="177"/>
      <c r="C64" s="177"/>
      <c r="D64" s="177"/>
      <c r="E64" s="177"/>
      <c r="F64" s="177"/>
      <c r="G64" s="290"/>
      <c r="H64" s="290"/>
      <c r="I64" s="177"/>
      <c r="J64" s="290"/>
      <c r="K64" s="177"/>
      <c r="L64" s="290"/>
      <c r="M64" s="290"/>
    </row>
    <row r="65" spans="1:13">
      <c r="A65" s="177"/>
      <c r="B65" s="177"/>
      <c r="C65" s="177"/>
      <c r="D65" s="177"/>
      <c r="E65" s="177"/>
      <c r="F65" s="177"/>
      <c r="G65" s="290"/>
      <c r="H65" s="290"/>
      <c r="I65" s="177"/>
      <c r="J65" s="290"/>
      <c r="K65" s="177"/>
      <c r="L65" s="290"/>
      <c r="M65" s="290"/>
    </row>
    <row r="66" spans="1:13">
      <c r="A66" s="177"/>
      <c r="B66" s="177"/>
      <c r="C66" s="177"/>
      <c r="D66" s="177"/>
      <c r="E66" s="177"/>
      <c r="F66" s="177"/>
      <c r="G66" s="290"/>
      <c r="H66" s="290"/>
      <c r="I66" s="177"/>
      <c r="J66" s="290"/>
      <c r="K66" s="177"/>
      <c r="L66" s="290"/>
      <c r="M66" s="290"/>
    </row>
    <row r="67" spans="1:13">
      <c r="A67" s="177"/>
      <c r="B67" s="177"/>
      <c r="C67" s="177"/>
      <c r="D67" s="177"/>
      <c r="E67" s="177"/>
      <c r="F67" s="177"/>
      <c r="G67" s="290"/>
      <c r="H67" s="290"/>
      <c r="I67" s="177"/>
      <c r="J67" s="290"/>
      <c r="K67" s="177"/>
      <c r="L67" s="290"/>
      <c r="M67" s="290"/>
    </row>
    <row r="68" spans="1:13">
      <c r="A68" s="177"/>
      <c r="B68" s="177"/>
      <c r="C68" s="177"/>
      <c r="D68" s="177"/>
      <c r="E68" s="177"/>
      <c r="F68" s="177"/>
      <c r="G68" s="290"/>
      <c r="H68" s="290"/>
      <c r="I68" s="177"/>
      <c r="J68" s="290"/>
      <c r="K68" s="177"/>
      <c r="L68" s="290"/>
      <c r="M68" s="290"/>
    </row>
    <row r="69" spans="1:13">
      <c r="A69" s="177"/>
      <c r="B69" s="177"/>
      <c r="C69" s="177"/>
      <c r="D69" s="177"/>
      <c r="E69" s="177"/>
      <c r="F69" s="177"/>
      <c r="G69" s="290"/>
      <c r="H69" s="290"/>
      <c r="I69" s="177"/>
      <c r="J69" s="290"/>
      <c r="K69" s="177"/>
      <c r="L69" s="290"/>
      <c r="M69" s="290"/>
    </row>
    <row r="70" spans="1:13">
      <c r="A70" s="177"/>
      <c r="B70" s="177"/>
      <c r="C70" s="177"/>
      <c r="D70" s="177"/>
      <c r="E70" s="177"/>
      <c r="F70" s="177"/>
      <c r="G70" s="290"/>
      <c r="H70" s="290"/>
      <c r="I70" s="177"/>
      <c r="J70" s="290"/>
      <c r="K70" s="177"/>
      <c r="L70" s="290"/>
      <c r="M70" s="290"/>
    </row>
    <row r="71" spans="1:13">
      <c r="A71" s="177"/>
      <c r="B71" s="177"/>
      <c r="C71" s="177"/>
      <c r="D71" s="177"/>
      <c r="E71" s="177"/>
      <c r="F71" s="177"/>
      <c r="G71" s="290"/>
      <c r="H71" s="290"/>
      <c r="I71" s="177"/>
      <c r="J71" s="290"/>
      <c r="K71" s="177"/>
      <c r="L71" s="290"/>
      <c r="M71" s="290"/>
    </row>
    <row r="72" spans="1:13">
      <c r="A72" s="177"/>
      <c r="B72" s="177"/>
      <c r="C72" s="177"/>
      <c r="D72" s="177"/>
      <c r="E72" s="177"/>
      <c r="F72" s="177"/>
      <c r="G72" s="290"/>
      <c r="H72" s="290"/>
      <c r="I72" s="177"/>
      <c r="J72" s="290"/>
      <c r="K72" s="177"/>
      <c r="L72" s="290"/>
      <c r="M72" s="290"/>
    </row>
    <row r="73" spans="1:13">
      <c r="A73" s="177"/>
      <c r="B73" s="177"/>
      <c r="C73" s="177"/>
      <c r="D73" s="177"/>
      <c r="E73" s="177"/>
      <c r="F73" s="177"/>
      <c r="G73" s="290"/>
      <c r="H73" s="290"/>
      <c r="I73" s="177"/>
      <c r="J73" s="290"/>
      <c r="K73" s="177"/>
      <c r="L73" s="290"/>
      <c r="M73" s="290"/>
    </row>
    <row r="74" spans="1:13">
      <c r="A74" s="177"/>
      <c r="B74" s="177"/>
      <c r="C74" s="177"/>
      <c r="D74" s="177"/>
      <c r="E74" s="177"/>
      <c r="F74" s="177"/>
      <c r="G74" s="290"/>
      <c r="H74" s="290"/>
      <c r="I74" s="177"/>
      <c r="J74" s="290"/>
      <c r="K74" s="177"/>
      <c r="L74" s="290"/>
      <c r="M74" s="290"/>
    </row>
    <row r="75" spans="1:13">
      <c r="A75" s="177"/>
      <c r="B75" s="177"/>
      <c r="C75" s="177"/>
      <c r="D75" s="177"/>
      <c r="E75" s="177"/>
      <c r="F75" s="177"/>
      <c r="G75" s="290"/>
      <c r="H75" s="290"/>
      <c r="I75" s="177"/>
      <c r="J75" s="290"/>
      <c r="K75" s="177"/>
      <c r="L75" s="290"/>
      <c r="M75" s="290"/>
    </row>
    <row r="76" spans="1:13">
      <c r="A76" s="177"/>
      <c r="B76" s="177"/>
      <c r="C76" s="177"/>
      <c r="D76" s="177"/>
      <c r="E76" s="177"/>
      <c r="F76" s="177"/>
      <c r="G76" s="290"/>
      <c r="H76" s="290"/>
      <c r="I76" s="177"/>
      <c r="J76" s="290"/>
      <c r="K76" s="177"/>
      <c r="L76" s="290"/>
      <c r="M76" s="290"/>
    </row>
    <row r="77" spans="1:13">
      <c r="A77" s="177"/>
      <c r="B77" s="177"/>
      <c r="C77" s="177"/>
      <c r="D77" s="177"/>
      <c r="E77" s="177"/>
      <c r="F77" s="177"/>
      <c r="G77" s="290"/>
      <c r="H77" s="290"/>
      <c r="I77" s="177"/>
      <c r="J77" s="290"/>
      <c r="K77" s="177"/>
      <c r="L77" s="290"/>
      <c r="M77" s="290"/>
    </row>
    <row r="78" spans="1:13">
      <c r="A78" s="177"/>
      <c r="B78" s="177"/>
      <c r="C78" s="177"/>
      <c r="D78" s="177"/>
      <c r="E78" s="177"/>
      <c r="F78" s="177"/>
      <c r="G78" s="290"/>
      <c r="H78" s="290"/>
      <c r="I78" s="177"/>
      <c r="J78" s="290"/>
      <c r="K78" s="177"/>
      <c r="L78" s="290"/>
      <c r="M78" s="290"/>
    </row>
    <row r="79" spans="1:13">
      <c r="A79" s="177"/>
      <c r="B79" s="177"/>
      <c r="C79" s="177"/>
      <c r="D79" s="177"/>
      <c r="E79" s="177"/>
      <c r="F79" s="177"/>
      <c r="G79" s="290"/>
      <c r="H79" s="290"/>
      <c r="I79" s="177"/>
      <c r="J79" s="290"/>
      <c r="K79" s="177"/>
      <c r="L79" s="290"/>
      <c r="M79" s="290"/>
    </row>
    <row r="80" spans="1:13">
      <c r="A80" s="177"/>
      <c r="B80" s="177"/>
      <c r="C80" s="177"/>
      <c r="D80" s="177"/>
      <c r="E80" s="177"/>
      <c r="F80" s="177"/>
      <c r="G80" s="290"/>
      <c r="H80" s="290"/>
      <c r="I80" s="177"/>
      <c r="J80" s="290"/>
      <c r="K80" s="177"/>
      <c r="L80" s="290"/>
      <c r="M80" s="290"/>
    </row>
    <row r="81" spans="1:13">
      <c r="A81" s="177"/>
      <c r="B81" s="177"/>
      <c r="C81" s="177"/>
      <c r="D81" s="177"/>
      <c r="E81" s="177"/>
      <c r="F81" s="177"/>
      <c r="G81" s="290"/>
      <c r="H81" s="290"/>
      <c r="I81" s="177"/>
      <c r="J81" s="290"/>
      <c r="K81" s="177"/>
      <c r="L81" s="290"/>
      <c r="M81" s="290"/>
    </row>
    <row r="82" spans="1:13">
      <c r="A82" s="177"/>
      <c r="B82" s="177"/>
      <c r="C82" s="177"/>
      <c r="D82" s="177"/>
      <c r="E82" s="177"/>
      <c r="F82" s="177"/>
      <c r="G82" s="290"/>
      <c r="H82" s="290"/>
      <c r="I82" s="177"/>
      <c r="J82" s="290"/>
      <c r="K82" s="177"/>
      <c r="L82" s="290"/>
      <c r="M82" s="290"/>
    </row>
    <row r="83" spans="1:13">
      <c r="A83" s="177"/>
      <c r="B83" s="177"/>
      <c r="C83" s="177"/>
      <c r="D83" s="177"/>
      <c r="E83" s="177"/>
      <c r="F83" s="177"/>
      <c r="G83" s="290"/>
      <c r="H83" s="290"/>
      <c r="I83" s="177"/>
      <c r="J83" s="290"/>
      <c r="K83" s="177"/>
      <c r="L83" s="290"/>
      <c r="M83" s="290"/>
    </row>
    <row r="84" spans="1:13">
      <c r="A84" s="177"/>
      <c r="B84" s="177"/>
      <c r="C84" s="177"/>
      <c r="D84" s="177"/>
      <c r="E84" s="177"/>
      <c r="F84" s="177"/>
      <c r="G84" s="290"/>
      <c r="H84" s="290"/>
      <c r="I84" s="177"/>
      <c r="J84" s="290"/>
      <c r="K84" s="177"/>
      <c r="L84" s="290"/>
      <c r="M84" s="290"/>
    </row>
    <row r="85" spans="1:13">
      <c r="A85" s="167"/>
      <c r="B85" s="167"/>
      <c r="C85" s="167"/>
      <c r="D85" s="167"/>
      <c r="E85" s="167"/>
      <c r="F85" s="167"/>
      <c r="I85" s="167"/>
      <c r="K85" s="167"/>
    </row>
    <row r="86" spans="1:13">
      <c r="A86" s="167"/>
      <c r="B86" s="167"/>
      <c r="C86" s="167"/>
      <c r="D86" s="167"/>
      <c r="E86" s="167"/>
      <c r="F86" s="167"/>
      <c r="I86" s="167"/>
      <c r="K86" s="167"/>
    </row>
    <row r="87" spans="1:13">
      <c r="A87" s="167"/>
      <c r="B87" s="167"/>
      <c r="C87" s="167"/>
      <c r="D87" s="167"/>
      <c r="E87" s="167"/>
      <c r="F87" s="167"/>
      <c r="I87" s="167"/>
      <c r="K87" s="167"/>
    </row>
    <row r="88" spans="1:13">
      <c r="A88" s="167"/>
      <c r="B88" s="167"/>
      <c r="C88" s="167"/>
      <c r="D88" s="167"/>
      <c r="E88" s="167"/>
      <c r="F88" s="167"/>
      <c r="I88" s="167"/>
      <c r="K88" s="167"/>
    </row>
    <row r="89" spans="1:13">
      <c r="A89" s="167"/>
      <c r="B89" s="167"/>
      <c r="C89" s="167"/>
      <c r="D89" s="167"/>
      <c r="E89" s="167"/>
      <c r="F89" s="167"/>
      <c r="I89" s="167"/>
      <c r="K89" s="167"/>
    </row>
    <row r="90" spans="1:13">
      <c r="A90" s="167"/>
      <c r="B90" s="167"/>
      <c r="C90" s="167"/>
      <c r="D90" s="167"/>
      <c r="E90" s="167"/>
      <c r="F90" s="167"/>
      <c r="I90" s="167"/>
      <c r="K90" s="167"/>
    </row>
    <row r="91" spans="1:13">
      <c r="A91" s="167"/>
      <c r="B91" s="167"/>
      <c r="C91" s="167"/>
      <c r="D91" s="167"/>
      <c r="E91" s="167"/>
      <c r="F91" s="167"/>
      <c r="I91" s="167"/>
      <c r="K91" s="167"/>
    </row>
    <row r="92" spans="1:13">
      <c r="A92" s="167"/>
      <c r="B92" s="167"/>
      <c r="C92" s="167"/>
      <c r="D92" s="167"/>
      <c r="E92" s="167"/>
      <c r="F92" s="167"/>
      <c r="I92" s="167"/>
      <c r="K92" s="167"/>
    </row>
    <row r="93" spans="1:13">
      <c r="A93" s="167"/>
      <c r="B93" s="167"/>
      <c r="C93" s="167"/>
      <c r="D93" s="167"/>
      <c r="E93" s="167"/>
      <c r="F93" s="167"/>
      <c r="I93" s="167"/>
      <c r="K93" s="167"/>
    </row>
    <row r="94" spans="1:13">
      <c r="A94" s="167"/>
      <c r="B94" s="167"/>
      <c r="C94" s="167"/>
      <c r="D94" s="167"/>
      <c r="E94" s="167"/>
      <c r="F94" s="167"/>
      <c r="I94" s="167"/>
      <c r="K94" s="167"/>
    </row>
    <row r="95" spans="1:13">
      <c r="A95" s="167"/>
      <c r="B95" s="167"/>
      <c r="C95" s="167"/>
      <c r="D95" s="167"/>
      <c r="E95" s="167"/>
      <c r="F95" s="167"/>
      <c r="I95" s="167"/>
      <c r="K95" s="167"/>
    </row>
    <row r="96" spans="1:13">
      <c r="A96" s="167"/>
      <c r="B96" s="167"/>
      <c r="C96" s="167"/>
      <c r="D96" s="167"/>
      <c r="E96" s="167"/>
      <c r="F96" s="167"/>
      <c r="I96" s="167"/>
      <c r="K96" s="167"/>
    </row>
    <row r="97" spans="1:11">
      <c r="A97" s="167"/>
      <c r="B97" s="167"/>
      <c r="C97" s="167"/>
      <c r="D97" s="167"/>
      <c r="E97" s="167"/>
      <c r="F97" s="167"/>
      <c r="I97" s="167"/>
      <c r="K97" s="167"/>
    </row>
    <row r="98" spans="1:11">
      <c r="A98" s="167"/>
      <c r="B98" s="167"/>
      <c r="C98" s="167"/>
      <c r="D98" s="167"/>
      <c r="E98" s="167"/>
      <c r="F98" s="167"/>
      <c r="I98" s="167"/>
      <c r="K98" s="167"/>
    </row>
    <row r="99" spans="1:11">
      <c r="A99" s="167"/>
      <c r="B99" s="167"/>
      <c r="C99" s="167"/>
      <c r="D99" s="167"/>
      <c r="E99" s="167"/>
      <c r="F99" s="167"/>
      <c r="I99" s="167"/>
      <c r="K99" s="167"/>
    </row>
    <row r="100" spans="1:11">
      <c r="A100" s="167"/>
      <c r="B100" s="167"/>
      <c r="C100" s="167"/>
      <c r="D100" s="167"/>
      <c r="E100" s="167"/>
      <c r="F100" s="167"/>
      <c r="I100" s="167"/>
      <c r="K100" s="167"/>
    </row>
  </sheetData>
  <mergeCells count="1">
    <mergeCell ref="A1:H1"/>
  </mergeCells>
  <conditionalFormatting sqref="K4:K84">
    <cfRule type="containsText" dxfId="64" priority="11" operator="containsText" text="ملتزم">
      <formula>NOT(ISERROR(SEARCH("ملتزم",K4)))</formula>
    </cfRule>
    <cfRule type="containsText" dxfId="63" priority="12" operator="containsText" text="غير ملتزم">
      <formula>NOT(ISERROR(SEARCH("غير ملتزم",K4)))</formula>
    </cfRule>
  </conditionalFormatting>
  <conditionalFormatting sqref="M4:M17">
    <cfRule type="containsText" dxfId="62" priority="13" operator="containsText" text="منخفض">
      <formula>NOT(ISERROR(SEARCH("منخفض",M4)))</formula>
    </cfRule>
    <cfRule type="containsText" dxfId="61" priority="14" operator="containsText" text="متابعة">
      <formula>NOT(ISERROR(SEARCH("متابعة",M4)))</formula>
    </cfRule>
    <cfRule type="containsText" dxfId="60" priority="15" operator="containsText" text="KFCH">
      <formula>NOT(ISERROR(SEARCH("KFCH",M4)))</formula>
    </cfRule>
  </conditionalFormatting>
  <dataValidations count="2">
    <dataValidation type="list" allowBlank="1" showInputMessage="1" showErrorMessage="1" sqref="M18:M34 M4:M17" xr:uid="{EE482037-2820-4B80-9434-77B459EE6CFC}">
      <formula1>"🟢 منخفض - يعود للمركز,🟡 عالي - متابعة بالمستشفى,🔴 عالي جداً - تحويل KFCH"</formula1>
    </dataValidation>
    <dataValidation type="list" allowBlank="1" showInputMessage="1" showErrorMessage="1" sqref="L4:L34" xr:uid="{7E006FD9-350E-452F-B825-A4E0BE7737FB}">
      <formula1>"نعم,لا"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8C9-2F8D-4BD6-B796-352BB498BB1F}">
  <sheetPr>
    <tabColor rgb="FFFF0000"/>
  </sheetPr>
  <dimension ref="A1:G38"/>
  <sheetViews>
    <sheetView rightToLeft="1" topLeftCell="A18" workbookViewId="0">
      <selection sqref="A1:G1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8.375" customWidth="1"/>
    <col min="5" max="5" width="33.375" customWidth="1"/>
    <col min="6" max="6" width="16.625" customWidth="1"/>
    <col min="7" max="7" width="20" customWidth="1"/>
  </cols>
  <sheetData>
    <row r="1" spans="1:7" ht="35.25" customHeight="1">
      <c r="A1" s="347" t="s">
        <v>577</v>
      </c>
      <c r="B1" s="347"/>
      <c r="C1" s="347"/>
      <c r="D1" s="347"/>
      <c r="E1" s="347"/>
      <c r="F1" s="347"/>
      <c r="G1" s="347"/>
    </row>
    <row r="2" spans="1:7" ht="22.5">
      <c r="A2" s="167" t="s">
        <v>578</v>
      </c>
      <c r="B2" s="46">
        <f>COUNTIFS(البيانات!AD2:AD1000,"Yes",البيانات!AE2:AE1000,"No")</f>
        <v>27</v>
      </c>
      <c r="C2" s="167"/>
      <c r="D2" s="167"/>
      <c r="E2" s="167"/>
      <c r="F2" s="167"/>
      <c r="G2" s="167"/>
    </row>
    <row r="4" spans="1:7">
      <c r="A4" s="47" t="s">
        <v>352</v>
      </c>
      <c r="B4" s="47" t="s">
        <v>353</v>
      </c>
      <c r="C4" s="47" t="s">
        <v>579</v>
      </c>
      <c r="D4" s="47" t="s">
        <v>355</v>
      </c>
      <c r="E4" s="47" t="s">
        <v>48</v>
      </c>
      <c r="F4" s="47" t="s">
        <v>580</v>
      </c>
      <c r="G4" s="47" t="s">
        <v>51</v>
      </c>
    </row>
    <row r="5" spans="1:7" ht="24.75" customHeight="1">
      <c r="A5" s="185">
        <v>1</v>
      </c>
      <c r="B5" s="185">
        <v>1085003786</v>
      </c>
      <c r="C5" s="185" t="s">
        <v>387</v>
      </c>
      <c r="D5" s="185">
        <v>32</v>
      </c>
      <c r="E5" s="185" t="s">
        <v>365</v>
      </c>
      <c r="F5" s="185">
        <v>566787054</v>
      </c>
      <c r="G5" s="49" t="s">
        <v>581</v>
      </c>
    </row>
    <row r="6" spans="1:7" ht="24.75" customHeight="1">
      <c r="A6" s="185">
        <v>2</v>
      </c>
      <c r="B6" s="185">
        <v>1077958971</v>
      </c>
      <c r="C6" s="185" t="s">
        <v>401</v>
      </c>
      <c r="D6" s="185">
        <v>34</v>
      </c>
      <c r="E6" s="185" t="s">
        <v>402</v>
      </c>
      <c r="F6" s="185">
        <v>507359011</v>
      </c>
      <c r="G6" s="49" t="s">
        <v>581</v>
      </c>
    </row>
    <row r="7" spans="1:7" ht="24.75" customHeight="1">
      <c r="A7" s="185">
        <v>3</v>
      </c>
      <c r="B7" s="185">
        <v>107974781</v>
      </c>
      <c r="C7" s="185" t="s">
        <v>448</v>
      </c>
      <c r="D7" s="185">
        <v>33</v>
      </c>
      <c r="E7" s="185" t="s">
        <v>435</v>
      </c>
      <c r="F7" s="185">
        <v>552660916</v>
      </c>
      <c r="G7" s="49" t="s">
        <v>581</v>
      </c>
    </row>
    <row r="8" spans="1:7" ht="24.75" customHeight="1">
      <c r="A8" s="185">
        <v>4</v>
      </c>
      <c r="B8" s="185">
        <v>1050676012</v>
      </c>
      <c r="C8" s="185" t="s">
        <v>469</v>
      </c>
      <c r="D8" s="185">
        <v>41</v>
      </c>
      <c r="E8" s="185" t="s">
        <v>431</v>
      </c>
      <c r="F8" s="185">
        <v>533387606</v>
      </c>
      <c r="G8" s="49" t="s">
        <v>581</v>
      </c>
    </row>
    <row r="9" spans="1:7" ht="24.75" customHeight="1">
      <c r="A9" s="185">
        <v>5</v>
      </c>
      <c r="B9" s="185">
        <v>1107083220</v>
      </c>
      <c r="C9" s="185" t="s">
        <v>470</v>
      </c>
      <c r="D9" s="185">
        <v>27</v>
      </c>
      <c r="E9" s="185" t="s">
        <v>468</v>
      </c>
      <c r="F9" s="185">
        <v>556632076</v>
      </c>
      <c r="G9" s="49" t="s">
        <v>581</v>
      </c>
    </row>
    <row r="10" spans="1:7" ht="24.75" customHeight="1">
      <c r="A10" s="185">
        <v>6</v>
      </c>
      <c r="B10" s="185">
        <v>1072225616</v>
      </c>
      <c r="C10" s="185" t="s">
        <v>483</v>
      </c>
      <c r="D10" s="185">
        <v>34</v>
      </c>
      <c r="E10" s="185" t="s">
        <v>468</v>
      </c>
      <c r="F10" s="185">
        <v>549660328</v>
      </c>
      <c r="G10" s="49" t="s">
        <v>581</v>
      </c>
    </row>
    <row r="11" spans="1:7" ht="24.75" customHeight="1">
      <c r="A11" s="185">
        <v>7</v>
      </c>
      <c r="B11" s="185">
        <v>1068047016</v>
      </c>
      <c r="C11" s="185" t="s">
        <v>493</v>
      </c>
      <c r="D11" s="185">
        <v>41</v>
      </c>
      <c r="E11" s="185" t="s">
        <v>445</v>
      </c>
      <c r="F11" s="185">
        <v>532083704</v>
      </c>
      <c r="G11" s="49" t="s">
        <v>581</v>
      </c>
    </row>
    <row r="12" spans="1:7" ht="24.75" customHeight="1">
      <c r="A12" s="185">
        <v>8</v>
      </c>
      <c r="B12" s="185">
        <v>1067878585</v>
      </c>
      <c r="C12" s="185" t="s">
        <v>509</v>
      </c>
      <c r="D12" s="185">
        <v>42</v>
      </c>
      <c r="E12" s="185" t="s">
        <v>468</v>
      </c>
      <c r="F12" s="185">
        <v>504560141</v>
      </c>
      <c r="G12" s="49" t="s">
        <v>581</v>
      </c>
    </row>
    <row r="13" spans="1:7" ht="24.75" customHeight="1">
      <c r="A13" s="185">
        <v>9</v>
      </c>
      <c r="B13" s="185">
        <v>2493426882</v>
      </c>
      <c r="C13" s="185" t="s">
        <v>511</v>
      </c>
      <c r="D13" s="185">
        <v>41</v>
      </c>
      <c r="E13" s="185" t="s">
        <v>461</v>
      </c>
      <c r="F13" s="185">
        <v>551582582</v>
      </c>
      <c r="G13" s="49" t="s">
        <v>581</v>
      </c>
    </row>
    <row r="14" spans="1:7" ht="24.75" customHeight="1">
      <c r="A14" s="185">
        <v>10</v>
      </c>
      <c r="B14" s="185">
        <v>1058400746</v>
      </c>
      <c r="C14" s="185" t="s">
        <v>513</v>
      </c>
      <c r="D14" s="185">
        <v>43</v>
      </c>
      <c r="E14" s="185" t="s">
        <v>496</v>
      </c>
      <c r="F14" s="185">
        <v>505502890</v>
      </c>
      <c r="G14" s="49" t="s">
        <v>581</v>
      </c>
    </row>
    <row r="15" spans="1:7" ht="24.75" customHeight="1">
      <c r="A15" s="185">
        <v>11</v>
      </c>
      <c r="B15" s="185">
        <v>1094993407</v>
      </c>
      <c r="C15" s="185" t="s">
        <v>515</v>
      </c>
      <c r="D15" s="185">
        <v>35</v>
      </c>
      <c r="E15" s="185" t="s">
        <v>431</v>
      </c>
      <c r="F15" s="185">
        <v>582030379</v>
      </c>
      <c r="G15" s="49" t="s">
        <v>581</v>
      </c>
    </row>
    <row r="16" spans="1:7" ht="24.75" customHeight="1">
      <c r="A16" s="185">
        <v>12</v>
      </c>
      <c r="B16" s="185">
        <v>1153311335</v>
      </c>
      <c r="C16" s="185" t="s">
        <v>521</v>
      </c>
      <c r="D16" s="185">
        <v>15</v>
      </c>
      <c r="E16" s="185" t="s">
        <v>461</v>
      </c>
      <c r="F16" s="185">
        <v>502575617</v>
      </c>
      <c r="G16" s="49" t="s">
        <v>581</v>
      </c>
    </row>
    <row r="17" spans="1:7" ht="24.75" customHeight="1">
      <c r="A17" s="185">
        <v>13</v>
      </c>
      <c r="B17" s="185">
        <v>1068070133</v>
      </c>
      <c r="C17" s="185" t="s">
        <v>533</v>
      </c>
      <c r="D17" s="185">
        <v>37</v>
      </c>
      <c r="E17" s="185" t="s">
        <v>468</v>
      </c>
      <c r="F17" s="185">
        <v>550889368</v>
      </c>
      <c r="G17" s="49" t="s">
        <v>581</v>
      </c>
    </row>
    <row r="18" spans="1:7" ht="24.75" customHeight="1">
      <c r="A18" s="185">
        <v>14</v>
      </c>
      <c r="B18" s="185">
        <v>1063001646</v>
      </c>
      <c r="C18" s="185" t="s">
        <v>542</v>
      </c>
      <c r="D18" s="185">
        <v>42</v>
      </c>
      <c r="E18" s="185" t="s">
        <v>496</v>
      </c>
      <c r="F18" s="185">
        <v>553095445</v>
      </c>
      <c r="G18" s="49" t="s">
        <v>581</v>
      </c>
    </row>
    <row r="19" spans="1:7" ht="24.75" customHeight="1">
      <c r="A19" s="185">
        <v>15</v>
      </c>
      <c r="B19" s="185">
        <v>1122677964</v>
      </c>
      <c r="C19" s="185" t="s">
        <v>551</v>
      </c>
      <c r="D19" s="185">
        <v>23</v>
      </c>
      <c r="E19" s="185" t="s">
        <v>468</v>
      </c>
      <c r="F19" s="185">
        <v>550540322</v>
      </c>
      <c r="G19" s="49" t="s">
        <v>581</v>
      </c>
    </row>
    <row r="27" spans="1:7">
      <c r="A27" s="185" t="str">
        <f>IF(AND(البيانات!AD129="Yes",البيانات!AE129&lt;&gt;"Yes"),ROW()-4,"")</f>
        <v/>
      </c>
      <c r="B27" s="185" t="str">
        <f>IF(AND(البيانات!AD129="Yes",البيانات!AE129&lt;&gt;"Yes"),البيانات!V129,"")</f>
        <v/>
      </c>
      <c r="C27" s="185" t="str">
        <f>IF(AND(البيانات!AD129="Yes",البيانات!AE129&lt;&gt;"Yes"),البيانات!U129,"")</f>
        <v/>
      </c>
      <c r="D27" s="185" t="str">
        <f>IF(AND(البيانات!AD129="Yes",البيانات!AE129&lt;&gt;"Yes"),البيانات!T129,"")</f>
        <v/>
      </c>
      <c r="E27" s="185" t="str">
        <f>IF(AND(البيانات!AD129="Yes",البيانات!AE129&lt;&gt;"Yes"),البيانات!F129,"")</f>
        <v/>
      </c>
      <c r="F27" s="185" t="str">
        <f>IF(AND(البيانات!AD129="Yes",البيانات!AE129&lt;&gt;"Yes"),البيانات!Y129,"")</f>
        <v/>
      </c>
      <c r="G27" s="185" t="str">
        <f>IF(AND(البيانات!AD129="Yes",البيانات!AE129&lt;&gt;"Yes"),"⚠️ وصف Enoxaparin","")</f>
        <v/>
      </c>
    </row>
    <row r="28" spans="1:7">
      <c r="A28" s="185" t="str">
        <f>IF(AND(البيانات!AD130="Yes",البيانات!AE130&lt;&gt;"Yes"),ROW()-4,"")</f>
        <v/>
      </c>
      <c r="B28" s="185" t="str">
        <f>IF(AND(البيانات!AD130="Yes",البيانات!AE130&lt;&gt;"Yes"),البيانات!V130,"")</f>
        <v/>
      </c>
      <c r="C28" s="185" t="str">
        <f>IF(AND(البيانات!AD130="Yes",البيانات!AE130&lt;&gt;"Yes"),البيانات!U130,"")</f>
        <v/>
      </c>
      <c r="D28" s="185" t="str">
        <f>IF(AND(البيانات!AD130="Yes",البيانات!AE130&lt;&gt;"Yes"),البيانات!T130,"")</f>
        <v/>
      </c>
      <c r="E28" s="185" t="str">
        <f>IF(AND(البيانات!AD130="Yes",البيانات!AE130&lt;&gt;"Yes"),البيانات!F130,"")</f>
        <v/>
      </c>
      <c r="F28" s="185" t="str">
        <f>IF(AND(البيانات!AD130="Yes",البيانات!AE130&lt;&gt;"Yes"),البيانات!Y130,"")</f>
        <v/>
      </c>
      <c r="G28" s="185" t="str">
        <f>IF(AND(البيانات!AD130="Yes",البيانات!AE130&lt;&gt;"Yes"),"⚠️ وصف Enoxaparin","")</f>
        <v/>
      </c>
    </row>
    <row r="29" spans="1:7">
      <c r="A29" s="185" t="str">
        <f>IF(AND(البيانات!AD131="Yes",البيانات!AE131&lt;&gt;"Yes"),ROW()-4,"")</f>
        <v/>
      </c>
      <c r="B29" s="185" t="str">
        <f>IF(AND(البيانات!AD131="Yes",البيانات!AE131&lt;&gt;"Yes"),البيانات!V131,"")</f>
        <v/>
      </c>
      <c r="C29" s="185" t="str">
        <f>IF(AND(البيانات!AD131="Yes",البيانات!AE131&lt;&gt;"Yes"),البيانات!U131,"")</f>
        <v/>
      </c>
      <c r="D29" s="185" t="str">
        <f>IF(AND(البيانات!AD131="Yes",البيانات!AE131&lt;&gt;"Yes"),البيانات!T131,"")</f>
        <v/>
      </c>
      <c r="E29" s="185" t="str">
        <f>IF(AND(البيانات!AD131="Yes",البيانات!AE131&lt;&gt;"Yes"),البيانات!F131,"")</f>
        <v/>
      </c>
      <c r="F29" s="185" t="str">
        <f>IF(AND(البيانات!AD131="Yes",البيانات!AE131&lt;&gt;"Yes"),البيانات!Y131,"")</f>
        <v/>
      </c>
      <c r="G29" s="185" t="str">
        <f>IF(AND(البيانات!AD131="Yes",البيانات!AE131&lt;&gt;"Yes"),"⚠️ وصف Enoxaparin","")</f>
        <v/>
      </c>
    </row>
    <row r="30" spans="1:7">
      <c r="A30" s="185" t="str">
        <f>IF(AND(البيانات!AD132="Yes",البيانات!AE132&lt;&gt;"Yes"),ROW()-4,"")</f>
        <v/>
      </c>
      <c r="B30" s="185" t="str">
        <f>IF(AND(البيانات!AD132="Yes",البيانات!AE132&lt;&gt;"Yes"),البيانات!V132,"")</f>
        <v/>
      </c>
      <c r="C30" s="185" t="str">
        <f>IF(AND(البيانات!AD132="Yes",البيانات!AE132&lt;&gt;"Yes"),البيانات!U132,"")</f>
        <v/>
      </c>
      <c r="D30" s="185" t="str">
        <f>IF(AND(البيانات!AD132="Yes",البيانات!AE132&lt;&gt;"Yes"),البيانات!T132,"")</f>
        <v/>
      </c>
      <c r="E30" s="185" t="str">
        <f>IF(AND(البيانات!AD132="Yes",البيانات!AE132&lt;&gt;"Yes"),البيانات!F132,"")</f>
        <v/>
      </c>
      <c r="F30" s="185" t="str">
        <f>IF(AND(البيانات!AD132="Yes",البيانات!AE132&lt;&gt;"Yes"),البيانات!Y132,"")</f>
        <v/>
      </c>
      <c r="G30" s="185" t="str">
        <f>IF(AND(البيانات!AD132="Yes",البيانات!AE132&lt;&gt;"Yes"),"⚠️ وصف Enoxaparin","")</f>
        <v/>
      </c>
    </row>
    <row r="31" spans="1:7">
      <c r="A31" s="185" t="str">
        <f>IF(AND(البيانات!AD133="Yes",البيانات!AE133&lt;&gt;"Yes"),ROW()-4,"")</f>
        <v/>
      </c>
      <c r="B31" s="185" t="str">
        <f>IF(AND(البيانات!AD133="Yes",البيانات!AE133&lt;&gt;"Yes"),البيانات!V133,"")</f>
        <v/>
      </c>
      <c r="C31" s="185" t="str">
        <f>IF(AND(البيانات!AD133="Yes",البيانات!AE133&lt;&gt;"Yes"),البيانات!U133,"")</f>
        <v/>
      </c>
      <c r="D31" s="185" t="str">
        <f>IF(AND(البيانات!AD133="Yes",البيانات!AE133&lt;&gt;"Yes"),البيانات!T133,"")</f>
        <v/>
      </c>
      <c r="E31" s="185" t="str">
        <f>IF(AND(البيانات!AD133="Yes",البيانات!AE133&lt;&gt;"Yes"),البيانات!F133,"")</f>
        <v/>
      </c>
      <c r="F31" s="185" t="str">
        <f>IF(AND(البيانات!AD133="Yes",البيانات!AE133&lt;&gt;"Yes"),البيانات!Y133,"")</f>
        <v/>
      </c>
      <c r="G31" s="185" t="str">
        <f>IF(AND(البيانات!AD133="Yes",البيانات!AE133&lt;&gt;"Yes"),"⚠️ وصف Enoxaparin","")</f>
        <v/>
      </c>
    </row>
    <row r="32" spans="1:7">
      <c r="A32" s="185" t="str">
        <f>IF(AND(البيانات!AD134="Yes",البيانات!AE134&lt;&gt;"Yes"),ROW()-4,"")</f>
        <v/>
      </c>
      <c r="B32" s="185" t="str">
        <f>IF(AND(البيانات!AD134="Yes",البيانات!AE134&lt;&gt;"Yes"),البيانات!V134,"")</f>
        <v/>
      </c>
      <c r="C32" s="185" t="str">
        <f>IF(AND(البيانات!AD134="Yes",البيانات!AE134&lt;&gt;"Yes"),البيانات!U134,"")</f>
        <v/>
      </c>
      <c r="D32" s="185" t="str">
        <f>IF(AND(البيانات!AD134="Yes",البيانات!AE134&lt;&gt;"Yes"),البيانات!T134,"")</f>
        <v/>
      </c>
      <c r="E32" s="185" t="str">
        <f>IF(AND(البيانات!AD134="Yes",البيانات!AE134&lt;&gt;"Yes"),البيانات!F134,"")</f>
        <v/>
      </c>
      <c r="F32" s="185" t="str">
        <f>IF(AND(البيانات!AD134="Yes",البيانات!AE134&lt;&gt;"Yes"),البيانات!Y134,"")</f>
        <v/>
      </c>
      <c r="G32" s="185" t="str">
        <f>IF(AND(البيانات!AD134="Yes",البيانات!AE134&lt;&gt;"Yes"),"⚠️ وصف Enoxaparin","")</f>
        <v/>
      </c>
    </row>
    <row r="33" spans="1:7">
      <c r="A33" s="185" t="str">
        <f>IF(AND(البيانات!AD135="Yes",البيانات!AE135&lt;&gt;"Yes"),ROW()-4,"")</f>
        <v/>
      </c>
      <c r="B33" s="185" t="str">
        <f>IF(AND(البيانات!AD135="Yes",البيانات!AE135&lt;&gt;"Yes"),البيانات!V135,"")</f>
        <v/>
      </c>
      <c r="C33" s="185" t="str">
        <f>IF(AND(البيانات!AD135="Yes",البيانات!AE135&lt;&gt;"Yes"),البيانات!U135,"")</f>
        <v/>
      </c>
      <c r="D33" s="185" t="str">
        <f>IF(AND(البيانات!AD135="Yes",البيانات!AE135&lt;&gt;"Yes"),البيانات!T135,"")</f>
        <v/>
      </c>
      <c r="E33" s="185" t="str">
        <f>IF(AND(البيانات!AD135="Yes",البيانات!AE135&lt;&gt;"Yes"),البيانات!F135,"")</f>
        <v/>
      </c>
      <c r="F33" s="185" t="str">
        <f>IF(AND(البيانات!AD135="Yes",البيانات!AE135&lt;&gt;"Yes"),البيانات!Y135,"")</f>
        <v/>
      </c>
      <c r="G33" s="185" t="str">
        <f>IF(AND(البيانات!AD135="Yes",البيانات!AE135&lt;&gt;"Yes"),"⚠️ وصف Enoxaparin","")</f>
        <v/>
      </c>
    </row>
    <row r="34" spans="1:7">
      <c r="A34" s="185" t="str">
        <f>IF(AND(البيانات!AD136="Yes",البيانات!AE136&lt;&gt;"Yes"),ROW()-4,"")</f>
        <v/>
      </c>
      <c r="B34" s="185" t="str">
        <f>IF(AND(البيانات!AD136="Yes",البيانات!AE136&lt;&gt;"Yes"),البيانات!V136,"")</f>
        <v/>
      </c>
      <c r="C34" s="185" t="str">
        <f>IF(AND(البيانات!AD136="Yes",البيانات!AE136&lt;&gt;"Yes"),البيانات!U136,"")</f>
        <v/>
      </c>
      <c r="D34" s="185" t="str">
        <f>IF(AND(البيانات!AD136="Yes",البيانات!AE136&lt;&gt;"Yes"),البيانات!T136,"")</f>
        <v/>
      </c>
      <c r="E34" s="185" t="str">
        <f>IF(AND(البيانات!AD136="Yes",البيانات!AE136&lt;&gt;"Yes"),البيانات!F136,"")</f>
        <v/>
      </c>
      <c r="F34" s="185" t="str">
        <f>IF(AND(البيانات!AD136="Yes",البيانات!AE136&lt;&gt;"Yes"),البيانات!Y136,"")</f>
        <v/>
      </c>
      <c r="G34" s="185" t="str">
        <f>IF(AND(البيانات!AD136="Yes",البيانات!AE136&lt;&gt;"Yes"),"⚠️ وصف Enoxaparin","")</f>
        <v/>
      </c>
    </row>
    <row r="35" spans="1:7">
      <c r="A35" s="185" t="str">
        <f>IF(AND(البيانات!AD137="Yes",البيانات!AE137&lt;&gt;"Yes"),ROW()-4,"")</f>
        <v/>
      </c>
      <c r="B35" s="185" t="str">
        <f>IF(AND(البيانات!AD137="Yes",البيانات!AE137&lt;&gt;"Yes"),البيانات!V137,"")</f>
        <v/>
      </c>
      <c r="C35" s="185" t="str">
        <f>IF(AND(البيانات!AD137="Yes",البيانات!AE137&lt;&gt;"Yes"),البيانات!U137,"")</f>
        <v/>
      </c>
      <c r="D35" s="185" t="str">
        <f>IF(AND(البيانات!AD137="Yes",البيانات!AE137&lt;&gt;"Yes"),البيانات!T137,"")</f>
        <v/>
      </c>
      <c r="E35" s="185" t="str">
        <f>IF(AND(البيانات!AD137="Yes",البيانات!AE137&lt;&gt;"Yes"),البيانات!F137,"")</f>
        <v/>
      </c>
      <c r="F35" s="185" t="str">
        <f>IF(AND(البيانات!AD137="Yes",البيانات!AE137&lt;&gt;"Yes"),البيانات!Y137,"")</f>
        <v/>
      </c>
      <c r="G35" s="185" t="str">
        <f>IF(AND(البيانات!AD137="Yes",البيانات!AE137&lt;&gt;"Yes"),"⚠️ وصف Enoxaparin","")</f>
        <v/>
      </c>
    </row>
    <row r="36" spans="1:7">
      <c r="A36" s="185" t="str">
        <f>IF(AND(البيانات!AD138="Yes",البيانات!AE138&lt;&gt;"Yes"),ROW()-4,"")</f>
        <v/>
      </c>
      <c r="B36" s="185" t="str">
        <f>IF(AND(البيانات!AD138="Yes",البيانات!AE138&lt;&gt;"Yes"),البيانات!V138,"")</f>
        <v/>
      </c>
      <c r="C36" s="185" t="str">
        <f>IF(AND(البيانات!AD138="Yes",البيانات!AE138&lt;&gt;"Yes"),البيانات!U138,"")</f>
        <v/>
      </c>
      <c r="D36" s="185" t="str">
        <f>IF(AND(البيانات!AD138="Yes",البيانات!AE138&lt;&gt;"Yes"),البيانات!T138,"")</f>
        <v/>
      </c>
      <c r="E36" s="185" t="str">
        <f>IF(AND(البيانات!AD138="Yes",البيانات!AE138&lt;&gt;"Yes"),البيانات!F138,"")</f>
        <v/>
      </c>
      <c r="F36" s="185" t="str">
        <f>IF(AND(البيانات!AD138="Yes",البيانات!AE138&lt;&gt;"Yes"),البيانات!Y138,"")</f>
        <v/>
      </c>
      <c r="G36" s="185" t="str">
        <f>IF(AND(البيانات!AD138="Yes",البيانات!AE138&lt;&gt;"Yes"),"⚠️ وصف Enoxaparin","")</f>
        <v/>
      </c>
    </row>
    <row r="37" spans="1:7">
      <c r="A37" s="185" t="str">
        <f>IF(AND(البيانات!AD139="Yes",البيانات!AE139&lt;&gt;"Yes"),ROW()-4,"")</f>
        <v/>
      </c>
      <c r="B37" s="185" t="str">
        <f>IF(AND(البيانات!AD139="Yes",البيانات!AE139&lt;&gt;"Yes"),البيانات!V139,"")</f>
        <v/>
      </c>
      <c r="C37" s="185" t="str">
        <f>IF(AND(البيانات!AD139="Yes",البيانات!AE139&lt;&gt;"Yes"),البيانات!U139,"")</f>
        <v/>
      </c>
      <c r="D37" s="185" t="str">
        <f>IF(AND(البيانات!AD139="Yes",البيانات!AE139&lt;&gt;"Yes"),البيانات!T139,"")</f>
        <v/>
      </c>
      <c r="E37" s="185" t="str">
        <f>IF(AND(البيانات!AD139="Yes",البيانات!AE139&lt;&gt;"Yes"),البيانات!F139,"")</f>
        <v/>
      </c>
      <c r="F37" s="185" t="str">
        <f>IF(AND(البيانات!AD139="Yes",البيانات!AE139&lt;&gt;"Yes"),البيانات!Y139,"")</f>
        <v/>
      </c>
      <c r="G37" s="185" t="str">
        <f>IF(AND(البيانات!AD139="Yes",البيانات!AE139&lt;&gt;"Yes"),"⚠️ وصف Enoxaparin","")</f>
        <v/>
      </c>
    </row>
    <row r="38" spans="1:7">
      <c r="A38" s="185" t="str">
        <f>IF(AND(البيانات!AD140="Yes",البيانات!AE140&lt;&gt;"Yes"),ROW()-4,"")</f>
        <v/>
      </c>
      <c r="B38" s="185" t="str">
        <f>IF(AND(البيانات!AD140="Yes",البيانات!AE140&lt;&gt;"Yes"),البيانات!V140,"")</f>
        <v/>
      </c>
      <c r="C38" s="185" t="str">
        <f>IF(AND(البيانات!AD140="Yes",البيانات!AE140&lt;&gt;"Yes"),البيانات!U140,"")</f>
        <v/>
      </c>
      <c r="D38" s="185" t="str">
        <f>IF(AND(البيانات!AD140="Yes",البيانات!AE140&lt;&gt;"Yes"),البيانات!T140,"")</f>
        <v/>
      </c>
      <c r="E38" s="185" t="str">
        <f>IF(AND(البيانات!AD140="Yes",البيانات!AE140&lt;&gt;"Yes"),البيانات!F140,"")</f>
        <v/>
      </c>
      <c r="F38" s="185" t="str">
        <f>IF(AND(البيانات!AD140="Yes",البيانات!AE140&lt;&gt;"Yes"),البيانات!Y140,"")</f>
        <v/>
      </c>
      <c r="G38" s="185" t="str">
        <f>IF(AND(البيانات!AD140="Yes",البيانات!AE140&lt;&gt;"Yes"),"⚠️ وصف Enoxaparin","")</f>
        <v/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6E21-0939-4D67-8A00-3A14F49E230C}">
  <sheetPr>
    <tabColor rgb="FFFF0000"/>
  </sheetPr>
  <dimension ref="A1:H34"/>
  <sheetViews>
    <sheetView rightToLeft="1" workbookViewId="0">
      <selection sqref="A1:H1"/>
    </sheetView>
  </sheetViews>
  <sheetFormatPr defaultRowHeight="13.5"/>
  <cols>
    <col min="1" max="1" width="6.625" customWidth="1"/>
    <col min="2" max="2" width="16.625" customWidth="1"/>
    <col min="3" max="3" width="30" customWidth="1"/>
    <col min="4" max="4" width="16.625" customWidth="1"/>
    <col min="5" max="5" width="20" customWidth="1"/>
    <col min="6" max="6" width="16.625" customWidth="1"/>
    <col min="7" max="7" width="20" customWidth="1"/>
    <col min="8" max="8" width="25" customWidth="1"/>
  </cols>
  <sheetData>
    <row r="1" spans="1:8" ht="35.25" customHeight="1">
      <c r="A1" s="348" t="s">
        <v>582</v>
      </c>
      <c r="B1" s="348"/>
      <c r="C1" s="348"/>
      <c r="D1" s="348"/>
      <c r="E1" s="348"/>
      <c r="F1" s="348"/>
      <c r="G1" s="348"/>
      <c r="H1" s="348"/>
    </row>
    <row r="2" spans="1:8">
      <c r="A2" s="167"/>
      <c r="B2" s="167">
        <f>COUNTIF(البيانات!AD:AD,"Yes")</f>
        <v>45</v>
      </c>
      <c r="C2" s="167"/>
      <c r="D2" s="167"/>
      <c r="E2" s="167"/>
      <c r="F2" s="167"/>
      <c r="G2" s="167"/>
      <c r="H2" s="167"/>
    </row>
    <row r="3" spans="1:8" ht="30" customHeight="1">
      <c r="A3" s="47" t="s">
        <v>352</v>
      </c>
      <c r="B3" s="47" t="s">
        <v>353</v>
      </c>
      <c r="C3" s="47" t="s">
        <v>354</v>
      </c>
      <c r="D3" s="47" t="s">
        <v>559</v>
      </c>
      <c r="E3" s="47" t="s">
        <v>583</v>
      </c>
      <c r="F3" s="47" t="s">
        <v>584</v>
      </c>
      <c r="G3" s="47" t="s">
        <v>585</v>
      </c>
      <c r="H3" s="47" t="s">
        <v>182</v>
      </c>
    </row>
    <row r="4" spans="1:8" ht="24.75" customHeight="1">
      <c r="A4" s="185">
        <v>1</v>
      </c>
      <c r="B4" s="185">
        <v>1108769298</v>
      </c>
      <c r="C4" s="185" t="s">
        <v>369</v>
      </c>
      <c r="D4" s="185">
        <v>551309299</v>
      </c>
      <c r="E4" s="185" t="s">
        <v>586</v>
      </c>
      <c r="F4" s="185" t="s">
        <v>587</v>
      </c>
      <c r="G4" s="48"/>
      <c r="H4" s="48"/>
    </row>
    <row r="5" spans="1:8" ht="24.75" customHeight="1">
      <c r="A5" s="185">
        <v>2</v>
      </c>
      <c r="B5" s="185">
        <v>1012673784</v>
      </c>
      <c r="C5" s="185" t="s">
        <v>385</v>
      </c>
      <c r="D5" s="185">
        <v>509578967</v>
      </c>
      <c r="E5" s="185" t="s">
        <v>586</v>
      </c>
      <c r="F5" s="185" t="s">
        <v>587</v>
      </c>
      <c r="G5" s="48"/>
      <c r="H5" s="48"/>
    </row>
    <row r="6" spans="1:8" ht="24.75" customHeight="1">
      <c r="A6" s="185">
        <v>3</v>
      </c>
      <c r="B6" s="185">
        <v>1085003786</v>
      </c>
      <c r="C6" s="185" t="s">
        <v>387</v>
      </c>
      <c r="D6" s="185">
        <v>566787054</v>
      </c>
      <c r="E6" s="185" t="s">
        <v>586</v>
      </c>
      <c r="F6" s="185" t="s">
        <v>588</v>
      </c>
      <c r="G6" s="48"/>
      <c r="H6" s="48"/>
    </row>
    <row r="7" spans="1:8" ht="24.75" customHeight="1">
      <c r="A7" s="185">
        <v>4</v>
      </c>
      <c r="B7" s="185">
        <v>1096237886</v>
      </c>
      <c r="C7" s="185" t="s">
        <v>399</v>
      </c>
      <c r="D7" s="185">
        <v>534149948</v>
      </c>
      <c r="E7" s="185" t="s">
        <v>586</v>
      </c>
      <c r="F7" s="185" t="s">
        <v>587</v>
      </c>
      <c r="G7" s="48"/>
      <c r="H7" s="48"/>
    </row>
    <row r="8" spans="1:8" ht="24.75" customHeight="1">
      <c r="A8" s="185">
        <v>5</v>
      </c>
      <c r="B8" s="185">
        <v>1077958971</v>
      </c>
      <c r="C8" s="185" t="s">
        <v>401</v>
      </c>
      <c r="D8" s="185">
        <v>507359011</v>
      </c>
      <c r="E8" s="185" t="s">
        <v>586</v>
      </c>
      <c r="F8" s="185" t="s">
        <v>588</v>
      </c>
      <c r="G8" s="48"/>
      <c r="H8" s="48"/>
    </row>
    <row r="9" spans="1:8" ht="24.75" customHeight="1">
      <c r="A9" s="185">
        <v>6</v>
      </c>
      <c r="B9" s="185">
        <v>1065088799</v>
      </c>
      <c r="C9" s="185" t="s">
        <v>411</v>
      </c>
      <c r="D9" s="185">
        <v>506977477</v>
      </c>
      <c r="E9" s="185" t="s">
        <v>586</v>
      </c>
      <c r="F9" s="185" t="s">
        <v>587</v>
      </c>
      <c r="G9" s="48"/>
      <c r="H9" s="48"/>
    </row>
    <row r="10" spans="1:8" ht="24.75" customHeight="1">
      <c r="A10" s="185">
        <v>7</v>
      </c>
      <c r="B10" s="185">
        <v>1099873398</v>
      </c>
      <c r="C10" s="185" t="s">
        <v>412</v>
      </c>
      <c r="D10" s="185">
        <v>532552417</v>
      </c>
      <c r="E10" s="185" t="s">
        <v>586</v>
      </c>
      <c r="F10" s="185" t="s">
        <v>587</v>
      </c>
      <c r="G10" s="48"/>
      <c r="H10" s="48"/>
    </row>
    <row r="11" spans="1:8" ht="24.75" customHeight="1">
      <c r="A11" s="185">
        <v>8</v>
      </c>
      <c r="B11" s="185">
        <v>1100722410</v>
      </c>
      <c r="C11" s="185" t="s">
        <v>444</v>
      </c>
      <c r="D11" s="185">
        <v>553742681</v>
      </c>
      <c r="E11" s="185" t="s">
        <v>586</v>
      </c>
      <c r="F11" s="185" t="s">
        <v>587</v>
      </c>
      <c r="G11" s="48"/>
      <c r="H11" s="48"/>
    </row>
    <row r="12" spans="1:8" ht="24.75" customHeight="1">
      <c r="A12" s="185">
        <v>9</v>
      </c>
      <c r="B12" s="185">
        <v>1019481843</v>
      </c>
      <c r="C12" s="185" t="s">
        <v>447</v>
      </c>
      <c r="D12" s="185">
        <v>509338874</v>
      </c>
      <c r="E12" s="185" t="s">
        <v>586</v>
      </c>
      <c r="F12" s="185" t="s">
        <v>587</v>
      </c>
      <c r="G12" s="48"/>
      <c r="H12" s="48"/>
    </row>
    <row r="13" spans="1:8" ht="24.75" customHeight="1">
      <c r="A13" s="185">
        <v>10</v>
      </c>
      <c r="B13" s="185">
        <v>107974781</v>
      </c>
      <c r="C13" s="185" t="s">
        <v>448</v>
      </c>
      <c r="D13" s="185">
        <v>552660916</v>
      </c>
      <c r="E13" s="185" t="s">
        <v>586</v>
      </c>
      <c r="F13" s="185" t="s">
        <v>588</v>
      </c>
      <c r="G13" s="48"/>
      <c r="H13" s="48"/>
    </row>
    <row r="14" spans="1:8" ht="24.75" customHeight="1">
      <c r="A14" s="185">
        <v>11</v>
      </c>
      <c r="B14" s="185">
        <v>1050676012</v>
      </c>
      <c r="C14" s="185" t="s">
        <v>469</v>
      </c>
      <c r="D14" s="185">
        <v>533387606</v>
      </c>
      <c r="E14" s="185" t="s">
        <v>586</v>
      </c>
      <c r="F14" s="185" t="s">
        <v>588</v>
      </c>
      <c r="G14" s="48"/>
      <c r="H14" s="48"/>
    </row>
    <row r="15" spans="1:8" ht="24.75" customHeight="1">
      <c r="A15" s="185">
        <v>12</v>
      </c>
      <c r="B15" s="185">
        <v>1107083220</v>
      </c>
      <c r="C15" s="185" t="s">
        <v>470</v>
      </c>
      <c r="D15" s="185">
        <v>556632076</v>
      </c>
      <c r="E15" s="185" t="s">
        <v>586</v>
      </c>
      <c r="F15" s="185" t="s">
        <v>588</v>
      </c>
      <c r="G15" s="48"/>
      <c r="H15" s="48"/>
    </row>
    <row r="16" spans="1:8" ht="24.75" customHeight="1">
      <c r="A16" s="185">
        <v>13</v>
      </c>
      <c r="B16" s="185">
        <v>1049017419</v>
      </c>
      <c r="C16" s="185" t="s">
        <v>478</v>
      </c>
      <c r="D16" s="185">
        <v>503482343</v>
      </c>
      <c r="E16" s="185" t="s">
        <v>586</v>
      </c>
      <c r="F16" s="185" t="s">
        <v>587</v>
      </c>
      <c r="G16" s="48"/>
      <c r="H16" s="48"/>
    </row>
    <row r="17" spans="1:8" ht="24.75" customHeight="1">
      <c r="A17" s="185">
        <v>14</v>
      </c>
      <c r="B17" s="185">
        <v>1072225616</v>
      </c>
      <c r="C17" s="185" t="s">
        <v>483</v>
      </c>
      <c r="D17" s="185">
        <v>549660328</v>
      </c>
      <c r="E17" s="185" t="s">
        <v>586</v>
      </c>
      <c r="F17" s="185" t="s">
        <v>588</v>
      </c>
      <c r="G17" s="48"/>
      <c r="H17" s="48"/>
    </row>
    <row r="18" spans="1:8" ht="24.75" customHeight="1">
      <c r="A18" s="185">
        <v>15</v>
      </c>
      <c r="B18" s="185">
        <v>1068047016</v>
      </c>
      <c r="C18" s="185" t="s">
        <v>493</v>
      </c>
      <c r="D18" s="185">
        <v>532083704</v>
      </c>
      <c r="E18" s="185" t="s">
        <v>586</v>
      </c>
      <c r="F18" s="185" t="s">
        <v>588</v>
      </c>
      <c r="G18" s="48"/>
      <c r="H18" s="48"/>
    </row>
    <row r="19" spans="1:8" ht="24.75" customHeight="1">
      <c r="A19" s="185">
        <v>16</v>
      </c>
      <c r="B19" s="185">
        <v>1047808629</v>
      </c>
      <c r="C19" s="185" t="s">
        <v>504</v>
      </c>
      <c r="D19" s="185">
        <v>534570740</v>
      </c>
      <c r="E19" s="185" t="s">
        <v>586</v>
      </c>
      <c r="F19" s="185" t="s">
        <v>587</v>
      </c>
      <c r="G19" s="48"/>
      <c r="H19" s="48"/>
    </row>
    <row r="20" spans="1:8" ht="24.75" customHeight="1">
      <c r="A20" s="185">
        <v>17</v>
      </c>
      <c r="B20" s="185">
        <v>1067878585</v>
      </c>
      <c r="C20" s="185" t="s">
        <v>509</v>
      </c>
      <c r="D20" s="185">
        <v>504560141</v>
      </c>
      <c r="E20" s="185" t="s">
        <v>586</v>
      </c>
      <c r="F20" s="185" t="s">
        <v>588</v>
      </c>
      <c r="G20" s="48"/>
      <c r="H20" s="48"/>
    </row>
    <row r="21" spans="1:8" ht="24.75" customHeight="1">
      <c r="A21" s="185">
        <v>18</v>
      </c>
      <c r="B21" s="185">
        <v>2493426882</v>
      </c>
      <c r="C21" s="185" t="s">
        <v>511</v>
      </c>
      <c r="D21" s="185">
        <v>551582582</v>
      </c>
      <c r="E21" s="185" t="s">
        <v>586</v>
      </c>
      <c r="F21" s="185" t="s">
        <v>588</v>
      </c>
      <c r="G21" s="48"/>
      <c r="H21" s="48"/>
    </row>
    <row r="22" spans="1:8" ht="24.75" customHeight="1">
      <c r="A22" s="185">
        <v>19</v>
      </c>
      <c r="B22" s="185">
        <v>1058400746</v>
      </c>
      <c r="C22" s="185" t="s">
        <v>513</v>
      </c>
      <c r="D22" s="185">
        <v>505502890</v>
      </c>
      <c r="E22" s="185" t="s">
        <v>586</v>
      </c>
      <c r="F22" s="185" t="s">
        <v>588</v>
      </c>
      <c r="G22" s="48"/>
      <c r="H22" s="48"/>
    </row>
    <row r="23" spans="1:8" ht="24.75" customHeight="1">
      <c r="A23" s="185">
        <v>20</v>
      </c>
      <c r="B23" s="185">
        <v>1094993407</v>
      </c>
      <c r="C23" s="185" t="s">
        <v>515</v>
      </c>
      <c r="D23" s="185">
        <v>582030379</v>
      </c>
      <c r="E23" s="185" t="s">
        <v>586</v>
      </c>
      <c r="F23" s="185" t="s">
        <v>588</v>
      </c>
      <c r="G23" s="48"/>
      <c r="H23" s="48"/>
    </row>
    <row r="24" spans="1:8" ht="24.75" customHeight="1">
      <c r="A24" s="185">
        <v>21</v>
      </c>
      <c r="B24" s="185">
        <v>1153311335</v>
      </c>
      <c r="C24" s="185" t="s">
        <v>521</v>
      </c>
      <c r="D24" s="185">
        <v>502575617</v>
      </c>
      <c r="E24" s="185" t="s">
        <v>586</v>
      </c>
      <c r="F24" s="185" t="s">
        <v>588</v>
      </c>
      <c r="G24" s="48"/>
      <c r="H24" s="48"/>
    </row>
    <row r="25" spans="1:8" ht="24.75" customHeight="1">
      <c r="A25" s="185">
        <v>22</v>
      </c>
      <c r="B25" s="185">
        <v>1068070133</v>
      </c>
      <c r="C25" s="185" t="s">
        <v>533</v>
      </c>
      <c r="D25" s="185">
        <v>550889368</v>
      </c>
      <c r="E25" s="185" t="s">
        <v>586</v>
      </c>
      <c r="F25" s="185" t="s">
        <v>588</v>
      </c>
      <c r="G25" s="48"/>
      <c r="H25" s="48"/>
    </row>
    <row r="26" spans="1:8" ht="24.75" customHeight="1">
      <c r="A26" s="185">
        <v>23</v>
      </c>
      <c r="B26" s="185">
        <v>1109735785</v>
      </c>
      <c r="C26" s="185" t="s">
        <v>534</v>
      </c>
      <c r="D26" s="185">
        <v>537387632</v>
      </c>
      <c r="E26" s="185" t="s">
        <v>586</v>
      </c>
      <c r="F26" s="185" t="s">
        <v>587</v>
      </c>
      <c r="G26" s="48"/>
      <c r="H26" s="48"/>
    </row>
    <row r="27" spans="1:8" ht="24.75" customHeight="1">
      <c r="A27" s="185">
        <v>24</v>
      </c>
      <c r="B27" s="185">
        <v>1063001646</v>
      </c>
      <c r="C27" s="185" t="s">
        <v>542</v>
      </c>
      <c r="D27" s="185">
        <v>553095445</v>
      </c>
      <c r="E27" s="185" t="s">
        <v>586</v>
      </c>
      <c r="F27" s="185" t="s">
        <v>588</v>
      </c>
      <c r="G27" s="48"/>
      <c r="H27" s="48"/>
    </row>
    <row r="28" spans="1:8" ht="24.75" customHeight="1">
      <c r="A28" s="185">
        <v>25</v>
      </c>
      <c r="B28" s="185">
        <v>1122677964</v>
      </c>
      <c r="C28" s="185" t="s">
        <v>551</v>
      </c>
      <c r="D28" s="185">
        <v>550540322</v>
      </c>
      <c r="E28" s="185" t="s">
        <v>586</v>
      </c>
      <c r="F28" s="185" t="s">
        <v>588</v>
      </c>
      <c r="G28" s="48"/>
      <c r="H28" s="48"/>
    </row>
    <row r="29" spans="1:8" ht="24.75" customHeight="1">
      <c r="A29" s="185">
        <v>26</v>
      </c>
      <c r="B29" s="185">
        <v>1043528536</v>
      </c>
      <c r="C29" s="185" t="s">
        <v>556</v>
      </c>
      <c r="D29" s="185">
        <v>536235525</v>
      </c>
      <c r="E29" s="185" t="s">
        <v>586</v>
      </c>
      <c r="F29" s="185" t="s">
        <v>587</v>
      </c>
      <c r="G29" s="48"/>
      <c r="H29" s="48"/>
    </row>
    <row r="31" spans="1:8">
      <c r="A31" s="27" t="s">
        <v>566</v>
      </c>
      <c r="B31" s="167"/>
      <c r="C31" s="167"/>
      <c r="D31" s="167"/>
      <c r="E31" s="167"/>
      <c r="F31" s="167"/>
      <c r="G31" s="167"/>
      <c r="H31" s="167"/>
    </row>
    <row r="32" spans="1:8">
      <c r="A32" s="167" t="s">
        <v>589</v>
      </c>
      <c r="B32" s="167">
        <v>26</v>
      </c>
      <c r="C32" s="167"/>
      <c r="D32" s="167"/>
      <c r="E32" s="167"/>
      <c r="F32" s="167"/>
      <c r="G32" s="167"/>
      <c r="H32" s="167"/>
    </row>
    <row r="33" spans="1:2">
      <c r="A33" s="167" t="s">
        <v>590</v>
      </c>
      <c r="B33" s="167">
        <v>11</v>
      </c>
    </row>
    <row r="34" spans="1:2">
      <c r="A34" s="53" t="s">
        <v>591</v>
      </c>
      <c r="B34" s="53">
        <v>15</v>
      </c>
    </row>
  </sheetData>
  <mergeCells count="1">
    <mergeCell ref="A1:H1"/>
  </mergeCells>
  <dataValidations count="1">
    <dataValidation type="list" allowBlank="1" showInputMessage="1" showErrorMessage="1" sqref="G4:G29" xr:uid="{CF48DC92-583E-4BC8-B3BD-AF20A28578FF}">
      <formula1>"نعم بدأت,لا لم تبدأ,ترفض العلاج,لم يتم التواصل"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98DB"/>
  </sheetPr>
  <dimension ref="A1:AY313"/>
  <sheetViews>
    <sheetView rightToLeft="1" topLeftCell="AA30" zoomScale="90" zoomScaleNormal="90" workbookViewId="0">
      <selection activeCell="AI1" sqref="AI1:AI1048576"/>
    </sheetView>
  </sheetViews>
  <sheetFormatPr defaultRowHeight="13.5"/>
  <cols>
    <col min="1" max="1" width="3.875" bestFit="1" customWidth="1"/>
    <col min="2" max="3" width="15.375" bestFit="1" customWidth="1"/>
    <col min="4" max="4" width="10.5" bestFit="1" customWidth="1"/>
    <col min="5" max="5" width="5.875" bestFit="1" customWidth="1"/>
    <col min="6" max="6" width="10.375" bestFit="1" customWidth="1"/>
    <col min="7" max="14" width="15" hidden="1" customWidth="1"/>
    <col min="15" max="15" width="15" bestFit="1" customWidth="1"/>
    <col min="16" max="16" width="13.875" bestFit="1" customWidth="1"/>
    <col min="17" max="17" width="20.125" customWidth="1"/>
    <col min="18" max="18" width="20.25" bestFit="1" customWidth="1"/>
    <col min="19" max="20" width="15" bestFit="1" customWidth="1"/>
    <col min="21" max="21" width="39.5" bestFit="1" customWidth="1"/>
    <col min="22" max="22" width="12" bestFit="1" customWidth="1"/>
    <col min="23" max="23" width="28.625" bestFit="1" customWidth="1"/>
    <col min="24" max="24" width="15" bestFit="1" customWidth="1"/>
    <col min="25" max="25" width="15.125" bestFit="1" customWidth="1"/>
    <col min="26" max="32" width="15" bestFit="1" customWidth="1"/>
    <col min="33" max="33" width="32.375" bestFit="1" customWidth="1"/>
    <col min="34" max="34" width="40" customWidth="1"/>
    <col min="35" max="35" width="15" style="241" customWidth="1"/>
    <col min="36" max="36" width="22.25" style="241" customWidth="1"/>
    <col min="37" max="37" width="19.25" style="247" customWidth="1"/>
    <col min="38" max="38" width="24.125" style="241" bestFit="1" customWidth="1"/>
    <col min="39" max="39" width="29.75" style="241" bestFit="1" customWidth="1"/>
    <col min="40" max="40" width="16.75" style="241" bestFit="1" customWidth="1"/>
    <col min="41" max="41" width="23.5" style="241" bestFit="1" customWidth="1"/>
    <col min="42" max="42" width="17" style="241" bestFit="1" customWidth="1"/>
    <col min="43" max="43" width="19.25" style="241" bestFit="1" customWidth="1"/>
    <col min="44" max="44" width="30.75" style="241" customWidth="1"/>
    <col min="45" max="50" width="9" style="241"/>
    <col min="51" max="51" width="30" customWidth="1"/>
  </cols>
  <sheetData>
    <row r="1" spans="1:51" s="30" customFormat="1" ht="204.75">
      <c r="A1" s="1" t="s">
        <v>592</v>
      </c>
      <c r="B1" s="1" t="s">
        <v>593</v>
      </c>
      <c r="C1" s="1" t="s">
        <v>594</v>
      </c>
      <c r="D1" s="1" t="s">
        <v>595</v>
      </c>
      <c r="E1" s="1" t="s">
        <v>579</v>
      </c>
      <c r="F1" s="1" t="s">
        <v>596</v>
      </c>
      <c r="G1" s="1" t="s">
        <v>597</v>
      </c>
      <c r="H1" s="1" t="s">
        <v>435</v>
      </c>
      <c r="I1" s="1" t="s">
        <v>598</v>
      </c>
      <c r="J1" s="1" t="s">
        <v>599</v>
      </c>
      <c r="K1" s="1" t="s">
        <v>600</v>
      </c>
      <c r="L1" s="1" t="s">
        <v>601</v>
      </c>
      <c r="M1" s="1" t="s">
        <v>602</v>
      </c>
      <c r="N1" s="1" t="s">
        <v>603</v>
      </c>
      <c r="O1" s="1" t="s">
        <v>604</v>
      </c>
      <c r="P1" s="2" t="s">
        <v>605</v>
      </c>
      <c r="Q1" s="2" t="s">
        <v>606</v>
      </c>
      <c r="R1" s="1" t="s">
        <v>607</v>
      </c>
      <c r="S1" s="3" t="s">
        <v>608</v>
      </c>
      <c r="T1" s="1" t="s">
        <v>609</v>
      </c>
      <c r="U1" s="1" t="s">
        <v>610</v>
      </c>
      <c r="V1" s="1" t="s">
        <v>611</v>
      </c>
      <c r="W1" s="1" t="s">
        <v>612</v>
      </c>
      <c r="X1" s="1" t="s">
        <v>613</v>
      </c>
      <c r="Y1" s="1" t="s">
        <v>614</v>
      </c>
      <c r="Z1" s="1" t="s">
        <v>615</v>
      </c>
      <c r="AA1" s="1" t="s">
        <v>616</v>
      </c>
      <c r="AB1" s="1" t="s">
        <v>617</v>
      </c>
      <c r="AC1" s="1" t="s">
        <v>618</v>
      </c>
      <c r="AD1" s="1" t="s">
        <v>619</v>
      </c>
      <c r="AE1" s="1" t="s">
        <v>620</v>
      </c>
      <c r="AF1" s="1" t="s">
        <v>621</v>
      </c>
      <c r="AG1" s="1" t="s">
        <v>622</v>
      </c>
      <c r="AH1" s="1" t="s">
        <v>623</v>
      </c>
      <c r="AI1" s="236" t="s">
        <v>624</v>
      </c>
      <c r="AJ1" s="240" t="s">
        <v>625</v>
      </c>
      <c r="AK1" s="244" t="s">
        <v>562</v>
      </c>
      <c r="AL1" s="248" t="s">
        <v>626</v>
      </c>
      <c r="AM1" s="248" t="s">
        <v>627</v>
      </c>
      <c r="AN1" s="254" t="s">
        <v>628</v>
      </c>
      <c r="AO1" s="259" t="s">
        <v>629</v>
      </c>
      <c r="AP1" s="261" t="s">
        <v>630</v>
      </c>
      <c r="AQ1" s="261" t="s">
        <v>631</v>
      </c>
      <c r="AR1" s="240" t="s">
        <v>632</v>
      </c>
      <c r="AS1" s="274" t="s">
        <v>633</v>
      </c>
      <c r="AT1" s="275" t="s">
        <v>634</v>
      </c>
      <c r="AU1" s="275"/>
      <c r="AV1" s="275"/>
      <c r="AW1" s="275"/>
      <c r="AX1" s="275"/>
      <c r="AY1" s="312" t="s">
        <v>635</v>
      </c>
    </row>
    <row r="2" spans="1:51" s="30" customFormat="1" ht="22.5">
      <c r="A2" s="124">
        <v>41</v>
      </c>
      <c r="B2" s="125">
        <v>46077.481203703705</v>
      </c>
      <c r="C2" s="125">
        <v>46077.482789351852</v>
      </c>
      <c r="D2" s="126" t="s">
        <v>636</v>
      </c>
      <c r="E2" s="126"/>
      <c r="F2" s="126" t="s">
        <v>271</v>
      </c>
      <c r="G2" s="126"/>
      <c r="H2" s="126"/>
      <c r="I2" s="126"/>
      <c r="J2" s="126"/>
      <c r="K2" s="126" t="s">
        <v>637</v>
      </c>
      <c r="L2" s="126"/>
      <c r="M2" s="126"/>
      <c r="N2" s="126"/>
      <c r="O2" s="1" t="str">
        <f>_xlfn.CONCAT(OfficeForms.Table3[[#This Row],[القطاع الغربي (Western Sector)]:[القطاع فرسان (Farasan Sector)]])</f>
        <v>مركز مزهرة</v>
      </c>
      <c r="P2" s="132">
        <v>46077</v>
      </c>
      <c r="Q2" s="132">
        <v>45974</v>
      </c>
      <c r="R2" s="137" t="s">
        <v>638</v>
      </c>
      <c r="S2" s="142" t="s">
        <v>639</v>
      </c>
      <c r="T2" s="1">
        <v>24</v>
      </c>
      <c r="U2" s="137" t="s">
        <v>640</v>
      </c>
      <c r="V2" s="123" t="s">
        <v>641</v>
      </c>
      <c r="W2" s="138"/>
      <c r="X2" s="159"/>
      <c r="Y2" s="137">
        <v>556898292</v>
      </c>
      <c r="Z2" s="126"/>
      <c r="AA2" s="152"/>
      <c r="AB2" s="126"/>
      <c r="AC2" s="152"/>
      <c r="AD2" s="126" t="s">
        <v>642</v>
      </c>
      <c r="AE2" s="126"/>
      <c r="AF2" s="1"/>
      <c r="AG2" s="126" t="s">
        <v>643</v>
      </c>
      <c r="AH2" s="126"/>
      <c r="AI2" s="237" t="s">
        <v>644</v>
      </c>
      <c r="AJ2" s="242" t="s">
        <v>645</v>
      </c>
      <c r="AK2" s="245" t="str">
        <f>IF(OR(P2="",AI2=""),"⏳ بانتظار",IF(ISNUMBER(AI2),IF(NETWORKDAYS.INTL(P2,AI2,"0000011")-1&lt;=2,"✅ ملتزم","❌ غير ملتزم"),IFERROR(IF(NETWORKDAYS.INTL(P2,DATEVALUE(AI2),"0000011")-1&lt;=2,"✅ ملتزم","❌ غير ملتزم"),IFERROR(IF(NETWORKDAYS.INTL(P2,DATE(RIGHT(AI2,4),MID(AI2,FIND("/",AI2)+1,FIND("/",AI2,FIND("/",AI2)+1)-FIND("/",AI2)-1),LEFT(AI2,FIND("/",AI2)-1)),"0000011")-1&lt;=2,"✅ ملتزم","❌ غير ملتزم"),"⏳ بانتظار"))))</f>
        <v>❌ غير ملتزم</v>
      </c>
      <c r="AL2" s="249"/>
      <c r="AM2" s="241" t="s">
        <v>646</v>
      </c>
      <c r="AN2" s="255" t="s">
        <v>645</v>
      </c>
      <c r="AO2" s="260"/>
      <c r="AP2" s="261"/>
      <c r="AQ2" s="261"/>
      <c r="AR2" s="265" t="s">
        <v>646</v>
      </c>
      <c r="AS2" s="275" t="str">
        <f>IF(AR2="","",IF(ISNUMBER(SEARCH("جازان",AR2)),"مستشفى جازان العام",IF(ISNUMBER(SEARCH("صبيا",AR2)),"مستشفى صبيا العام",IF(ISNUMBER(SEARCH("عريش",AR2)),"مستشفى أبو عريش العام",IF(ISNUMBER(SEARCH("صامط",AR2)),"مستشفى صامطة العام",IF(ISNUMBER(SEARCH("بيش",AR2)),"مستشفى بيش العام",IF(ISNUMBER(SEARCH("فهد",AR2)),"مستشفى الملك فهد المركزي",AR2)))))))</f>
        <v>مستشفى جازان العام</v>
      </c>
      <c r="AT2" s="275">
        <f>ROW()-1</f>
        <v>1</v>
      </c>
      <c r="AU2" s="275"/>
      <c r="AV2" s="277">
        <f>IFERROR(NETWORKDAYS.INTL(P2,IF(ISNUMBER(AI2),AI2,DATEVALUE(AI2)),"0000011")-1,"N/A")</f>
        <v>7</v>
      </c>
      <c r="AW2" s="275">
        <f>IFERROR(NETWORKDAYS.INTL(P2,IF(ISNUMBER(AI2),AI2,DATE(RIGHT(AI2,4),MID(AI2,FIND("/",AI2)+1,FIND("/",AI2,FIND("/",AI2)+1)-FIND("/",AI2)-1),LEFT(AI2,FIND("/",AI2)-1))),"0000011")-1,"ERR")</f>
        <v>7</v>
      </c>
      <c r="AX2" s="275"/>
    </row>
    <row r="3" spans="1:51" s="30" customFormat="1" ht="51">
      <c r="A3" s="127">
        <v>42</v>
      </c>
      <c r="B3" s="128">
        <v>46077.482812499999</v>
      </c>
      <c r="C3" s="128">
        <v>46077.486400462964</v>
      </c>
      <c r="D3" s="129" t="s">
        <v>636</v>
      </c>
      <c r="E3" s="129"/>
      <c r="F3" s="129" t="s">
        <v>271</v>
      </c>
      <c r="G3" s="129"/>
      <c r="H3" s="129"/>
      <c r="I3" s="129"/>
      <c r="J3" s="129"/>
      <c r="K3" s="129" t="s">
        <v>637</v>
      </c>
      <c r="L3" s="129"/>
      <c r="M3" s="129"/>
      <c r="N3" s="129"/>
      <c r="O3" s="1" t="str">
        <f>_xlfn.CONCAT(OfficeForms.Table3[[#This Row],[القطاع الغربي (Western Sector)]:[القطاع فرسان (Farasan Sector)]])</f>
        <v>مركز مزهرة</v>
      </c>
      <c r="P3" s="133">
        <v>46077</v>
      </c>
      <c r="Q3" s="133">
        <v>46040</v>
      </c>
      <c r="R3" s="136" t="s">
        <v>647</v>
      </c>
      <c r="S3" s="143" t="s">
        <v>648</v>
      </c>
      <c r="T3" s="1">
        <v>40</v>
      </c>
      <c r="U3" s="136" t="s">
        <v>649</v>
      </c>
      <c r="V3" s="148" t="s">
        <v>650</v>
      </c>
      <c r="W3" s="139"/>
      <c r="X3" s="160"/>
      <c r="Y3" s="136">
        <v>552969032</v>
      </c>
      <c r="Z3" s="129"/>
      <c r="AA3" s="153" t="s">
        <v>651</v>
      </c>
      <c r="AB3" s="129"/>
      <c r="AC3" s="153"/>
      <c r="AD3" s="129" t="s">
        <v>642</v>
      </c>
      <c r="AE3" s="129"/>
      <c r="AF3" s="1"/>
      <c r="AG3" s="129" t="s">
        <v>643</v>
      </c>
      <c r="AH3" s="129"/>
      <c r="AI3" s="237" t="s">
        <v>652</v>
      </c>
      <c r="AJ3" s="242" t="s">
        <v>645</v>
      </c>
      <c r="AK3" s="245" t="str">
        <f t="shared" ref="AK3:AK66" si="0">IF(OR(P3="",AI3=""),"⏳ بانتظار",IF(ISNUMBER(AI3),IF(NETWORKDAYS.INTL(P3,AI3,"0000011")-1&lt;=2,"✅ ملتزم","❌ غير ملتزم"),IFERROR(IF(NETWORKDAYS.INTL(P3,DATEVALUE(AI3),"0000011")-1&lt;=2,"✅ ملتزم","❌ غير ملتزم"),IFERROR(IF(NETWORKDAYS.INTL(P3,DATE(RIGHT(AI3,4),MID(AI3,FIND("/",AI3)+1,FIND("/",AI3,FIND("/",AI3)+1)-FIND("/",AI3)-1),LEFT(AI3,FIND("/",AI3)-1)),"0000011")-1&lt;=2,"✅ ملتزم","❌ غير ملتزم"),"⏳ بانتظار"))))</f>
        <v>❌ غير ملتزم</v>
      </c>
      <c r="AL3" s="249"/>
      <c r="AM3" s="241" t="s">
        <v>646</v>
      </c>
      <c r="AN3" s="255" t="s">
        <v>645</v>
      </c>
      <c r="AO3" s="260"/>
      <c r="AP3" s="261"/>
      <c r="AQ3" s="261"/>
      <c r="AR3" s="266" t="s">
        <v>646</v>
      </c>
      <c r="AS3" s="275" t="str">
        <f>IF(AR3="","",IF(ISNUMBER(SEARCH("جازان",AR3)),"مستشفى جازان العام",IF(ISNUMBER(SEARCH("صبيا",AR3)),"مستشفى صبيا العام",IF(ISNUMBER(SEARCH("عريش",AR3)),"مستشفى أبو عريش العام",IF(ISNUMBER(SEARCH("صامط",AR3)),"مستشفى صامطة العام",IF(ISNUMBER(SEARCH("بيش",AR3)),"مستشفى بيش العام",IF(ISNUMBER(SEARCH("فهد",AR3)),"مستشفى الملك فهد المركزي",AR3)))))))</f>
        <v>مستشفى جازان العام</v>
      </c>
      <c r="AT3" s="275">
        <f>ROW()-1</f>
        <v>2</v>
      </c>
      <c r="AU3" s="275"/>
      <c r="AV3" s="275">
        <f>IFERROR(NETWORKDAYS.INTL(P3,IF(ISNUMBER(AI3),AI3,DATEVALUE(AI3)),"0000011")-1,"N/A")</f>
        <v>5</v>
      </c>
      <c r="AW3" s="275">
        <f>IFERROR(NETWORKDAYS.INTL(P3,IF(ISNUMBER(AI3),AI3,DATE(RIGHT(AI3,4),MID(AI3,FIND("/",AI3)+1,FIND("/",AI3,FIND("/",AI3)+1)-FIND("/",AI3)-1),LEFT(AI3,FIND("/",AI3)-1))),"0000011")-1,"ERR")</f>
        <v>5</v>
      </c>
      <c r="AX3" s="275"/>
    </row>
    <row r="4" spans="1:51" s="30" customFormat="1" ht="51">
      <c r="A4" s="124">
        <v>44</v>
      </c>
      <c r="B4" s="125">
        <v>46077.58353009259</v>
      </c>
      <c r="C4" s="125">
        <v>46077.592847222222</v>
      </c>
      <c r="D4" s="126" t="s">
        <v>636</v>
      </c>
      <c r="E4" s="126"/>
      <c r="F4" s="126" t="s">
        <v>271</v>
      </c>
      <c r="G4" s="126"/>
      <c r="H4" s="126"/>
      <c r="I4" s="126"/>
      <c r="J4" s="126"/>
      <c r="K4" s="126" t="s">
        <v>653</v>
      </c>
      <c r="L4" s="126"/>
      <c r="M4" s="126"/>
      <c r="N4" s="126"/>
      <c r="O4" s="1" t="str">
        <f>_xlfn.CONCAT(OfficeForms.Table3[[#This Row],[القطاع الغربي (Western Sector)]:[القطاع فرسان (Farasan Sector)]])</f>
        <v>مركز المضايا</v>
      </c>
      <c r="P4" s="132">
        <v>46077</v>
      </c>
      <c r="Q4" s="132">
        <v>46044</v>
      </c>
      <c r="R4" s="134" t="s">
        <v>654</v>
      </c>
      <c r="S4" s="142" t="s">
        <v>655</v>
      </c>
      <c r="T4" s="1">
        <v>23</v>
      </c>
      <c r="U4" s="137" t="s">
        <v>656</v>
      </c>
      <c r="V4" s="123" t="s">
        <v>657</v>
      </c>
      <c r="W4" s="138" t="s">
        <v>658</v>
      </c>
      <c r="X4" s="159"/>
      <c r="Y4" s="137">
        <v>504101175</v>
      </c>
      <c r="Z4" s="126"/>
      <c r="AA4" s="152" t="s">
        <v>659</v>
      </c>
      <c r="AB4" s="126" t="s">
        <v>660</v>
      </c>
      <c r="AC4" s="152"/>
      <c r="AD4" s="126" t="s">
        <v>642</v>
      </c>
      <c r="AE4" s="126"/>
      <c r="AF4" s="1"/>
      <c r="AG4" s="126" t="s">
        <v>661</v>
      </c>
      <c r="AH4" s="126"/>
      <c r="AI4" s="237" t="s">
        <v>644</v>
      </c>
      <c r="AJ4" s="242" t="s">
        <v>645</v>
      </c>
      <c r="AK4" s="245" t="str">
        <f t="shared" si="0"/>
        <v>❌ غير ملتزم</v>
      </c>
      <c r="AL4" s="249"/>
      <c r="AM4" s="241" t="s">
        <v>646</v>
      </c>
      <c r="AN4" s="255" t="s">
        <v>645</v>
      </c>
      <c r="AO4" s="260"/>
      <c r="AP4" s="261"/>
      <c r="AQ4" s="261"/>
      <c r="AR4" s="265" t="s">
        <v>646</v>
      </c>
      <c r="AS4" s="275" t="str">
        <f>IF(AR4="","",IF(ISNUMBER(SEARCH("جازان",AR4)),"مستشفى جازان العام",IF(ISNUMBER(SEARCH("صبيا",AR4)),"مستشفى صبيا العام",IF(ISNUMBER(SEARCH("عريش",AR4)),"مستشفى أبو عريش العام",IF(ISNUMBER(SEARCH("صامط",AR4)),"مستشفى صامطة العام",IF(ISNUMBER(SEARCH("بيش",AR4)),"مستشفى بيش العام",IF(ISNUMBER(SEARCH("فهد",AR4)),"مستشفى الملك فهد المركزي",AR4)))))))</f>
        <v>مستشفى جازان العام</v>
      </c>
      <c r="AT4" s="275">
        <f>ROW()-1</f>
        <v>3</v>
      </c>
      <c r="AU4" s="275"/>
      <c r="AV4" s="275">
        <f>IFERROR(NETWORKDAYS.INTL(P4,IF(ISNUMBER(AI4),AI4,DATEVALUE(AI4)),"0000011")-1,"N/A")</f>
        <v>7</v>
      </c>
      <c r="AW4" s="275">
        <f>IFERROR(NETWORKDAYS.INTL(P4,IF(ISNUMBER(AI4),AI4,DATE(RIGHT(AI4,4),MID(AI4,FIND("/",AI4)+1,FIND("/",AI4,FIND("/",AI4)+1)-FIND("/",AI4)-1),LEFT(AI4,FIND("/",AI4)-1))),"0000011")-1,"ERR")</f>
        <v>7</v>
      </c>
      <c r="AX4" s="275"/>
    </row>
    <row r="5" spans="1:51" s="30" customFormat="1" ht="26.25">
      <c r="A5" s="127">
        <v>47</v>
      </c>
      <c r="B5" s="128">
        <v>46079.519479166702</v>
      </c>
      <c r="C5" s="128">
        <v>46079.534212963001</v>
      </c>
      <c r="D5" s="130" t="s">
        <v>662</v>
      </c>
      <c r="E5" s="130"/>
      <c r="F5" s="130" t="s">
        <v>271</v>
      </c>
      <c r="G5" s="130"/>
      <c r="H5" s="130"/>
      <c r="I5" s="130"/>
      <c r="J5" s="130"/>
      <c r="K5" s="130" t="s">
        <v>663</v>
      </c>
      <c r="L5" s="130"/>
      <c r="M5" s="130"/>
      <c r="N5" s="130"/>
      <c r="O5" s="1" t="str">
        <f>_xlfn.CONCAT(OfficeForms.Table3[[#This Row],[القطاع الغربي (Western Sector)]:[القطاع فرسان (Farasan Sector)]])</f>
        <v>مركز الشاطىء</v>
      </c>
      <c r="P5" s="133">
        <v>46079</v>
      </c>
      <c r="Q5" s="133">
        <v>45885</v>
      </c>
      <c r="R5" s="135" t="s">
        <v>664</v>
      </c>
      <c r="S5" s="143" t="s">
        <v>665</v>
      </c>
      <c r="T5" s="1">
        <v>21</v>
      </c>
      <c r="U5" s="136" t="s">
        <v>666</v>
      </c>
      <c r="V5" s="149">
        <v>1125222628</v>
      </c>
      <c r="W5" s="139" t="s">
        <v>667</v>
      </c>
      <c r="X5" s="160" t="s">
        <v>668</v>
      </c>
      <c r="Y5" s="135" t="s">
        <v>669</v>
      </c>
      <c r="Z5" s="130"/>
      <c r="AA5" s="154" t="s">
        <v>670</v>
      </c>
      <c r="AB5" s="130"/>
      <c r="AC5" s="154"/>
      <c r="AD5" s="130" t="s">
        <v>642</v>
      </c>
      <c r="AE5" s="130"/>
      <c r="AF5" s="1"/>
      <c r="AG5" s="130" t="s">
        <v>643</v>
      </c>
      <c r="AH5" s="130"/>
      <c r="AI5" s="237" t="s">
        <v>671</v>
      </c>
      <c r="AJ5" s="242" t="s">
        <v>645</v>
      </c>
      <c r="AK5" s="245" t="str">
        <f t="shared" si="0"/>
        <v>❌ غير ملتزم</v>
      </c>
      <c r="AL5" s="249"/>
      <c r="AM5" s="241" t="s">
        <v>646</v>
      </c>
      <c r="AN5" s="255" t="s">
        <v>645</v>
      </c>
      <c r="AO5" s="260"/>
      <c r="AP5" s="261"/>
      <c r="AQ5" s="261"/>
      <c r="AR5" s="266" t="s">
        <v>646</v>
      </c>
      <c r="AS5" s="275" t="str">
        <f>IF(AR5="","",IF(ISNUMBER(SEARCH("جازان",AR5)),"مستشفى جازان العام",IF(ISNUMBER(SEARCH("صبيا",AR5)),"مستشفى صبيا العام",IF(ISNUMBER(SEARCH("عريش",AR5)),"مستشفى أبو عريش العام",IF(ISNUMBER(SEARCH("صامط",AR5)),"مستشفى صامطة العام",IF(ISNUMBER(SEARCH("بيش",AR5)),"مستشفى بيش العام",IF(ISNUMBER(SEARCH("فهد",AR5)),"مستشفى الملك فهد المركزي",AR5)))))))</f>
        <v>مستشفى جازان العام</v>
      </c>
      <c r="AT5" s="275">
        <f>ROW()-1</f>
        <v>4</v>
      </c>
      <c r="AU5" s="275"/>
      <c r="AV5" s="275">
        <f>IFERROR(NETWORKDAYS.INTL(P5,IF(ISNUMBER(AI5),AI5,DATEVALUE(AI5)),"0000011")-1,"N/A")</f>
        <v>6</v>
      </c>
      <c r="AW5" s="275">
        <f>IFERROR(NETWORKDAYS.INTL(P5,IF(ISNUMBER(AI5),AI5,DATE(RIGHT(AI5,4),MID(AI5,FIND("/",AI5)+1,FIND("/",AI5,FIND("/",AI5)+1)-FIND("/",AI5)-1),LEFT(AI5,FIND("/",AI5)-1))),"0000011")-1,"ERR")</f>
        <v>6</v>
      </c>
      <c r="AX5" s="275"/>
    </row>
    <row r="6" spans="1:51" s="30" customFormat="1" ht="51">
      <c r="A6" s="124">
        <v>48</v>
      </c>
      <c r="B6" s="125">
        <v>46079.587847222203</v>
      </c>
      <c r="C6" s="125">
        <v>46079.597974536999</v>
      </c>
      <c r="D6" s="131" t="s">
        <v>662</v>
      </c>
      <c r="E6" s="131"/>
      <c r="F6" s="131" t="s">
        <v>275</v>
      </c>
      <c r="G6" s="131" t="s">
        <v>672</v>
      </c>
      <c r="H6" s="131"/>
      <c r="I6" s="131"/>
      <c r="J6" s="131"/>
      <c r="K6" s="131"/>
      <c r="L6" s="131"/>
      <c r="M6" s="131"/>
      <c r="N6" s="131"/>
      <c r="O6" s="1" t="str">
        <f>_xlfn.CONCAT(OfficeForms.Table3[[#This Row],[القطاع الغربي (Western Sector)]:[القطاع فرسان (Farasan Sector)]])</f>
        <v>مركز الحسيني</v>
      </c>
      <c r="P6" s="132">
        <v>46079</v>
      </c>
      <c r="Q6" s="132">
        <v>46019</v>
      </c>
      <c r="R6" s="134" t="s">
        <v>673</v>
      </c>
      <c r="S6" s="144" t="s">
        <v>674</v>
      </c>
      <c r="T6" s="1">
        <v>46</v>
      </c>
      <c r="U6" s="137" t="s">
        <v>675</v>
      </c>
      <c r="V6" s="123" t="s">
        <v>676</v>
      </c>
      <c r="W6" s="138" t="s">
        <v>677</v>
      </c>
      <c r="X6" s="126">
        <v>538610396</v>
      </c>
      <c r="Y6" s="134" t="s">
        <v>678</v>
      </c>
      <c r="Z6" s="131"/>
      <c r="AA6" s="155" t="s">
        <v>679</v>
      </c>
      <c r="AB6" s="131"/>
      <c r="AC6" s="155"/>
      <c r="AD6" s="131" t="s">
        <v>680</v>
      </c>
      <c r="AE6" s="131" t="s">
        <v>642</v>
      </c>
      <c r="AF6" s="1"/>
      <c r="AG6" s="131" t="s">
        <v>681</v>
      </c>
      <c r="AH6" s="131"/>
      <c r="AI6" s="237" t="s">
        <v>644</v>
      </c>
      <c r="AJ6" s="242" t="s">
        <v>645</v>
      </c>
      <c r="AK6" s="245" t="str">
        <f t="shared" si="0"/>
        <v>❌ غير ملتزم</v>
      </c>
      <c r="AL6" s="249"/>
      <c r="AM6" s="241" t="s">
        <v>682</v>
      </c>
      <c r="AN6" s="255" t="s">
        <v>645</v>
      </c>
      <c r="AO6" s="260"/>
      <c r="AP6" s="261"/>
      <c r="AQ6" s="261"/>
      <c r="AR6" s="265" t="s">
        <v>682</v>
      </c>
      <c r="AS6" s="275" t="str">
        <f>IF(AR6="","",IF(ISNUMBER(SEARCH("جازان",AR6)),"مستشفى جازان العام",IF(ISNUMBER(SEARCH("صبيا",AR6)),"مستشفى صبيا العام",IF(ISNUMBER(SEARCH("عريش",AR6)),"مستشفى أبو عريش العام",IF(ISNUMBER(SEARCH("صامط",AR6)),"مستشفى صامطة العام",IF(ISNUMBER(SEARCH("بيش",AR6)),"مستشفى بيش العام",IF(ISNUMBER(SEARCH("فهد",AR6)),"مستشفى الملك فهد المركزي",AR6)))))))</f>
        <v>مستشفى صبيا العام</v>
      </c>
      <c r="AT6" s="275">
        <f>ROW()-1</f>
        <v>5</v>
      </c>
      <c r="AU6" s="275"/>
      <c r="AV6" s="275">
        <f>IFERROR(NETWORKDAYS.INTL(P6,IF(ISNUMBER(AI6),AI6,DATEVALUE(AI6)),"0000011")-1,"N/A")</f>
        <v>5</v>
      </c>
      <c r="AW6" s="275">
        <f>IFERROR(NETWORKDAYS.INTL(P6,IF(ISNUMBER(AI6),AI6,DATE(RIGHT(AI6,4),MID(AI6,FIND("/",AI6)+1,FIND("/",AI6,FIND("/",AI6)+1)-FIND("/",AI6)-1),LEFT(AI6,FIND("/",AI6)-1))),"0000011")-1,"ERR")</f>
        <v>5</v>
      </c>
      <c r="AX6" s="275"/>
    </row>
    <row r="7" spans="1:51" s="30" customFormat="1" ht="26.25">
      <c r="A7" s="127">
        <v>59</v>
      </c>
      <c r="B7" s="128">
        <v>46086.4319791667</v>
      </c>
      <c r="C7" s="128">
        <v>46086.442442129599</v>
      </c>
      <c r="D7" s="130" t="s">
        <v>662</v>
      </c>
      <c r="E7" s="130"/>
      <c r="F7" s="130" t="s">
        <v>279</v>
      </c>
      <c r="G7" s="130"/>
      <c r="H7" s="130"/>
      <c r="I7" s="130"/>
      <c r="J7" s="130" t="s">
        <v>683</v>
      </c>
      <c r="K7" s="130"/>
      <c r="L7" s="130"/>
      <c r="M7" s="130"/>
      <c r="N7" s="130"/>
      <c r="O7" s="1" t="str">
        <f>_xlfn.CONCAT(OfficeForms.Table3[[#This Row],[القطاع الغربي (Western Sector)]:[القطاع فرسان (Farasan Sector)]])</f>
        <v>مركز مقزع</v>
      </c>
      <c r="P7" s="133">
        <v>46027</v>
      </c>
      <c r="Q7" s="133">
        <v>45945</v>
      </c>
      <c r="R7" s="135" t="s">
        <v>684</v>
      </c>
      <c r="S7" s="145" t="s">
        <v>685</v>
      </c>
      <c r="T7" s="1">
        <v>28</v>
      </c>
      <c r="U7" s="136" t="s">
        <v>686</v>
      </c>
      <c r="V7" s="148" t="s">
        <v>687</v>
      </c>
      <c r="W7" s="139" t="s">
        <v>688</v>
      </c>
      <c r="X7" s="129">
        <v>559580539</v>
      </c>
      <c r="Y7" s="135" t="s">
        <v>689</v>
      </c>
      <c r="Z7" s="130" t="s">
        <v>690</v>
      </c>
      <c r="AA7" s="154" t="s">
        <v>691</v>
      </c>
      <c r="AB7" s="130"/>
      <c r="AC7" s="154" t="s">
        <v>642</v>
      </c>
      <c r="AD7" s="130" t="s">
        <v>680</v>
      </c>
      <c r="AE7" s="130" t="s">
        <v>642</v>
      </c>
      <c r="AF7" s="1"/>
      <c r="AG7" s="130" t="s">
        <v>692</v>
      </c>
      <c r="AH7" s="130" t="s">
        <v>693</v>
      </c>
      <c r="AI7" s="237" t="s">
        <v>694</v>
      </c>
      <c r="AJ7" s="242" t="s">
        <v>695</v>
      </c>
      <c r="AK7" s="245" t="str">
        <f t="shared" si="0"/>
        <v>❌ غير ملتزم</v>
      </c>
      <c r="AL7" s="249"/>
      <c r="AM7" s="241" t="s">
        <v>67</v>
      </c>
      <c r="AN7" s="255" t="s">
        <v>695</v>
      </c>
      <c r="AO7" s="260"/>
      <c r="AP7" s="261"/>
      <c r="AQ7" s="261"/>
      <c r="AR7" s="266" t="s">
        <v>67</v>
      </c>
      <c r="AS7" s="275" t="str">
        <f>IF(AR7="","",IF(ISNUMBER(SEARCH("جازان",AR7)),"مستشفى جازان العام",IF(ISNUMBER(SEARCH("صبيا",AR7)),"مستشفى صبيا العام",IF(ISNUMBER(SEARCH("عريش",AR7)),"مستشفى أبو عريش العام",IF(ISNUMBER(SEARCH("صامط",AR7)),"مستشفى صامطة العام",IF(ISNUMBER(SEARCH("بيش",AR7)),"مستشفى بيش العام",IF(ISNUMBER(SEARCH("فهد",AR7)),"مستشفى الملك فهد المركزي",AR7)))))))</f>
        <v>مستشفى بيش العام</v>
      </c>
      <c r="AT7" s="275">
        <f>ROW()-1</f>
        <v>6</v>
      </c>
      <c r="AU7" s="275"/>
      <c r="AV7" s="275">
        <f>IFERROR(NETWORKDAYS.INTL(P7,IF(ISNUMBER(AI7),AI7,DATEVALUE(AI7)),"0000011")-1,"N/A")</f>
        <v>50</v>
      </c>
      <c r="AW7" s="275">
        <f>IFERROR(NETWORKDAYS.INTL(P7,IF(ISNUMBER(AI7),AI7,DATE(RIGHT(AI7,4),MID(AI7,FIND("/",AI7)+1,FIND("/",AI7,FIND("/",AI7)+1)-FIND("/",AI7)-1),LEFT(AI7,FIND("/",AI7)-1))),"0000011")-1,"ERR")</f>
        <v>50</v>
      </c>
      <c r="AX7" s="275"/>
    </row>
    <row r="8" spans="1:51" s="30" customFormat="1" ht="22.5">
      <c r="A8" s="124">
        <v>61</v>
      </c>
      <c r="B8" s="125">
        <v>46086.527395833298</v>
      </c>
      <c r="C8" s="125">
        <v>46086.532083333303</v>
      </c>
      <c r="D8" s="131" t="s">
        <v>662</v>
      </c>
      <c r="E8" s="131"/>
      <c r="F8" s="131" t="s">
        <v>271</v>
      </c>
      <c r="G8" s="131"/>
      <c r="H8" s="131"/>
      <c r="I8" s="131"/>
      <c r="J8" s="131"/>
      <c r="K8" s="131" t="s">
        <v>696</v>
      </c>
      <c r="L8" s="131"/>
      <c r="M8" s="131"/>
      <c r="N8" s="131"/>
      <c r="O8" s="1" t="str">
        <f>_xlfn.CONCAT(OfficeForms.Table3[[#This Row],[القطاع الغربي (Western Sector)]:[القطاع فرسان (Farasan Sector)]])</f>
        <v>الكربوس</v>
      </c>
      <c r="P8" s="132">
        <v>46086</v>
      </c>
      <c r="Q8" s="132">
        <v>45955</v>
      </c>
      <c r="R8" s="134" t="s">
        <v>697</v>
      </c>
      <c r="S8" s="146" t="s">
        <v>698</v>
      </c>
      <c r="T8" s="1">
        <v>35</v>
      </c>
      <c r="U8" s="137" t="s">
        <v>699</v>
      </c>
      <c r="V8" s="123" t="s">
        <v>700</v>
      </c>
      <c r="W8" s="138" t="s">
        <v>701</v>
      </c>
      <c r="X8" s="159" t="s">
        <v>702</v>
      </c>
      <c r="Y8" s="134" t="s">
        <v>703</v>
      </c>
      <c r="Z8" s="131" t="s">
        <v>704</v>
      </c>
      <c r="AA8" s="155"/>
      <c r="AB8" s="131"/>
      <c r="AC8" s="155"/>
      <c r="AD8" s="131" t="s">
        <v>642</v>
      </c>
      <c r="AE8" s="131"/>
      <c r="AF8" s="1"/>
      <c r="AG8" s="131" t="s">
        <v>705</v>
      </c>
      <c r="AH8" s="131"/>
      <c r="AI8" s="313">
        <v>46329</v>
      </c>
      <c r="AJ8" s="242" t="s">
        <v>706</v>
      </c>
      <c r="AK8" s="245" t="str">
        <f t="shared" si="0"/>
        <v>❌ غير ملتزم</v>
      </c>
      <c r="AL8" s="249"/>
      <c r="AM8" s="241" t="s">
        <v>646</v>
      </c>
      <c r="AN8" s="255" t="s">
        <v>706</v>
      </c>
      <c r="AO8" s="260"/>
      <c r="AP8" s="261"/>
      <c r="AQ8" s="261"/>
      <c r="AR8" s="265" t="s">
        <v>646</v>
      </c>
      <c r="AS8" s="275" t="str">
        <f>IF(AR8="","",IF(ISNUMBER(SEARCH("جازان",AR8)),"مستشفى جازان العام",IF(ISNUMBER(SEARCH("صبيا",AR8)),"مستشفى صبيا العام",IF(ISNUMBER(SEARCH("عريش",AR8)),"مستشفى أبو عريش العام",IF(ISNUMBER(SEARCH("صامط",AR8)),"مستشفى صامطة العام",IF(ISNUMBER(SEARCH("بيش",AR8)),"مستشفى بيش العام",IF(ISNUMBER(SEARCH("فهد",AR8)),"مستشفى الملك فهد المركزي",AR8)))))))</f>
        <v>مستشفى جازان العام</v>
      </c>
      <c r="AT8" s="275">
        <f>ROW()-1</f>
        <v>7</v>
      </c>
      <c r="AU8" s="275"/>
      <c r="AV8" s="275">
        <f>IFERROR(NETWORKDAYS.INTL(P8,IF(ISNUMBER(AI8),AI8,DATEVALUE(AI8)),"0000011")-1,"N/A")</f>
        <v>173</v>
      </c>
      <c r="AW8" s="275">
        <f>IFERROR(NETWORKDAYS.INTL(P8,IF(ISNUMBER(AI8),AI8,DATE(RIGHT(AI8,4),MID(AI8,FIND("/",AI8)+1,FIND("/",AI8,FIND("/",AI8)+1)-FIND("/",AI8)-1),LEFT(AI8,FIND("/",AI8)-1))),"0000011")-1,"ERR")</f>
        <v>173</v>
      </c>
      <c r="AX8" s="275"/>
      <c r="AY8" s="30" t="s">
        <v>707</v>
      </c>
    </row>
    <row r="9" spans="1:51" s="30" customFormat="1" ht="22.5">
      <c r="A9" s="127">
        <v>62</v>
      </c>
      <c r="B9" s="128">
        <v>46086.526932870402</v>
      </c>
      <c r="C9" s="128">
        <v>46086.539131944402</v>
      </c>
      <c r="D9" s="130" t="s">
        <v>662</v>
      </c>
      <c r="E9" s="130"/>
      <c r="F9" s="130" t="s">
        <v>279</v>
      </c>
      <c r="G9" s="130"/>
      <c r="H9" s="130"/>
      <c r="I9" s="130"/>
      <c r="J9" s="130" t="s">
        <v>708</v>
      </c>
      <c r="K9" s="130"/>
      <c r="L9" s="130"/>
      <c r="M9" s="130"/>
      <c r="N9" s="130"/>
      <c r="O9" s="1" t="str">
        <f>_xlfn.CONCAT(OfficeForms.Table3[[#This Row],[القطاع الغربي (Western Sector)]:[القطاع فرسان (Farasan Sector)]])</f>
        <v>مركز الدرب</v>
      </c>
      <c r="P9" s="133">
        <v>46085</v>
      </c>
      <c r="Q9" s="133">
        <v>45941</v>
      </c>
      <c r="R9" s="135" t="s">
        <v>709</v>
      </c>
      <c r="S9" s="147" t="s">
        <v>710</v>
      </c>
      <c r="T9" s="1">
        <v>42</v>
      </c>
      <c r="U9" s="136" t="s">
        <v>711</v>
      </c>
      <c r="V9" s="148">
        <v>1096905235</v>
      </c>
      <c r="W9" s="139" t="s">
        <v>712</v>
      </c>
      <c r="X9" s="160" t="s">
        <v>713</v>
      </c>
      <c r="Y9" s="135" t="s">
        <v>714</v>
      </c>
      <c r="Z9" s="130"/>
      <c r="AA9" s="154"/>
      <c r="AB9" s="130"/>
      <c r="AC9" s="154" t="s">
        <v>715</v>
      </c>
      <c r="AD9" s="130" t="s">
        <v>642</v>
      </c>
      <c r="AE9" s="130"/>
      <c r="AF9" s="1"/>
      <c r="AG9" s="130" t="s">
        <v>716</v>
      </c>
      <c r="AH9" s="130" t="s">
        <v>717</v>
      </c>
      <c r="AI9" s="313"/>
      <c r="AJ9" s="242" t="s">
        <v>718</v>
      </c>
      <c r="AK9" s="245" t="str">
        <f t="shared" si="0"/>
        <v>⏳ بانتظار</v>
      </c>
      <c r="AL9" s="249"/>
      <c r="AM9" s="241"/>
      <c r="AN9" s="255" t="s">
        <v>718</v>
      </c>
      <c r="AO9" s="260"/>
      <c r="AP9" s="261"/>
      <c r="AQ9" s="261"/>
      <c r="AR9" s="267"/>
      <c r="AS9" s="275" t="str">
        <f>IF(AR9="","",IF(ISNUMBER(SEARCH("جازان",AR9)),"مستشفى جازان العام",IF(ISNUMBER(SEARCH("صبيا",AR9)),"مستشفى صبيا العام",IF(ISNUMBER(SEARCH("عريش",AR9)),"مستشفى أبو عريش العام",IF(ISNUMBER(SEARCH("صامط",AR9)),"مستشفى صامطة العام",IF(ISNUMBER(SEARCH("بيش",AR9)),"مستشفى بيش العام",IF(ISNUMBER(SEARCH("فهد",AR9)),"مستشفى الملك فهد المركزي",AR9)))))))</f>
        <v/>
      </c>
      <c r="AT9" s="275">
        <f>ROW()-1</f>
        <v>8</v>
      </c>
      <c r="AU9" s="275"/>
      <c r="AV9" s="275" t="str">
        <f>IFERROR(NETWORKDAYS.INTL(P9,IF(ISNUMBER(AI9),AI9,DATEVALUE(AI9)),"0000011")-1,"N/A")</f>
        <v>N/A</v>
      </c>
      <c r="AW9" s="275" t="str">
        <f>IFERROR(NETWORKDAYS.INTL(P9,IF(ISNUMBER(AI9),AI9,DATE(RIGHT(AI9,4),MID(AI9,FIND("/",AI9)+1,FIND("/",AI9,FIND("/",AI9)+1)-FIND("/",AI9)-1),LEFT(AI9,FIND("/",AI9)-1))),"0000011")-1,"ERR")</f>
        <v>ERR</v>
      </c>
      <c r="AX9" s="275"/>
      <c r="AY9" s="30" t="s">
        <v>719</v>
      </c>
    </row>
    <row r="10" spans="1:51" s="30" customFormat="1" ht="22.5">
      <c r="A10" s="124">
        <v>63</v>
      </c>
      <c r="B10" s="125">
        <v>46086.540868055599</v>
      </c>
      <c r="C10" s="125">
        <v>46086.545104166697</v>
      </c>
      <c r="D10" s="131" t="s">
        <v>662</v>
      </c>
      <c r="E10" s="131"/>
      <c r="F10" s="131" t="s">
        <v>279</v>
      </c>
      <c r="G10" s="131"/>
      <c r="H10" s="131"/>
      <c r="I10" s="131"/>
      <c r="J10" s="131" t="s">
        <v>720</v>
      </c>
      <c r="K10" s="131"/>
      <c r="L10" s="131"/>
      <c r="M10" s="131"/>
      <c r="N10" s="131"/>
      <c r="O10" s="1" t="str">
        <f>_xlfn.CONCAT(OfficeForms.Table3[[#This Row],[القطاع الغربي (Western Sector)]:[القطاع فرسان (Farasan Sector)]])</f>
        <v>مركز السلامة</v>
      </c>
      <c r="P10" s="132">
        <v>46086</v>
      </c>
      <c r="Q10" s="132">
        <v>45967</v>
      </c>
      <c r="R10" s="134" t="s">
        <v>721</v>
      </c>
      <c r="S10" s="144" t="s">
        <v>722</v>
      </c>
      <c r="T10" s="1">
        <v>37</v>
      </c>
      <c r="U10" s="137" t="s">
        <v>723</v>
      </c>
      <c r="V10" s="123" t="s">
        <v>724</v>
      </c>
      <c r="W10" s="138" t="s">
        <v>725</v>
      </c>
      <c r="X10" s="159" t="s">
        <v>726</v>
      </c>
      <c r="Y10" s="134">
        <v>532391487</v>
      </c>
      <c r="Z10" s="131"/>
      <c r="AA10" s="155"/>
      <c r="AB10" s="131"/>
      <c r="AC10" s="155" t="s">
        <v>693</v>
      </c>
      <c r="AD10" s="131" t="s">
        <v>642</v>
      </c>
      <c r="AE10" s="131"/>
      <c r="AF10" s="1"/>
      <c r="AG10" s="131" t="s">
        <v>727</v>
      </c>
      <c r="AH10" s="131" t="s">
        <v>693</v>
      </c>
      <c r="AI10" s="313">
        <v>46268</v>
      </c>
      <c r="AJ10" s="242" t="s">
        <v>728</v>
      </c>
      <c r="AK10" s="245" t="str">
        <f t="shared" si="0"/>
        <v>❌ غير ملتزم</v>
      </c>
      <c r="AL10" s="249"/>
      <c r="AM10" s="241" t="s">
        <v>729</v>
      </c>
      <c r="AN10" s="255" t="s">
        <v>728</v>
      </c>
      <c r="AO10" s="260"/>
      <c r="AP10" s="261"/>
      <c r="AQ10" s="261"/>
      <c r="AR10" s="268" t="s">
        <v>729</v>
      </c>
      <c r="AS10" s="275" t="str">
        <f>IF(AR10="","",IF(ISNUMBER(SEARCH("جازان",AR10)),"مستشفى جازان العام",IF(ISNUMBER(SEARCH("صبيا",AR10)),"مستشفى صبيا العام",IF(ISNUMBER(SEARCH("عريش",AR10)),"مستشفى أبو عريش العام",IF(ISNUMBER(SEARCH("صامط",AR10)),"مستشفى صامطة العام",IF(ISNUMBER(SEARCH("بيش",AR10)),"مستشفى بيش العام",IF(ISNUMBER(SEARCH("فهد",AR10)),"مستشفى الملك فهد المركزي",AR10)))))))</f>
        <v>مستشفى بيش العام</v>
      </c>
      <c r="AT10" s="275">
        <f>ROW()-1</f>
        <v>9</v>
      </c>
      <c r="AU10" s="275"/>
      <c r="AV10" s="275">
        <f>IFERROR(NETWORKDAYS.INTL(P10,IF(ISNUMBER(AI10),AI10,DATEVALUE(AI10)),"0000011")-1,"N/A")</f>
        <v>130</v>
      </c>
      <c r="AW10" s="275">
        <f>IFERROR(NETWORKDAYS.INTL(P10,IF(ISNUMBER(AI10),AI10,DATE(RIGHT(AI10,4),MID(AI10,FIND("/",AI10)+1,FIND("/",AI10,FIND("/",AI10)+1)-FIND("/",AI10)-1),LEFT(AI10,FIND("/",AI10)-1))),"0000011")-1,"ERR")</f>
        <v>130</v>
      </c>
      <c r="AX10" s="275"/>
      <c r="AY10" s="30" t="s">
        <v>730</v>
      </c>
    </row>
    <row r="11" spans="1:51" s="30" customFormat="1" ht="22.5">
      <c r="A11" s="127">
        <v>64</v>
      </c>
      <c r="B11" s="128">
        <v>46086.610069444403</v>
      </c>
      <c r="C11" s="128">
        <v>46086.615497685198</v>
      </c>
      <c r="D11" s="130" t="s">
        <v>662</v>
      </c>
      <c r="E11" s="130"/>
      <c r="F11" s="130" t="s">
        <v>271</v>
      </c>
      <c r="G11" s="130"/>
      <c r="H11" s="130"/>
      <c r="I11" s="130"/>
      <c r="J11" s="130"/>
      <c r="K11" s="130" t="s">
        <v>696</v>
      </c>
      <c r="L11" s="130"/>
      <c r="M11" s="130"/>
      <c r="N11" s="130"/>
      <c r="O11" s="1" t="str">
        <f>_xlfn.CONCAT(OfficeForms.Table3[[#This Row],[القطاع الغربي (Western Sector)]:[القطاع فرسان (Farasan Sector)]])</f>
        <v>الكربوس</v>
      </c>
      <c r="P11" s="133">
        <v>46086</v>
      </c>
      <c r="Q11" s="133">
        <v>45889</v>
      </c>
      <c r="R11" s="135" t="s">
        <v>731</v>
      </c>
      <c r="S11" s="145" t="s">
        <v>732</v>
      </c>
      <c r="T11" s="1">
        <v>28</v>
      </c>
      <c r="U11" s="136" t="s">
        <v>733</v>
      </c>
      <c r="V11" s="148" t="s">
        <v>734</v>
      </c>
      <c r="W11" s="139" t="s">
        <v>696</v>
      </c>
      <c r="X11" s="160" t="s">
        <v>702</v>
      </c>
      <c r="Y11" s="135" t="s">
        <v>735</v>
      </c>
      <c r="Z11" s="130" t="s">
        <v>704</v>
      </c>
      <c r="AA11" s="154" t="s">
        <v>736</v>
      </c>
      <c r="AB11" s="130" t="s">
        <v>737</v>
      </c>
      <c r="AC11" s="154"/>
      <c r="AD11" s="130" t="s">
        <v>642</v>
      </c>
      <c r="AE11" s="130"/>
      <c r="AF11" s="1"/>
      <c r="AG11" s="130" t="s">
        <v>705</v>
      </c>
      <c r="AH11" s="130"/>
      <c r="AI11" s="313">
        <v>46329</v>
      </c>
      <c r="AJ11" s="242" t="s">
        <v>645</v>
      </c>
      <c r="AK11" s="245" t="str">
        <f t="shared" si="0"/>
        <v>❌ غير ملتزم</v>
      </c>
      <c r="AL11" s="249"/>
      <c r="AM11" s="241" t="s">
        <v>646</v>
      </c>
      <c r="AN11" s="255" t="s">
        <v>645</v>
      </c>
      <c r="AO11" s="260"/>
      <c r="AP11" s="261"/>
      <c r="AQ11" s="261"/>
      <c r="AR11" s="266" t="s">
        <v>646</v>
      </c>
      <c r="AS11" s="275" t="str">
        <f>IF(AR11="","",IF(ISNUMBER(SEARCH("جازان",AR11)),"مستشفى جازان العام",IF(ISNUMBER(SEARCH("صبيا",AR11)),"مستشفى صبيا العام",IF(ISNUMBER(SEARCH("عريش",AR11)),"مستشفى أبو عريش العام",IF(ISNUMBER(SEARCH("صامط",AR11)),"مستشفى صامطة العام",IF(ISNUMBER(SEARCH("بيش",AR11)),"مستشفى بيش العام",IF(ISNUMBER(SEARCH("فهد",AR11)),"مستشفى الملك فهد المركزي",AR11)))))))</f>
        <v>مستشفى جازان العام</v>
      </c>
      <c r="AT11" s="275">
        <f>ROW()-1</f>
        <v>10</v>
      </c>
      <c r="AU11" s="275"/>
      <c r="AV11" s="275">
        <f>IFERROR(NETWORKDAYS.INTL(P11,IF(ISNUMBER(AI11),AI11,DATEVALUE(AI11)),"0000011")-1,"N/A")</f>
        <v>173</v>
      </c>
      <c r="AW11" s="275">
        <f>IFERROR(NETWORKDAYS.INTL(P11,IF(ISNUMBER(AI11),AI11,DATE(RIGHT(AI11,4),MID(AI11,FIND("/",AI11)+1,FIND("/",AI11,FIND("/",AI11)+1)-FIND("/",AI11)-1),LEFT(AI11,FIND("/",AI11)-1))),"0000011")-1,"ERR")</f>
        <v>173</v>
      </c>
      <c r="AX11" s="275"/>
      <c r="AY11" s="30" t="s">
        <v>707</v>
      </c>
    </row>
    <row r="12" spans="1:51" s="30" customFormat="1" ht="22.5">
      <c r="A12" s="124">
        <v>75</v>
      </c>
      <c r="B12" s="125">
        <v>46089.4776851852</v>
      </c>
      <c r="C12" s="125">
        <v>46089.490173611099</v>
      </c>
      <c r="D12" s="131" t="s">
        <v>662</v>
      </c>
      <c r="E12" s="131"/>
      <c r="F12" s="131" t="s">
        <v>277</v>
      </c>
      <c r="G12" s="131"/>
      <c r="H12" s="131" t="s">
        <v>738</v>
      </c>
      <c r="I12" s="131"/>
      <c r="J12" s="131"/>
      <c r="K12" s="131"/>
      <c r="L12" s="131"/>
      <c r="M12" s="131"/>
      <c r="N12" s="131"/>
      <c r="O12" s="1" t="str">
        <f>_xlfn.CONCAT(OfficeForms.Table3[[#This Row],[القطاع الغربي (Western Sector)]:[القطاع فرسان (Farasan Sector)]])</f>
        <v>مركز الخارش</v>
      </c>
      <c r="P12" s="132">
        <v>46035</v>
      </c>
      <c r="Q12" s="132">
        <v>46315</v>
      </c>
      <c r="R12" s="134" t="s">
        <v>739</v>
      </c>
      <c r="S12" s="144" t="s">
        <v>740</v>
      </c>
      <c r="T12" s="1">
        <v>26</v>
      </c>
      <c r="U12" s="137" t="s">
        <v>741</v>
      </c>
      <c r="V12" s="123" t="s">
        <v>742</v>
      </c>
      <c r="W12" s="138" t="s">
        <v>743</v>
      </c>
      <c r="X12" s="159" t="s">
        <v>744</v>
      </c>
      <c r="Y12" s="134" t="s">
        <v>745</v>
      </c>
      <c r="Z12" s="131" t="s">
        <v>746</v>
      </c>
      <c r="AA12" s="155" t="s">
        <v>736</v>
      </c>
      <c r="AB12" s="131"/>
      <c r="AC12" s="155" t="s">
        <v>747</v>
      </c>
      <c r="AD12" s="131" t="s">
        <v>642</v>
      </c>
      <c r="AE12" s="131"/>
      <c r="AF12" s="1"/>
      <c r="AG12" s="131" t="s">
        <v>748</v>
      </c>
      <c r="AH12" s="131"/>
      <c r="AI12" s="313" t="s">
        <v>749</v>
      </c>
      <c r="AJ12" s="242" t="s">
        <v>695</v>
      </c>
      <c r="AK12" s="245" t="str">
        <f t="shared" si="0"/>
        <v>❌ غير ملتزم</v>
      </c>
      <c r="AL12" s="249"/>
      <c r="AM12" s="241" t="s">
        <v>750</v>
      </c>
      <c r="AN12" s="255" t="s">
        <v>695</v>
      </c>
      <c r="AO12" s="260"/>
      <c r="AP12" s="261"/>
      <c r="AQ12" s="261"/>
      <c r="AR12" s="265" t="s">
        <v>750</v>
      </c>
      <c r="AS12" s="275" t="str">
        <f>IF(AR12="","",IF(ISNUMBER(SEARCH("جازان",AR12)),"مستشفى جازان العام",IF(ISNUMBER(SEARCH("صبيا",AR12)),"مستشفى صبيا العام",IF(ISNUMBER(SEARCH("عريش",AR12)),"مستشفى أبو عريش العام",IF(ISNUMBER(SEARCH("صامط",AR12)),"مستشفى صامطة العام",IF(ISNUMBER(SEARCH("بيش",AR12)),"مستشفى بيش العام",IF(ISNUMBER(SEARCH("فهد",AR12)),"مستشفى الملك فهد المركزي",AR12)))))))</f>
        <v>مستشفى صامطة العام</v>
      </c>
      <c r="AT12" s="275">
        <f>ROW()-1</f>
        <v>11</v>
      </c>
      <c r="AU12" s="275"/>
      <c r="AV12" s="275">
        <f>IFERROR(NETWORKDAYS.INTL(P12,IF(ISNUMBER(AI12),AI12,DATEVALUE(AI12)),"0000011")-1,"N/A")</f>
        <v>43</v>
      </c>
      <c r="AW12" s="275"/>
      <c r="AX12" s="275"/>
      <c r="AY12" s="30" t="s">
        <v>751</v>
      </c>
    </row>
    <row r="13" spans="1:51" s="30" customFormat="1" ht="22.5">
      <c r="A13" s="127">
        <v>77</v>
      </c>
      <c r="B13" s="128">
        <v>46089.491608796299</v>
      </c>
      <c r="C13" s="128">
        <v>46089.493784722203</v>
      </c>
      <c r="D13" s="130" t="s">
        <v>662</v>
      </c>
      <c r="E13" s="130"/>
      <c r="F13" s="130" t="s">
        <v>271</v>
      </c>
      <c r="G13" s="130"/>
      <c r="H13" s="130"/>
      <c r="I13" s="130"/>
      <c r="J13" s="130"/>
      <c r="K13" s="130" t="s">
        <v>752</v>
      </c>
      <c r="L13" s="130"/>
      <c r="M13" s="130"/>
      <c r="N13" s="130"/>
      <c r="O13" s="1" t="str">
        <f>_xlfn.CONCAT(OfficeForms.Table3[[#This Row],[القطاع الغربي (Western Sector)]:[القطاع فرسان (Farasan Sector)]])</f>
        <v>مركز محلية</v>
      </c>
      <c r="P13" s="133">
        <v>46089</v>
      </c>
      <c r="Q13" s="133">
        <v>45965</v>
      </c>
      <c r="R13" s="135" t="s">
        <v>753</v>
      </c>
      <c r="S13" s="145" t="s">
        <v>754</v>
      </c>
      <c r="T13" s="1">
        <v>18</v>
      </c>
      <c r="U13" s="136" t="s">
        <v>755</v>
      </c>
      <c r="V13" s="148" t="s">
        <v>756</v>
      </c>
      <c r="W13" s="139" t="s">
        <v>757</v>
      </c>
      <c r="X13" s="160" t="s">
        <v>758</v>
      </c>
      <c r="Y13" s="135" t="s">
        <v>759</v>
      </c>
      <c r="Z13" s="130" t="s">
        <v>760</v>
      </c>
      <c r="AA13" s="154"/>
      <c r="AB13" s="130"/>
      <c r="AC13" s="154"/>
      <c r="AD13" s="130" t="s">
        <v>642</v>
      </c>
      <c r="AE13" s="130"/>
      <c r="AF13" s="1"/>
      <c r="AG13" s="130" t="s">
        <v>761</v>
      </c>
      <c r="AH13" s="130"/>
      <c r="AI13" s="237" t="s">
        <v>762</v>
      </c>
      <c r="AJ13" s="242" t="s">
        <v>645</v>
      </c>
      <c r="AK13" s="245" t="str">
        <f t="shared" si="0"/>
        <v>❌ غير ملتزم</v>
      </c>
      <c r="AL13" s="249"/>
      <c r="AM13" s="241" t="s">
        <v>53</v>
      </c>
      <c r="AN13" s="255" t="s">
        <v>763</v>
      </c>
      <c r="AO13" s="260"/>
      <c r="AP13" s="261"/>
      <c r="AQ13" s="261"/>
      <c r="AR13" s="266" t="s">
        <v>53</v>
      </c>
      <c r="AS13" s="275" t="str">
        <f>IF(AR13="","",IF(ISNUMBER(SEARCH("جازان",AR13)),"مستشفى جازان العام",IF(ISNUMBER(SEARCH("صبيا",AR13)),"مستشفى صبيا العام",IF(ISNUMBER(SEARCH("عريش",AR13)),"مستشفى أبو عريش العام",IF(ISNUMBER(SEARCH("صامط",AR13)),"مستشفى صامطة العام",IF(ISNUMBER(SEARCH("بيش",AR13)),"مستشفى بيش العام",IF(ISNUMBER(SEARCH("فهد",AR13)),"مستشفى الملك فهد المركزي",AR13)))))))</f>
        <v>مستشفى جازان العام</v>
      </c>
      <c r="AT13" s="275">
        <f>ROW()-1</f>
        <v>12</v>
      </c>
      <c r="AU13" s="275"/>
      <c r="AV13" s="275">
        <f>IFERROR(NETWORKDAYS.INTL(P13,IF(ISNUMBER(AI13),AI13,DATEVALUE(AI13)),"0000011")-1,"N/A")</f>
        <v>7</v>
      </c>
      <c r="AW13" s="275"/>
      <c r="AX13" s="275"/>
    </row>
    <row r="14" spans="1:51" s="30" customFormat="1" ht="22.5">
      <c r="A14" s="124">
        <v>80</v>
      </c>
      <c r="B14" s="125">
        <v>46089.591747685197</v>
      </c>
      <c r="C14" s="125">
        <v>46089.608495370398</v>
      </c>
      <c r="D14" s="131" t="s">
        <v>662</v>
      </c>
      <c r="E14" s="131"/>
      <c r="F14" s="131" t="s">
        <v>279</v>
      </c>
      <c r="G14" s="131"/>
      <c r="H14" s="131"/>
      <c r="I14" s="131"/>
      <c r="J14" s="131" t="s">
        <v>764</v>
      </c>
      <c r="K14" s="131"/>
      <c r="L14" s="131"/>
      <c r="M14" s="131"/>
      <c r="N14" s="131"/>
      <c r="O14" s="1" t="str">
        <f>_xlfn.CONCAT(OfficeForms.Table3[[#This Row],[القطاع الغربي (Western Sector)]:[القطاع فرسان (Farasan Sector)]])</f>
        <v>مركز الريث</v>
      </c>
      <c r="P14" s="132">
        <v>46089</v>
      </c>
      <c r="Q14" s="132">
        <v>45827</v>
      </c>
      <c r="R14" s="134" t="s">
        <v>765</v>
      </c>
      <c r="S14" s="146" t="s">
        <v>766</v>
      </c>
      <c r="T14" s="1">
        <v>40</v>
      </c>
      <c r="U14" s="137" t="s">
        <v>767</v>
      </c>
      <c r="V14" s="123" t="s">
        <v>768</v>
      </c>
      <c r="W14" s="138" t="s">
        <v>769</v>
      </c>
      <c r="X14" s="159" t="s">
        <v>770</v>
      </c>
      <c r="Y14" s="134" t="s">
        <v>771</v>
      </c>
      <c r="Z14" s="131" t="s">
        <v>772</v>
      </c>
      <c r="AA14" s="155"/>
      <c r="AB14" s="131"/>
      <c r="AC14" s="155" t="s">
        <v>773</v>
      </c>
      <c r="AD14" s="131" t="s">
        <v>642</v>
      </c>
      <c r="AE14" s="131"/>
      <c r="AF14" s="1"/>
      <c r="AG14" s="131" t="s">
        <v>774</v>
      </c>
      <c r="AH14" s="131" t="s">
        <v>775</v>
      </c>
      <c r="AI14" s="313" t="s">
        <v>694</v>
      </c>
      <c r="AJ14" s="242" t="s">
        <v>776</v>
      </c>
      <c r="AK14" s="245" t="str">
        <f t="shared" si="0"/>
        <v>❌ غير ملتزم</v>
      </c>
      <c r="AL14" s="249"/>
      <c r="AM14" s="241" t="s">
        <v>729</v>
      </c>
      <c r="AN14" s="255" t="s">
        <v>645</v>
      </c>
      <c r="AO14" s="260"/>
      <c r="AP14" s="261"/>
      <c r="AQ14" s="261"/>
      <c r="AR14" s="265" t="s">
        <v>729</v>
      </c>
      <c r="AS14" s="275" t="str">
        <f>IF(AR14="","",IF(ISNUMBER(SEARCH("جازان",AR14)),"مستشفى جازان العام",IF(ISNUMBER(SEARCH("صبيا",AR14)),"مستشفى صبيا العام",IF(ISNUMBER(SEARCH("عريش",AR14)),"مستشفى أبو عريش العام",IF(ISNUMBER(SEARCH("صامط",AR14)),"مستشفى صامطة العام",IF(ISNUMBER(SEARCH("بيش",AR14)),"مستشفى بيش العام",IF(ISNUMBER(SEARCH("فهد",AR14)),"مستشفى الملك فهد المركزي",AR14)))))))</f>
        <v>مستشفى بيش العام</v>
      </c>
      <c r="AT14" s="275">
        <f>ROW()-1</f>
        <v>13</v>
      </c>
      <c r="AU14" s="275"/>
      <c r="AV14" s="275">
        <f>IFERROR(NETWORKDAYS.INTL(P14,IF(ISNUMBER(AI14),AI14,DATEVALUE(AI14)),"0000011")-1,"N/A")</f>
        <v>5</v>
      </c>
      <c r="AW14" s="275"/>
      <c r="AX14" s="275"/>
      <c r="AY14" s="30" t="s">
        <v>777</v>
      </c>
    </row>
    <row r="15" spans="1:51" s="30" customFormat="1" ht="26.25">
      <c r="A15" s="127">
        <v>81</v>
      </c>
      <c r="B15" s="128">
        <v>46089.640555555598</v>
      </c>
      <c r="C15" s="128">
        <v>46089.644560185203</v>
      </c>
      <c r="D15" s="130" t="s">
        <v>662</v>
      </c>
      <c r="E15" s="130"/>
      <c r="F15" s="130" t="s">
        <v>275</v>
      </c>
      <c r="G15" s="130" t="s">
        <v>778</v>
      </c>
      <c r="H15" s="130"/>
      <c r="I15" s="130"/>
      <c r="J15" s="130"/>
      <c r="K15" s="130"/>
      <c r="L15" s="130"/>
      <c r="M15" s="130"/>
      <c r="N15" s="130"/>
      <c r="O15" s="1" t="str">
        <f>_xlfn.CONCAT(OfficeForms.Table3[[#This Row],[القطاع الغربي (Western Sector)]:[القطاع فرسان (Farasan Sector)]])</f>
        <v>مركز الغراء</v>
      </c>
      <c r="P15" s="133">
        <v>46089</v>
      </c>
      <c r="Q15" s="133">
        <v>45883</v>
      </c>
      <c r="R15" s="135" t="s">
        <v>779</v>
      </c>
      <c r="S15" s="147" t="s">
        <v>780</v>
      </c>
      <c r="T15" s="1">
        <v>33</v>
      </c>
      <c r="U15" s="136" t="s">
        <v>781</v>
      </c>
      <c r="V15" s="148" t="s">
        <v>782</v>
      </c>
      <c r="W15" s="139" t="s">
        <v>783</v>
      </c>
      <c r="X15" s="160">
        <v>554923781</v>
      </c>
      <c r="Y15" s="135" t="s">
        <v>784</v>
      </c>
      <c r="Z15" s="130"/>
      <c r="AA15" s="154"/>
      <c r="AB15" s="130" t="s">
        <v>785</v>
      </c>
      <c r="AC15" s="154"/>
      <c r="AD15" s="130" t="s">
        <v>680</v>
      </c>
      <c r="AE15" s="130" t="s">
        <v>642</v>
      </c>
      <c r="AF15" s="1"/>
      <c r="AG15" s="130" t="s">
        <v>786</v>
      </c>
      <c r="AH15" s="130"/>
      <c r="AI15" s="313" t="s">
        <v>787</v>
      </c>
      <c r="AJ15" s="242" t="s">
        <v>788</v>
      </c>
      <c r="AK15" s="245" t="str">
        <f t="shared" si="0"/>
        <v>❌ غير ملتزم</v>
      </c>
      <c r="AL15" s="249"/>
      <c r="AM15" s="241" t="s">
        <v>646</v>
      </c>
      <c r="AN15" s="255" t="s">
        <v>776</v>
      </c>
      <c r="AO15" s="260"/>
      <c r="AP15" s="261"/>
      <c r="AQ15" s="261"/>
      <c r="AR15" s="266" t="s">
        <v>646</v>
      </c>
      <c r="AS15" s="275" t="str">
        <f>IF(AR15="","",IF(ISNUMBER(SEARCH("جازان",AR15)),"مستشفى جازان العام",IF(ISNUMBER(SEARCH("صبيا",AR15)),"مستشفى صبيا العام",IF(ISNUMBER(SEARCH("عريش",AR15)),"مستشفى أبو عريش العام",IF(ISNUMBER(SEARCH("صامط",AR15)),"مستشفى صامطة العام",IF(ISNUMBER(SEARCH("بيش",AR15)),"مستشفى بيش العام",IF(ISNUMBER(SEARCH("فهد",AR15)),"مستشفى الملك فهد المركزي",AR15)))))))</f>
        <v>مستشفى جازان العام</v>
      </c>
      <c r="AT15" s="275">
        <f>ROW()-1</f>
        <v>14</v>
      </c>
      <c r="AU15" s="275"/>
      <c r="AV15" s="275">
        <f>IFERROR(NETWORKDAYS.INTL(P15,IF(ISNUMBER(AI15),AI15,DATEVALUE(AI15)),"0000011")-1,"N/A")</f>
        <v>8</v>
      </c>
      <c r="AW15" s="275"/>
      <c r="AX15" s="275"/>
      <c r="AY15" s="30" t="s">
        <v>789</v>
      </c>
    </row>
    <row r="16" spans="1:51" s="30" customFormat="1" ht="22.5">
      <c r="A16" s="124">
        <v>82</v>
      </c>
      <c r="B16" s="125">
        <v>46089.6456944444</v>
      </c>
      <c r="C16" s="125">
        <v>46089.649097222202</v>
      </c>
      <c r="D16" s="131" t="s">
        <v>662</v>
      </c>
      <c r="E16" s="131"/>
      <c r="F16" s="131" t="s">
        <v>275</v>
      </c>
      <c r="G16" s="131" t="s">
        <v>790</v>
      </c>
      <c r="H16" s="131"/>
      <c r="I16" s="131"/>
      <c r="J16" s="131"/>
      <c r="K16" s="131"/>
      <c r="L16" s="131"/>
      <c r="M16" s="131"/>
      <c r="N16" s="131"/>
      <c r="O16" s="1" t="str">
        <f>_xlfn.CONCAT(OfficeForms.Table3[[#This Row],[القطاع الغربي (Western Sector)]:[القطاع فرسان (Farasan Sector)]])</f>
        <v>مركز ضمد الشمالي</v>
      </c>
      <c r="P16" s="132">
        <v>46089</v>
      </c>
      <c r="Q16" s="132">
        <v>46050</v>
      </c>
      <c r="R16" s="134" t="s">
        <v>791</v>
      </c>
      <c r="S16" s="144" t="s">
        <v>792</v>
      </c>
      <c r="T16" s="1">
        <v>24</v>
      </c>
      <c r="U16" s="137" t="s">
        <v>793</v>
      </c>
      <c r="V16" s="123" t="s">
        <v>794</v>
      </c>
      <c r="W16" s="138" t="s">
        <v>795</v>
      </c>
      <c r="X16" s="159" t="s">
        <v>796</v>
      </c>
      <c r="Y16" s="134" t="s">
        <v>797</v>
      </c>
      <c r="Z16" s="131"/>
      <c r="AA16" s="155" t="s">
        <v>736</v>
      </c>
      <c r="AB16" s="131" t="s">
        <v>798</v>
      </c>
      <c r="AC16" s="155" t="s">
        <v>799</v>
      </c>
      <c r="AD16" s="131" t="s">
        <v>680</v>
      </c>
      <c r="AE16" s="131" t="s">
        <v>642</v>
      </c>
      <c r="AF16" s="1"/>
      <c r="AG16" s="131" t="s">
        <v>800</v>
      </c>
      <c r="AH16" s="131"/>
      <c r="AI16" s="237" t="s">
        <v>801</v>
      </c>
      <c r="AJ16" s="242" t="s">
        <v>645</v>
      </c>
      <c r="AK16" s="245" t="str">
        <f t="shared" si="0"/>
        <v>❌ غير ملتزم</v>
      </c>
      <c r="AL16" s="249"/>
      <c r="AM16" s="241" t="s">
        <v>682</v>
      </c>
      <c r="AN16" s="255" t="s">
        <v>788</v>
      </c>
      <c r="AO16" s="260"/>
      <c r="AP16" s="261"/>
      <c r="AQ16" s="261"/>
      <c r="AR16" s="265" t="s">
        <v>682</v>
      </c>
      <c r="AS16" s="275" t="str">
        <f>IF(AR16="","",IF(ISNUMBER(SEARCH("جازان",AR16)),"مستشفى جازان العام",IF(ISNUMBER(SEARCH("صبيا",AR16)),"مستشفى صبيا العام",IF(ISNUMBER(SEARCH("عريش",AR16)),"مستشفى أبو عريش العام",IF(ISNUMBER(SEARCH("صامط",AR16)),"مستشفى صامطة العام",IF(ISNUMBER(SEARCH("بيش",AR16)),"مستشفى بيش العام",IF(ISNUMBER(SEARCH("فهد",AR16)),"مستشفى الملك فهد المركزي",AR16)))))))</f>
        <v>مستشفى صبيا العام</v>
      </c>
      <c r="AT16" s="275">
        <f>ROW()-1</f>
        <v>15</v>
      </c>
      <c r="AU16" s="275"/>
      <c r="AV16" s="275">
        <f>IFERROR(NETWORKDAYS.INTL(P16,IF(ISNUMBER(AI16),AI16,DATEVALUE(AI16)),"0000011")-1,"N/A")</f>
        <v>3</v>
      </c>
      <c r="AW16" s="275"/>
      <c r="AX16" s="275"/>
    </row>
    <row r="17" spans="1:51" s="30" customFormat="1" ht="22.5">
      <c r="A17" s="127">
        <v>83</v>
      </c>
      <c r="B17" s="128">
        <v>46089.650995370401</v>
      </c>
      <c r="C17" s="128">
        <v>46089.654560185198</v>
      </c>
      <c r="D17" s="130" t="s">
        <v>662</v>
      </c>
      <c r="E17" s="130"/>
      <c r="F17" s="130" t="s">
        <v>275</v>
      </c>
      <c r="G17" s="130" t="s">
        <v>802</v>
      </c>
      <c r="H17" s="130"/>
      <c r="I17" s="130"/>
      <c r="J17" s="130"/>
      <c r="K17" s="130"/>
      <c r="L17" s="130"/>
      <c r="M17" s="130"/>
      <c r="N17" s="130"/>
      <c r="O17" s="1" t="str">
        <f>_xlfn.CONCAT(OfficeForms.Table3[[#This Row],[القطاع الغربي (Western Sector)]:[القطاع فرسان (Farasan Sector)]])</f>
        <v>مركز الصهاليل</v>
      </c>
      <c r="P17" s="133">
        <v>46089</v>
      </c>
      <c r="Q17" s="133">
        <v>46241</v>
      </c>
      <c r="R17" s="135" t="s">
        <v>803</v>
      </c>
      <c r="S17" s="145" t="s">
        <v>804</v>
      </c>
      <c r="T17" s="1">
        <v>24</v>
      </c>
      <c r="U17" s="136" t="s">
        <v>805</v>
      </c>
      <c r="V17" s="148" t="s">
        <v>806</v>
      </c>
      <c r="W17" s="139" t="s">
        <v>807</v>
      </c>
      <c r="X17" s="160" t="s">
        <v>808</v>
      </c>
      <c r="Y17" s="135">
        <v>554195384</v>
      </c>
      <c r="Z17" s="130" t="s">
        <v>809</v>
      </c>
      <c r="AA17" s="154"/>
      <c r="AB17" s="130"/>
      <c r="AC17" s="154"/>
      <c r="AD17" s="130" t="s">
        <v>642</v>
      </c>
      <c r="AE17" s="130"/>
      <c r="AF17" s="1"/>
      <c r="AG17" s="130" t="s">
        <v>810</v>
      </c>
      <c r="AH17" s="130"/>
      <c r="AI17" s="313" t="s">
        <v>787</v>
      </c>
      <c r="AJ17" s="242" t="s">
        <v>645</v>
      </c>
      <c r="AK17" s="245" t="str">
        <f t="shared" si="0"/>
        <v>❌ غير ملتزم</v>
      </c>
      <c r="AL17" s="249"/>
      <c r="AM17" s="241" t="s">
        <v>682</v>
      </c>
      <c r="AN17" s="255" t="s">
        <v>645</v>
      </c>
      <c r="AO17" s="260"/>
      <c r="AP17" s="261"/>
      <c r="AQ17" s="261"/>
      <c r="AR17" s="266" t="s">
        <v>682</v>
      </c>
      <c r="AS17" s="275" t="str">
        <f>IF(AR17="","",IF(ISNUMBER(SEARCH("جازان",AR17)),"مستشفى جازان العام",IF(ISNUMBER(SEARCH("صبيا",AR17)),"مستشفى صبيا العام",IF(ISNUMBER(SEARCH("عريش",AR17)),"مستشفى أبو عريش العام",IF(ISNUMBER(SEARCH("صامط",AR17)),"مستشفى صامطة العام",IF(ISNUMBER(SEARCH("بيش",AR17)),"مستشفى بيش العام",IF(ISNUMBER(SEARCH("فهد",AR17)),"مستشفى الملك فهد المركزي",AR17)))))))</f>
        <v>مستشفى صبيا العام</v>
      </c>
      <c r="AT17" s="275">
        <f>ROW()-1</f>
        <v>16</v>
      </c>
      <c r="AU17" s="275"/>
      <c r="AV17" s="275">
        <f>IFERROR(NETWORKDAYS.INTL(P17,IF(ISNUMBER(AI17),AI17,DATEVALUE(AI17)),"0000011")-1,"N/A")</f>
        <v>8</v>
      </c>
      <c r="AW17" s="275"/>
      <c r="AX17" s="275"/>
      <c r="AY17" s="30" t="s">
        <v>811</v>
      </c>
    </row>
    <row r="18" spans="1:51" s="176" customFormat="1" ht="22.5">
      <c r="A18" s="170">
        <v>84</v>
      </c>
      <c r="B18" s="171">
        <v>46089.6464583333</v>
      </c>
      <c r="C18" s="171">
        <v>46089.658877314803</v>
      </c>
      <c r="D18" s="172" t="s">
        <v>662</v>
      </c>
      <c r="E18" s="172"/>
      <c r="F18" s="172" t="s">
        <v>280</v>
      </c>
      <c r="G18" s="172"/>
      <c r="H18" s="172"/>
      <c r="I18" s="172"/>
      <c r="J18" s="172"/>
      <c r="K18" s="172"/>
      <c r="L18" s="172" t="s">
        <v>812</v>
      </c>
      <c r="M18" s="172"/>
      <c r="N18" s="172"/>
      <c r="O18" s="82" t="str">
        <f>_xlfn.CONCAT(OfficeForms.Table3[[#This Row],[القطاع الغربي (Western Sector)]:[القطاع فرسان (Farasan Sector)]])</f>
        <v>مركز العيدابي</v>
      </c>
      <c r="P18" s="173">
        <v>46089</v>
      </c>
      <c r="Q18" s="173">
        <v>45885</v>
      </c>
      <c r="R18" s="134" t="s">
        <v>813</v>
      </c>
      <c r="S18" s="174" t="s">
        <v>814</v>
      </c>
      <c r="T18" s="82">
        <v>37</v>
      </c>
      <c r="U18" s="137" t="s">
        <v>815</v>
      </c>
      <c r="V18" s="134" t="s">
        <v>816</v>
      </c>
      <c r="W18" s="138" t="s">
        <v>817</v>
      </c>
      <c r="X18" s="175" t="s">
        <v>818</v>
      </c>
      <c r="Y18" s="134" t="s">
        <v>819</v>
      </c>
      <c r="Z18" s="172"/>
      <c r="AA18" s="172" t="s">
        <v>820</v>
      </c>
      <c r="AB18" s="172" t="s">
        <v>821</v>
      </c>
      <c r="AC18" s="172"/>
      <c r="AD18" s="172" t="s">
        <v>680</v>
      </c>
      <c r="AE18" s="172" t="s">
        <v>642</v>
      </c>
      <c r="AF18" s="82"/>
      <c r="AG18" s="172" t="s">
        <v>822</v>
      </c>
      <c r="AH18" s="172" t="s">
        <v>823</v>
      </c>
      <c r="AI18" s="238" t="s">
        <v>801</v>
      </c>
      <c r="AJ18" s="243" t="s">
        <v>695</v>
      </c>
      <c r="AK18" s="245" t="str">
        <f t="shared" si="0"/>
        <v>❌ غير ملتزم</v>
      </c>
      <c r="AL18" s="250"/>
      <c r="AM18" s="253" t="s">
        <v>682</v>
      </c>
      <c r="AN18" s="256" t="s">
        <v>645</v>
      </c>
      <c r="AO18" s="260"/>
      <c r="AP18" s="262"/>
      <c r="AQ18" s="262"/>
      <c r="AR18" s="269" t="s">
        <v>682</v>
      </c>
      <c r="AS18" s="276" t="str">
        <f>IF(AR18="","",IF(ISNUMBER(SEARCH("جازان",AR18)),"مستشفى جازان العام",IF(ISNUMBER(SEARCH("صبيا",AR18)),"مستشفى صبيا العام",IF(ISNUMBER(SEARCH("عريش",AR18)),"مستشفى أبو عريش العام",IF(ISNUMBER(SEARCH("صامط",AR18)),"مستشفى صامطة العام",IF(ISNUMBER(SEARCH("بيش",AR18)),"مستشفى بيش العام",IF(ISNUMBER(SEARCH("فهد",AR18)),"مستشفى الملك فهد المركزي",AR18)))))))</f>
        <v>مستشفى صبيا العام</v>
      </c>
      <c r="AT18" s="276">
        <f>ROW()-1</f>
        <v>17</v>
      </c>
      <c r="AU18" s="276"/>
      <c r="AV18" s="276">
        <f>IFERROR(NETWORKDAYS.INTL(P18,IF(ISNUMBER(AI18),AI18,DATEVALUE(AI18)),"0000011")-1,"N/A")</f>
        <v>3</v>
      </c>
      <c r="AW18" s="276"/>
      <c r="AX18" s="276"/>
    </row>
    <row r="19" spans="1:51" s="30" customFormat="1" ht="51">
      <c r="A19" s="127">
        <v>85</v>
      </c>
      <c r="B19" s="128">
        <v>46089.676307870403</v>
      </c>
      <c r="C19" s="128">
        <v>46089.679490740702</v>
      </c>
      <c r="D19" s="130" t="s">
        <v>662</v>
      </c>
      <c r="E19" s="130"/>
      <c r="F19" s="130" t="s">
        <v>275</v>
      </c>
      <c r="G19" s="130" t="s">
        <v>824</v>
      </c>
      <c r="H19" s="130"/>
      <c r="I19" s="130"/>
      <c r="J19" s="130"/>
      <c r="K19" s="130"/>
      <c r="L19" s="130"/>
      <c r="M19" s="130"/>
      <c r="N19" s="130"/>
      <c r="O19" s="1" t="str">
        <f>_xlfn.CONCAT(OfficeForms.Table3[[#This Row],[القطاع الغربي (Western Sector)]:[القطاع فرسان (Farasan Sector)]])</f>
        <v>مركز صبيا</v>
      </c>
      <c r="P19" s="133">
        <v>46089</v>
      </c>
      <c r="Q19" s="133">
        <v>46055</v>
      </c>
      <c r="R19" s="135" t="s">
        <v>825</v>
      </c>
      <c r="S19" s="145" t="s">
        <v>826</v>
      </c>
      <c r="T19" s="1">
        <v>40</v>
      </c>
      <c r="U19" s="136" t="s">
        <v>827</v>
      </c>
      <c r="V19" s="148" t="s">
        <v>828</v>
      </c>
      <c r="W19" s="139" t="s">
        <v>829</v>
      </c>
      <c r="X19" s="160" t="s">
        <v>830</v>
      </c>
      <c r="Y19" s="135" t="s">
        <v>831</v>
      </c>
      <c r="Z19" s="130"/>
      <c r="AA19" s="154" t="s">
        <v>679</v>
      </c>
      <c r="AB19" s="130" t="s">
        <v>832</v>
      </c>
      <c r="AC19" s="154"/>
      <c r="AD19" s="130" t="s">
        <v>642</v>
      </c>
      <c r="AE19" s="130"/>
      <c r="AF19" s="1"/>
      <c r="AG19" s="130" t="s">
        <v>833</v>
      </c>
      <c r="AH19" s="130"/>
      <c r="AI19" s="237" t="s">
        <v>801</v>
      </c>
      <c r="AJ19" s="242" t="s">
        <v>645</v>
      </c>
      <c r="AK19" s="245" t="str">
        <f t="shared" si="0"/>
        <v>❌ غير ملتزم</v>
      </c>
      <c r="AL19" s="249"/>
      <c r="AM19" s="241" t="s">
        <v>682</v>
      </c>
      <c r="AN19" s="255" t="s">
        <v>695</v>
      </c>
      <c r="AO19" s="260"/>
      <c r="AP19" s="261"/>
      <c r="AQ19" s="261"/>
      <c r="AR19" s="266" t="s">
        <v>682</v>
      </c>
      <c r="AS19" s="275" t="str">
        <f>IF(AR19="","",IF(ISNUMBER(SEARCH("جازان",AR19)),"مستشفى جازان العام",IF(ISNUMBER(SEARCH("صبيا",AR19)),"مستشفى صبيا العام",IF(ISNUMBER(SEARCH("عريش",AR19)),"مستشفى أبو عريش العام",IF(ISNUMBER(SEARCH("صامط",AR19)),"مستشفى صامطة العام",IF(ISNUMBER(SEARCH("بيش",AR19)),"مستشفى بيش العام",IF(ISNUMBER(SEARCH("فهد",AR19)),"مستشفى الملك فهد المركزي",AR19)))))))</f>
        <v>مستشفى صبيا العام</v>
      </c>
      <c r="AT19" s="275">
        <f>ROW()-1</f>
        <v>18</v>
      </c>
      <c r="AU19" s="275"/>
      <c r="AV19" s="275">
        <f>IFERROR(NETWORKDAYS.INTL(P19,IF(ISNUMBER(AI19),AI19,DATEVALUE(AI19)),"0000011")-1,"N/A")</f>
        <v>3</v>
      </c>
      <c r="AW19" s="275"/>
      <c r="AX19" s="275"/>
    </row>
    <row r="20" spans="1:51" s="30" customFormat="1" ht="26.25">
      <c r="A20" s="124">
        <v>87</v>
      </c>
      <c r="B20" s="125">
        <v>46090.453460648103</v>
      </c>
      <c r="C20" s="125">
        <v>46090.458379629599</v>
      </c>
      <c r="D20" s="131" t="s">
        <v>662</v>
      </c>
      <c r="E20" s="131"/>
      <c r="F20" s="131" t="s">
        <v>271</v>
      </c>
      <c r="G20" s="131"/>
      <c r="H20" s="131"/>
      <c r="I20" s="131"/>
      <c r="J20" s="131"/>
      <c r="K20" s="131" t="s">
        <v>696</v>
      </c>
      <c r="L20" s="131"/>
      <c r="M20" s="131"/>
      <c r="N20" s="131"/>
      <c r="O20" s="1" t="str">
        <f>_xlfn.CONCAT(OfficeForms.Table3[[#This Row],[القطاع الغربي (Western Sector)]:[القطاع فرسان (Farasan Sector)]])</f>
        <v>الكربوس</v>
      </c>
      <c r="P20" s="132">
        <v>46090</v>
      </c>
      <c r="Q20" s="132">
        <v>45948</v>
      </c>
      <c r="R20" s="134" t="s">
        <v>834</v>
      </c>
      <c r="S20" s="146" t="s">
        <v>835</v>
      </c>
      <c r="T20" s="1">
        <v>25</v>
      </c>
      <c r="U20" s="137" t="s">
        <v>836</v>
      </c>
      <c r="V20" s="123" t="s">
        <v>837</v>
      </c>
      <c r="W20" s="138" t="s">
        <v>696</v>
      </c>
      <c r="X20" s="159" t="s">
        <v>702</v>
      </c>
      <c r="Y20" s="137">
        <v>508643312</v>
      </c>
      <c r="Z20" s="131"/>
      <c r="AA20" s="155" t="s">
        <v>691</v>
      </c>
      <c r="AB20" s="131"/>
      <c r="AC20" s="155"/>
      <c r="AD20" s="157" t="s">
        <v>680</v>
      </c>
      <c r="AE20" s="131" t="s">
        <v>642</v>
      </c>
      <c r="AF20" s="1"/>
      <c r="AG20" s="131" t="s">
        <v>838</v>
      </c>
      <c r="AH20" s="131"/>
      <c r="AI20" s="237" t="s">
        <v>694</v>
      </c>
      <c r="AJ20" s="242" t="s">
        <v>645</v>
      </c>
      <c r="AK20" s="245" t="str">
        <f t="shared" si="0"/>
        <v>❌ غير ملتزم</v>
      </c>
      <c r="AL20" s="249"/>
      <c r="AM20" s="241" t="s">
        <v>53</v>
      </c>
      <c r="AN20" s="255" t="s">
        <v>645</v>
      </c>
      <c r="AO20" s="260"/>
      <c r="AP20" s="261"/>
      <c r="AQ20" s="261"/>
      <c r="AR20" s="265" t="s">
        <v>53</v>
      </c>
      <c r="AS20" s="275" t="str">
        <f>IF(AR20="","",IF(ISNUMBER(SEARCH("جازان",AR20)),"مستشفى جازان العام",IF(ISNUMBER(SEARCH("صبيا",AR20)),"مستشفى صبيا العام",IF(ISNUMBER(SEARCH("عريش",AR20)),"مستشفى أبو عريش العام",IF(ISNUMBER(SEARCH("صامط",AR20)),"مستشفى صامطة العام",IF(ISNUMBER(SEARCH("بيش",AR20)),"مستشفى بيش العام",IF(ISNUMBER(SEARCH("فهد",AR20)),"مستشفى الملك فهد المركزي",AR20)))))))</f>
        <v>مستشفى جازان العام</v>
      </c>
      <c r="AT20" s="275">
        <f>ROW()-1</f>
        <v>19</v>
      </c>
      <c r="AU20" s="275"/>
      <c r="AV20" s="275">
        <f>IFERROR(NETWORKDAYS.INTL(P20,IF(ISNUMBER(AI20),AI20,DATEVALUE(AI20)),"0000011")-1,"N/A")</f>
        <v>5</v>
      </c>
      <c r="AW20" s="275"/>
      <c r="AX20" s="275"/>
    </row>
    <row r="21" spans="1:51" s="30" customFormat="1" ht="39">
      <c r="A21" s="127">
        <v>88</v>
      </c>
      <c r="B21" s="128">
        <v>46090.462129629603</v>
      </c>
      <c r="C21" s="128">
        <v>46090.468553240702</v>
      </c>
      <c r="D21" s="130" t="s">
        <v>662</v>
      </c>
      <c r="E21" s="130"/>
      <c r="F21" s="130" t="s">
        <v>275</v>
      </c>
      <c r="G21" s="130" t="s">
        <v>790</v>
      </c>
      <c r="H21" s="130"/>
      <c r="I21" s="130"/>
      <c r="J21" s="130"/>
      <c r="K21" s="130"/>
      <c r="L21" s="130"/>
      <c r="M21" s="130"/>
      <c r="N21" s="130"/>
      <c r="O21" s="1" t="str">
        <f>_xlfn.CONCAT(OfficeForms.Table3[[#This Row],[القطاع الغربي (Western Sector)]:[القطاع فرسان (Farasan Sector)]])</f>
        <v>مركز ضمد الشمالي</v>
      </c>
      <c r="P21" s="133">
        <v>46090</v>
      </c>
      <c r="Q21" s="133">
        <v>46042</v>
      </c>
      <c r="R21" s="135" t="s">
        <v>839</v>
      </c>
      <c r="S21" s="147" t="s">
        <v>840</v>
      </c>
      <c r="T21" s="1">
        <v>36</v>
      </c>
      <c r="U21" s="136" t="s">
        <v>841</v>
      </c>
      <c r="V21" s="148" t="s">
        <v>842</v>
      </c>
      <c r="W21" s="139" t="s">
        <v>843</v>
      </c>
      <c r="X21" s="160" t="s">
        <v>796</v>
      </c>
      <c r="Y21" s="136">
        <v>556662994</v>
      </c>
      <c r="Z21" s="130"/>
      <c r="AA21" s="154"/>
      <c r="AB21" s="130"/>
      <c r="AC21" s="154" t="s">
        <v>844</v>
      </c>
      <c r="AD21" s="157" t="s">
        <v>680</v>
      </c>
      <c r="AE21" s="130" t="s">
        <v>680</v>
      </c>
      <c r="AF21" s="1"/>
      <c r="AG21" s="130" t="s">
        <v>800</v>
      </c>
      <c r="AH21" s="154" t="s">
        <v>845</v>
      </c>
      <c r="AI21" s="237" t="s">
        <v>801</v>
      </c>
      <c r="AJ21" s="242" t="s">
        <v>645</v>
      </c>
      <c r="AK21" s="245" t="str">
        <f t="shared" si="0"/>
        <v>❌ غير ملتزم</v>
      </c>
      <c r="AL21" s="249"/>
      <c r="AM21" s="241" t="s">
        <v>846</v>
      </c>
      <c r="AN21" s="255" t="s">
        <v>645</v>
      </c>
      <c r="AO21" s="260"/>
      <c r="AP21" s="261"/>
      <c r="AQ21" s="261"/>
      <c r="AR21" s="266" t="s">
        <v>846</v>
      </c>
      <c r="AS21" s="275" t="str">
        <f>IF(AR21="","",IF(ISNUMBER(SEARCH("جازان",AR21)),"مستشفى جازان العام",IF(ISNUMBER(SEARCH("صبيا",AR21)),"مستشفى صبيا العام",IF(ISNUMBER(SEARCH("عريش",AR21)),"مستشفى أبو عريش العام",IF(ISNUMBER(SEARCH("صامط",AR21)),"مستشفى صامطة العام",IF(ISNUMBER(SEARCH("بيش",AR21)),"مستشفى بيش العام",IF(ISNUMBER(SEARCH("فهد",AR21)),"مستشفى الملك فهد المركزي",AR21)))))))</f>
        <v>مستشفى أبو عريش العام</v>
      </c>
      <c r="AT21" s="275">
        <f>ROW()-1</f>
        <v>20</v>
      </c>
      <c r="AU21" s="275"/>
      <c r="AV21" s="275">
        <f>IFERROR(NETWORKDAYS.INTL(P21,IF(ISNUMBER(AI21),AI21,DATEVALUE(AI21)),"0000011")-1,"N/A")</f>
        <v>3</v>
      </c>
      <c r="AW21" s="275"/>
      <c r="AX21" s="275"/>
    </row>
    <row r="22" spans="1:51" s="30" customFormat="1" ht="22.5">
      <c r="A22" s="124">
        <v>89</v>
      </c>
      <c r="B22" s="125">
        <v>46090.479699074102</v>
      </c>
      <c r="C22" s="125">
        <v>46090.518564814804</v>
      </c>
      <c r="D22" s="131" t="s">
        <v>662</v>
      </c>
      <c r="E22" s="131"/>
      <c r="F22" s="131" t="s">
        <v>271</v>
      </c>
      <c r="G22" s="131"/>
      <c r="H22" s="131"/>
      <c r="I22" s="131"/>
      <c r="J22" s="131"/>
      <c r="K22" s="131" t="s">
        <v>696</v>
      </c>
      <c r="L22" s="131"/>
      <c r="M22" s="131"/>
      <c r="N22" s="131"/>
      <c r="O22" s="1" t="str">
        <f>_xlfn.CONCAT(OfficeForms.Table3[[#This Row],[القطاع الغربي (Western Sector)]:[القطاع فرسان (Farasan Sector)]])</f>
        <v>الكربوس</v>
      </c>
      <c r="P22" s="132">
        <v>46090</v>
      </c>
      <c r="Q22" s="132">
        <v>45972</v>
      </c>
      <c r="R22" s="134" t="s">
        <v>847</v>
      </c>
      <c r="S22" s="144" t="s">
        <v>848</v>
      </c>
      <c r="T22" s="1">
        <v>23</v>
      </c>
      <c r="U22" s="137" t="s">
        <v>849</v>
      </c>
      <c r="V22" s="123" t="s">
        <v>850</v>
      </c>
      <c r="W22" s="138" t="s">
        <v>696</v>
      </c>
      <c r="X22" s="159" t="s">
        <v>702</v>
      </c>
      <c r="Y22" s="134" t="s">
        <v>851</v>
      </c>
      <c r="Z22" s="131"/>
      <c r="AA22" s="155"/>
      <c r="AB22" s="131"/>
      <c r="AC22" s="155" t="s">
        <v>852</v>
      </c>
      <c r="AD22" s="131" t="s">
        <v>642</v>
      </c>
      <c r="AE22" s="131"/>
      <c r="AF22" s="1"/>
      <c r="AG22" s="131" t="s">
        <v>705</v>
      </c>
      <c r="AH22" s="131"/>
      <c r="AI22" s="237" t="s">
        <v>749</v>
      </c>
      <c r="AJ22" s="242" t="s">
        <v>645</v>
      </c>
      <c r="AK22" s="245" t="str">
        <f t="shared" si="0"/>
        <v>❌ غير ملتزم</v>
      </c>
      <c r="AL22" s="249"/>
      <c r="AM22" s="241" t="s">
        <v>53</v>
      </c>
      <c r="AN22" s="255" t="s">
        <v>645</v>
      </c>
      <c r="AO22" s="260"/>
      <c r="AP22" s="261"/>
      <c r="AQ22" s="261"/>
      <c r="AR22" s="265" t="s">
        <v>53</v>
      </c>
      <c r="AS22" s="275" t="str">
        <f>IF(AR22="","",IF(ISNUMBER(SEARCH("جازان",AR22)),"مستشفى جازان العام",IF(ISNUMBER(SEARCH("صبيا",AR22)),"مستشفى صبيا العام",IF(ISNUMBER(SEARCH("عريش",AR22)),"مستشفى أبو عريش العام",IF(ISNUMBER(SEARCH("صامط",AR22)),"مستشفى صامطة العام",IF(ISNUMBER(SEARCH("بيش",AR22)),"مستشفى بيش العام",IF(ISNUMBER(SEARCH("فهد",AR22)),"مستشفى الملك فهد المركزي",AR22)))))))</f>
        <v>مستشفى جازان العام</v>
      </c>
      <c r="AT22" s="275">
        <f>ROW()-1</f>
        <v>21</v>
      </c>
      <c r="AU22" s="275"/>
      <c r="AV22" s="275">
        <f>IFERROR(NETWORKDAYS.INTL(P22,IF(ISNUMBER(AI22),AI22,DATEVALUE(AI22)),"0000011")-1,"N/A")</f>
        <v>4</v>
      </c>
      <c r="AW22" s="275"/>
      <c r="AX22" s="275"/>
    </row>
    <row r="23" spans="1:51" s="30" customFormat="1" ht="76.5">
      <c r="A23" s="127">
        <v>90</v>
      </c>
      <c r="B23" s="128">
        <v>46090.565439814804</v>
      </c>
      <c r="C23" s="128">
        <v>46090.571597222202</v>
      </c>
      <c r="D23" s="130" t="s">
        <v>662</v>
      </c>
      <c r="E23" s="130"/>
      <c r="F23" s="130" t="s">
        <v>271</v>
      </c>
      <c r="G23" s="130"/>
      <c r="H23" s="130"/>
      <c r="I23" s="130"/>
      <c r="J23" s="130"/>
      <c r="K23" s="130" t="s">
        <v>696</v>
      </c>
      <c r="L23" s="130"/>
      <c r="M23" s="130"/>
      <c r="N23" s="130"/>
      <c r="O23" s="1" t="str">
        <f>_xlfn.CONCAT(OfficeForms.Table3[[#This Row],[القطاع الغربي (Western Sector)]:[القطاع فرسان (Farasan Sector)]])</f>
        <v>الكربوس</v>
      </c>
      <c r="P23" s="133">
        <v>46090</v>
      </c>
      <c r="Q23" s="133">
        <v>45834</v>
      </c>
      <c r="R23" s="135" t="s">
        <v>853</v>
      </c>
      <c r="S23" s="145" t="s">
        <v>854</v>
      </c>
      <c r="T23" s="1">
        <v>34</v>
      </c>
      <c r="U23" s="136" t="s">
        <v>855</v>
      </c>
      <c r="V23" s="148" t="s">
        <v>856</v>
      </c>
      <c r="W23" s="139" t="s">
        <v>857</v>
      </c>
      <c r="X23" s="160" t="s">
        <v>702</v>
      </c>
      <c r="Y23" s="135" t="s">
        <v>858</v>
      </c>
      <c r="Z23" s="130" t="s">
        <v>859</v>
      </c>
      <c r="AA23" s="154" t="s">
        <v>860</v>
      </c>
      <c r="AB23" s="130" t="s">
        <v>861</v>
      </c>
      <c r="AC23" s="154"/>
      <c r="AD23" s="130" t="s">
        <v>642</v>
      </c>
      <c r="AE23" s="130"/>
      <c r="AF23" s="1"/>
      <c r="AG23" s="130" t="s">
        <v>862</v>
      </c>
      <c r="AH23" s="130"/>
      <c r="AI23" s="313" t="s">
        <v>749</v>
      </c>
      <c r="AJ23" s="242" t="s">
        <v>645</v>
      </c>
      <c r="AK23" s="245" t="str">
        <f t="shared" si="0"/>
        <v>❌ غير ملتزم</v>
      </c>
      <c r="AL23" s="249"/>
      <c r="AM23" s="241" t="s">
        <v>646</v>
      </c>
      <c r="AN23" s="255" t="s">
        <v>645</v>
      </c>
      <c r="AO23" s="260"/>
      <c r="AP23" s="261"/>
      <c r="AQ23" s="261"/>
      <c r="AR23" s="266" t="s">
        <v>646</v>
      </c>
      <c r="AS23" s="275" t="str">
        <f>IF(AR23="","",IF(ISNUMBER(SEARCH("جازان",AR23)),"مستشفى جازان العام",IF(ISNUMBER(SEARCH("صبيا",AR23)),"مستشفى صبيا العام",IF(ISNUMBER(SEARCH("عريش",AR23)),"مستشفى أبو عريش العام",IF(ISNUMBER(SEARCH("صامط",AR23)),"مستشفى صامطة العام",IF(ISNUMBER(SEARCH("بيش",AR23)),"مستشفى بيش العام",IF(ISNUMBER(SEARCH("فهد",AR23)),"مستشفى الملك فهد المركزي",AR23)))))))</f>
        <v>مستشفى جازان العام</v>
      </c>
      <c r="AT23" s="275">
        <f>ROW()-1</f>
        <v>22</v>
      </c>
      <c r="AU23" s="275"/>
      <c r="AV23" s="275">
        <f>IFERROR(NETWORKDAYS.INTL(P23,IF(ISNUMBER(AI23),AI23,DATEVALUE(AI23)),"0000011")-1,"N/A")</f>
        <v>4</v>
      </c>
      <c r="AW23" s="275"/>
      <c r="AX23" s="275"/>
      <c r="AY23" s="30" t="s">
        <v>751</v>
      </c>
    </row>
    <row r="24" spans="1:51" s="30" customFormat="1" ht="22.5">
      <c r="A24" s="124">
        <v>91</v>
      </c>
      <c r="B24" s="125">
        <v>46090.586817129602</v>
      </c>
      <c r="C24" s="125">
        <v>46090.593136574098</v>
      </c>
      <c r="D24" s="131" t="s">
        <v>662</v>
      </c>
      <c r="E24" s="131"/>
      <c r="F24" s="131" t="s">
        <v>271</v>
      </c>
      <c r="G24" s="131"/>
      <c r="H24" s="131"/>
      <c r="I24" s="131"/>
      <c r="J24" s="131"/>
      <c r="K24" s="131" t="s">
        <v>663</v>
      </c>
      <c r="L24" s="131"/>
      <c r="M24" s="131"/>
      <c r="N24" s="131"/>
      <c r="O24" s="1" t="str">
        <f>_xlfn.CONCAT(OfficeForms.Table3[[#This Row],[القطاع الغربي (Western Sector)]:[القطاع فرسان (Farasan Sector)]])</f>
        <v>مركز الشاطىء</v>
      </c>
      <c r="P24" s="132">
        <v>46090</v>
      </c>
      <c r="Q24" s="132">
        <v>46049</v>
      </c>
      <c r="R24" s="134" t="s">
        <v>654</v>
      </c>
      <c r="S24" s="144" t="s">
        <v>863</v>
      </c>
      <c r="T24" s="1">
        <v>37</v>
      </c>
      <c r="U24" s="137" t="s">
        <v>864</v>
      </c>
      <c r="V24" s="16">
        <v>2161489097</v>
      </c>
      <c r="W24" s="138" t="s">
        <v>857</v>
      </c>
      <c r="X24" s="159" t="s">
        <v>865</v>
      </c>
      <c r="Y24" s="134" t="s">
        <v>866</v>
      </c>
      <c r="Z24" s="131" t="s">
        <v>867</v>
      </c>
      <c r="AA24" s="155"/>
      <c r="AB24" s="131" t="s">
        <v>868</v>
      </c>
      <c r="AC24" s="155"/>
      <c r="AD24" s="131" t="s">
        <v>642</v>
      </c>
      <c r="AE24" s="131"/>
      <c r="AF24" s="1"/>
      <c r="AG24" s="131" t="s">
        <v>869</v>
      </c>
      <c r="AH24" s="131"/>
      <c r="AI24" s="237" t="s">
        <v>749</v>
      </c>
      <c r="AJ24" s="242" t="s">
        <v>645</v>
      </c>
      <c r="AK24" s="245" t="str">
        <f t="shared" si="0"/>
        <v>❌ غير ملتزم</v>
      </c>
      <c r="AL24" s="249"/>
      <c r="AM24" s="241" t="s">
        <v>646</v>
      </c>
      <c r="AN24" s="255" t="s">
        <v>645</v>
      </c>
      <c r="AO24" s="260"/>
      <c r="AP24" s="261"/>
      <c r="AQ24" s="261"/>
      <c r="AR24" s="265" t="s">
        <v>646</v>
      </c>
      <c r="AS24" s="275" t="str">
        <f>IF(AR24="","",IF(ISNUMBER(SEARCH("جازان",AR24)),"مستشفى جازان العام",IF(ISNUMBER(SEARCH("صبيا",AR24)),"مستشفى صبيا العام",IF(ISNUMBER(SEARCH("عريش",AR24)),"مستشفى أبو عريش العام",IF(ISNUMBER(SEARCH("صامط",AR24)),"مستشفى صامطة العام",IF(ISNUMBER(SEARCH("بيش",AR24)),"مستشفى بيش العام",IF(ISNUMBER(SEARCH("فهد",AR24)),"مستشفى الملك فهد المركزي",AR24)))))))</f>
        <v>مستشفى جازان العام</v>
      </c>
      <c r="AT24" s="275">
        <f>ROW()-1</f>
        <v>23</v>
      </c>
      <c r="AU24" s="275"/>
      <c r="AV24" s="275">
        <f>IFERROR(NETWORKDAYS.INTL(P24,IF(ISNUMBER(AI24),AI24,DATEVALUE(AI24)),"0000011")-1,"N/A")</f>
        <v>4</v>
      </c>
      <c r="AW24" s="275"/>
      <c r="AX24" s="275"/>
    </row>
    <row r="25" spans="1:51" s="30" customFormat="1" ht="22.5">
      <c r="A25" s="127">
        <v>92</v>
      </c>
      <c r="B25" s="128">
        <v>46090.604340277801</v>
      </c>
      <c r="C25" s="128">
        <v>46090.607997685198</v>
      </c>
      <c r="D25" s="130" t="s">
        <v>662</v>
      </c>
      <c r="E25" s="130"/>
      <c r="F25" s="130" t="s">
        <v>271</v>
      </c>
      <c r="G25" s="130"/>
      <c r="H25" s="130"/>
      <c r="I25" s="130"/>
      <c r="J25" s="130"/>
      <c r="K25" s="130" t="s">
        <v>870</v>
      </c>
      <c r="L25" s="130"/>
      <c r="M25" s="130"/>
      <c r="N25" s="130"/>
      <c r="O25" s="1" t="str">
        <f>_xlfn.CONCAT(OfficeForms.Table3[[#This Row],[القطاع الغربي (Western Sector)]:[القطاع فرسان (Farasan Sector)]])</f>
        <v>مركز مخطط 6</v>
      </c>
      <c r="P25" s="133">
        <v>46090</v>
      </c>
      <c r="Q25" s="133">
        <v>45950</v>
      </c>
      <c r="R25" s="135" t="s">
        <v>871</v>
      </c>
      <c r="S25" s="147" t="s">
        <v>872</v>
      </c>
      <c r="T25" s="1">
        <v>34</v>
      </c>
      <c r="U25" s="136" t="s">
        <v>873</v>
      </c>
      <c r="V25" s="148" t="s">
        <v>874</v>
      </c>
      <c r="W25" s="139" t="s">
        <v>875</v>
      </c>
      <c r="X25" s="160" t="s">
        <v>876</v>
      </c>
      <c r="Y25" s="135" t="s">
        <v>877</v>
      </c>
      <c r="Z25" s="130" t="s">
        <v>878</v>
      </c>
      <c r="AA25" s="154"/>
      <c r="AB25" s="130"/>
      <c r="AC25" s="154"/>
      <c r="AD25" s="130" t="s">
        <v>642</v>
      </c>
      <c r="AE25" s="130"/>
      <c r="AF25" s="1"/>
      <c r="AG25" s="130" t="s">
        <v>879</v>
      </c>
      <c r="AH25" s="130"/>
      <c r="AI25" s="313" t="s">
        <v>749</v>
      </c>
      <c r="AJ25" s="242" t="s">
        <v>645</v>
      </c>
      <c r="AK25" s="245" t="str">
        <f t="shared" si="0"/>
        <v>❌ غير ملتزم</v>
      </c>
      <c r="AL25" s="249"/>
      <c r="AM25" s="241" t="s">
        <v>646</v>
      </c>
      <c r="AN25" s="255" t="s">
        <v>645</v>
      </c>
      <c r="AO25" s="260"/>
      <c r="AP25" s="261"/>
      <c r="AQ25" s="261"/>
      <c r="AR25" s="266" t="s">
        <v>646</v>
      </c>
      <c r="AS25" s="275" t="str">
        <f>IF(AR25="","",IF(ISNUMBER(SEARCH("جازان",AR25)),"مستشفى جازان العام",IF(ISNUMBER(SEARCH("صبيا",AR25)),"مستشفى صبيا العام",IF(ISNUMBER(SEARCH("عريش",AR25)),"مستشفى أبو عريش العام",IF(ISNUMBER(SEARCH("صامط",AR25)),"مستشفى صامطة العام",IF(ISNUMBER(SEARCH("بيش",AR25)),"مستشفى بيش العام",IF(ISNUMBER(SEARCH("فهد",AR25)),"مستشفى الملك فهد المركزي",AR25)))))))</f>
        <v>مستشفى جازان العام</v>
      </c>
      <c r="AT25" s="275">
        <f>ROW()-1</f>
        <v>24</v>
      </c>
      <c r="AU25" s="275"/>
      <c r="AV25" s="275">
        <f>IFERROR(NETWORKDAYS.INTL(P25,IF(ISNUMBER(AI25),AI25,DATEVALUE(AI25)),"0000011")-1,"N/A")</f>
        <v>4</v>
      </c>
      <c r="AW25" s="275"/>
      <c r="AX25" s="275"/>
      <c r="AY25" s="30" t="s">
        <v>751</v>
      </c>
    </row>
    <row r="26" spans="1:51" s="30" customFormat="1" ht="76.5">
      <c r="A26" s="124">
        <v>93</v>
      </c>
      <c r="B26" s="125">
        <v>46089.411342592597</v>
      </c>
      <c r="C26" s="125">
        <v>46090.623495370397</v>
      </c>
      <c r="D26" s="131" t="s">
        <v>662</v>
      </c>
      <c r="E26" s="131"/>
      <c r="F26" s="131" t="s">
        <v>271</v>
      </c>
      <c r="G26" s="131"/>
      <c r="H26" s="131"/>
      <c r="I26" s="131"/>
      <c r="J26" s="131"/>
      <c r="K26" s="131" t="s">
        <v>880</v>
      </c>
      <c r="L26" s="131"/>
      <c r="M26" s="131"/>
      <c r="N26" s="131"/>
      <c r="O26" s="1" t="str">
        <f>_xlfn.CONCAT(OfficeForms.Table3[[#This Row],[القطاع الغربي (Western Sector)]:[القطاع فرسان (Farasan Sector)]])</f>
        <v>مركز مخطط 5</v>
      </c>
      <c r="P26" s="132">
        <v>46090</v>
      </c>
      <c r="Q26" s="132">
        <v>45922</v>
      </c>
      <c r="R26" s="134" t="s">
        <v>881</v>
      </c>
      <c r="S26" s="144">
        <v>31686</v>
      </c>
      <c r="T26" s="1"/>
      <c r="U26" s="137" t="s">
        <v>882</v>
      </c>
      <c r="V26" s="123" t="s">
        <v>883</v>
      </c>
      <c r="W26" s="138" t="s">
        <v>884</v>
      </c>
      <c r="X26" s="159" t="s">
        <v>884</v>
      </c>
      <c r="Y26" s="134" t="s">
        <v>885</v>
      </c>
      <c r="Z26" s="131"/>
      <c r="AA26" s="155" t="s">
        <v>886</v>
      </c>
      <c r="AB26" s="131" t="s">
        <v>798</v>
      </c>
      <c r="AC26" s="155"/>
      <c r="AD26" s="131" t="s">
        <v>642</v>
      </c>
      <c r="AE26" s="131"/>
      <c r="AF26" s="1"/>
      <c r="AG26" s="131" t="s">
        <v>887</v>
      </c>
      <c r="AH26" s="131"/>
      <c r="AI26" s="237" t="s">
        <v>888</v>
      </c>
      <c r="AJ26" s="242" t="s">
        <v>645</v>
      </c>
      <c r="AK26" s="245" t="str">
        <f t="shared" si="0"/>
        <v>✅ ملتزم</v>
      </c>
      <c r="AL26" s="249"/>
      <c r="AM26" s="241" t="s">
        <v>53</v>
      </c>
      <c r="AN26" s="255" t="s">
        <v>645</v>
      </c>
      <c r="AO26" s="260"/>
      <c r="AP26" s="261"/>
      <c r="AQ26" s="261"/>
      <c r="AR26" s="265" t="s">
        <v>53</v>
      </c>
      <c r="AS26" s="275" t="str">
        <f>IF(AR26="","",IF(ISNUMBER(SEARCH("جازان",AR26)),"مستشفى جازان العام",IF(ISNUMBER(SEARCH("صبيا",AR26)),"مستشفى صبيا العام",IF(ISNUMBER(SEARCH("عريش",AR26)),"مستشفى أبو عريش العام",IF(ISNUMBER(SEARCH("صامط",AR26)),"مستشفى صامطة العام",IF(ISNUMBER(SEARCH("بيش",AR26)),"مستشفى بيش العام",IF(ISNUMBER(SEARCH("فهد",AR26)),"مستشفى الملك فهد المركزي",AR26)))))))</f>
        <v>مستشفى جازان العام</v>
      </c>
      <c r="AT26" s="275">
        <f>ROW()-1</f>
        <v>25</v>
      </c>
      <c r="AU26" s="275"/>
      <c r="AV26" s="275">
        <f>IFERROR(NETWORKDAYS.INTL(P26,IF(ISNUMBER(AI26),AI26,DATEVALUE(AI26)),"0000011")-1,"N/A")</f>
        <v>1</v>
      </c>
      <c r="AW26" s="275"/>
      <c r="AX26" s="275"/>
    </row>
    <row r="27" spans="1:51" s="30" customFormat="1" ht="22.5">
      <c r="A27" s="127">
        <v>95</v>
      </c>
      <c r="B27" s="128">
        <v>46091.409259259301</v>
      </c>
      <c r="C27" s="128">
        <v>46091.413773148102</v>
      </c>
      <c r="D27" s="130" t="s">
        <v>662</v>
      </c>
      <c r="E27" s="130"/>
      <c r="F27" s="130" t="s">
        <v>275</v>
      </c>
      <c r="G27" s="130" t="s">
        <v>802</v>
      </c>
      <c r="H27" s="130"/>
      <c r="I27" s="130"/>
      <c r="J27" s="130"/>
      <c r="K27" s="130"/>
      <c r="L27" s="130"/>
      <c r="M27" s="130"/>
      <c r="N27" s="130"/>
      <c r="O27" s="1" t="str">
        <f>_xlfn.CONCAT(OfficeForms.Table3[[#This Row],[القطاع الغربي (Western Sector)]:[القطاع فرسان (Farasan Sector)]])</f>
        <v>مركز الصهاليل</v>
      </c>
      <c r="P27" s="133">
        <v>46091</v>
      </c>
      <c r="Q27" s="133">
        <v>46258</v>
      </c>
      <c r="R27" s="135" t="s">
        <v>889</v>
      </c>
      <c r="S27" s="145">
        <v>34131</v>
      </c>
      <c r="T27" s="1"/>
      <c r="U27" s="136" t="s">
        <v>890</v>
      </c>
      <c r="V27" s="148" t="s">
        <v>891</v>
      </c>
      <c r="W27" s="139" t="s">
        <v>807</v>
      </c>
      <c r="X27" s="160" t="s">
        <v>808</v>
      </c>
      <c r="Y27" s="135" t="s">
        <v>892</v>
      </c>
      <c r="Z27" s="130" t="s">
        <v>893</v>
      </c>
      <c r="AA27" s="154"/>
      <c r="AB27" s="130"/>
      <c r="AC27" s="154"/>
      <c r="AD27" s="130" t="s">
        <v>642</v>
      </c>
      <c r="AE27" s="130"/>
      <c r="AF27" s="1"/>
      <c r="AG27" s="130" t="s">
        <v>894</v>
      </c>
      <c r="AH27" s="130"/>
      <c r="AI27" s="237" t="s">
        <v>895</v>
      </c>
      <c r="AJ27" s="242" t="s">
        <v>706</v>
      </c>
      <c r="AK27" s="245" t="str">
        <f t="shared" si="0"/>
        <v>❌ غير ملتزم</v>
      </c>
      <c r="AL27" s="249"/>
      <c r="AM27" s="241" t="s">
        <v>53</v>
      </c>
      <c r="AN27" s="255" t="s">
        <v>645</v>
      </c>
      <c r="AO27" s="260"/>
      <c r="AP27" s="261"/>
      <c r="AQ27" s="261"/>
      <c r="AR27" s="266" t="s">
        <v>53</v>
      </c>
      <c r="AS27" s="275" t="str">
        <f>IF(AR27="","",IF(ISNUMBER(SEARCH("جازان",AR27)),"مستشفى جازان العام",IF(ISNUMBER(SEARCH("صبيا",AR27)),"مستشفى صبيا العام",IF(ISNUMBER(SEARCH("عريش",AR27)),"مستشفى أبو عريش العام",IF(ISNUMBER(SEARCH("صامط",AR27)),"مستشفى صامطة العام",IF(ISNUMBER(SEARCH("بيش",AR27)),"مستشفى بيش العام",IF(ISNUMBER(SEARCH("فهد",AR27)),"مستشفى الملك فهد المركزي",AR27)))))))</f>
        <v>مستشفى جازان العام</v>
      </c>
      <c r="AT27" s="275">
        <f>ROW()-1</f>
        <v>26</v>
      </c>
      <c r="AU27" s="275"/>
      <c r="AV27" s="275">
        <f>IFERROR(NETWORKDAYS.INTL(P27,IF(ISNUMBER(AI27),AI27,DATEVALUE(AI27)),"0000011")-1,"N/A")</f>
        <v>17</v>
      </c>
      <c r="AW27" s="275"/>
      <c r="AX27" s="275"/>
    </row>
    <row r="28" spans="1:51" s="30" customFormat="1" ht="26.25">
      <c r="A28" s="124">
        <v>96</v>
      </c>
      <c r="B28" s="125">
        <v>46091.4603935185</v>
      </c>
      <c r="C28" s="125">
        <v>46091.464224536998</v>
      </c>
      <c r="D28" s="131" t="s">
        <v>662</v>
      </c>
      <c r="E28" s="131"/>
      <c r="F28" s="131" t="s">
        <v>271</v>
      </c>
      <c r="G28" s="131"/>
      <c r="H28" s="131"/>
      <c r="I28" s="131"/>
      <c r="J28" s="131"/>
      <c r="K28" s="131" t="s">
        <v>880</v>
      </c>
      <c r="L28" s="131"/>
      <c r="M28" s="131"/>
      <c r="N28" s="131"/>
      <c r="O28" s="1" t="str">
        <f>_xlfn.CONCAT(OfficeForms.Table3[[#This Row],[القطاع الغربي (Western Sector)]:[القطاع فرسان (Farasan Sector)]])</f>
        <v>مركز مخطط 5</v>
      </c>
      <c r="P28" s="132">
        <v>46090</v>
      </c>
      <c r="Q28" s="132">
        <v>45893</v>
      </c>
      <c r="R28" s="134" t="s">
        <v>896</v>
      </c>
      <c r="S28" s="146" t="s">
        <v>897</v>
      </c>
      <c r="T28" s="1"/>
      <c r="U28" s="137" t="s">
        <v>898</v>
      </c>
      <c r="V28" s="123" t="s">
        <v>899</v>
      </c>
      <c r="W28" s="138" t="s">
        <v>900</v>
      </c>
      <c r="X28" s="159" t="s">
        <v>901</v>
      </c>
      <c r="Y28" s="134" t="s">
        <v>902</v>
      </c>
      <c r="Z28" s="131"/>
      <c r="AA28" s="155" t="s">
        <v>903</v>
      </c>
      <c r="AB28" s="131"/>
      <c r="AC28" s="155" t="s">
        <v>904</v>
      </c>
      <c r="AD28" s="131" t="s">
        <v>642</v>
      </c>
      <c r="AE28" s="131"/>
      <c r="AF28" s="1"/>
      <c r="AG28" s="131" t="s">
        <v>905</v>
      </c>
      <c r="AH28" s="131"/>
      <c r="AI28" s="313">
        <v>46359</v>
      </c>
      <c r="AJ28" s="242" t="s">
        <v>645</v>
      </c>
      <c r="AK28" s="245" t="str">
        <f t="shared" si="0"/>
        <v>❌ غير ملتزم</v>
      </c>
      <c r="AL28" s="249"/>
      <c r="AM28" s="241" t="s">
        <v>646</v>
      </c>
      <c r="AN28" s="255" t="s">
        <v>706</v>
      </c>
      <c r="AO28" s="260"/>
      <c r="AP28" s="261"/>
      <c r="AQ28" s="261"/>
      <c r="AR28" s="265" t="s">
        <v>646</v>
      </c>
      <c r="AS28" s="275" t="str">
        <f>IF(AR28="","",IF(ISNUMBER(SEARCH("جازان",AR28)),"مستشفى جازان العام",IF(ISNUMBER(SEARCH("صبيا",AR28)),"مستشفى صبيا العام",IF(ISNUMBER(SEARCH("عريش",AR28)),"مستشفى أبو عريش العام",IF(ISNUMBER(SEARCH("صامط",AR28)),"مستشفى صامطة العام",IF(ISNUMBER(SEARCH("بيش",AR28)),"مستشفى بيش العام",IF(ISNUMBER(SEARCH("فهد",AR28)),"مستشفى الملك فهد المركزي",AR28)))))))</f>
        <v>مستشفى جازان العام</v>
      </c>
      <c r="AT28" s="275">
        <f>ROW()-1</f>
        <v>27</v>
      </c>
      <c r="AU28" s="275"/>
      <c r="AV28" s="275">
        <f>IFERROR(NETWORKDAYS.INTL(P28,IF(ISNUMBER(AI28),AI28,DATEVALUE(AI28)),"0000011")-1,"N/A")</f>
        <v>193</v>
      </c>
      <c r="AW28" s="275"/>
      <c r="AX28" s="275"/>
      <c r="AY28" s="30" t="s">
        <v>906</v>
      </c>
    </row>
    <row r="29" spans="1:51" s="30" customFormat="1" ht="63.75">
      <c r="A29" s="127">
        <v>97</v>
      </c>
      <c r="B29" s="128">
        <v>46091.4683912037</v>
      </c>
      <c r="C29" s="128">
        <v>46091.474189814799</v>
      </c>
      <c r="D29" s="130" t="s">
        <v>662</v>
      </c>
      <c r="E29" s="130"/>
      <c r="F29" s="130" t="s">
        <v>275</v>
      </c>
      <c r="G29" s="130" t="s">
        <v>790</v>
      </c>
      <c r="H29" s="130"/>
      <c r="I29" s="130"/>
      <c r="J29" s="130"/>
      <c r="K29" s="130"/>
      <c r="L29" s="130"/>
      <c r="M29" s="130"/>
      <c r="N29" s="130"/>
      <c r="O29" s="1" t="str">
        <f>_xlfn.CONCAT(OfficeForms.Table3[[#This Row],[القطاع الغربي (Western Sector)]:[القطاع فرسان (Farasan Sector)]])</f>
        <v>مركز ضمد الشمالي</v>
      </c>
      <c r="P29" s="133">
        <v>46091</v>
      </c>
      <c r="Q29" s="133">
        <v>46039</v>
      </c>
      <c r="R29" s="135" t="s">
        <v>907</v>
      </c>
      <c r="S29" s="145">
        <v>36650</v>
      </c>
      <c r="T29" s="1"/>
      <c r="U29" s="136" t="s">
        <v>908</v>
      </c>
      <c r="V29" s="148" t="s">
        <v>909</v>
      </c>
      <c r="W29" s="139" t="s">
        <v>910</v>
      </c>
      <c r="X29" s="160" t="s">
        <v>796</v>
      </c>
      <c r="Y29" s="136">
        <v>568883343</v>
      </c>
      <c r="Z29" s="130"/>
      <c r="AA29" s="154"/>
      <c r="AB29" s="130" t="s">
        <v>821</v>
      </c>
      <c r="AC29" s="154" t="s">
        <v>911</v>
      </c>
      <c r="AD29" s="130" t="s">
        <v>642</v>
      </c>
      <c r="AE29" s="130"/>
      <c r="AF29" s="1"/>
      <c r="AG29" s="130" t="s">
        <v>800</v>
      </c>
      <c r="AH29" s="130" t="s">
        <v>912</v>
      </c>
      <c r="AI29" s="237" t="s">
        <v>787</v>
      </c>
      <c r="AJ29" s="242" t="s">
        <v>645</v>
      </c>
      <c r="AK29" s="245" t="str">
        <f t="shared" si="0"/>
        <v>❌ غير ملتزم</v>
      </c>
      <c r="AL29" s="249"/>
      <c r="AM29" s="241" t="s">
        <v>57</v>
      </c>
      <c r="AN29" s="255" t="s">
        <v>645</v>
      </c>
      <c r="AO29" s="260"/>
      <c r="AP29" s="261"/>
      <c r="AQ29" s="261"/>
      <c r="AR29" s="266" t="s">
        <v>57</v>
      </c>
      <c r="AS29" s="275" t="str">
        <f>IF(AR29="","",IF(ISNUMBER(SEARCH("جازان",AR29)),"مستشفى جازان العام",IF(ISNUMBER(SEARCH("صبيا",AR29)),"مستشفى صبيا العام",IF(ISNUMBER(SEARCH("عريش",AR29)),"مستشفى أبو عريش العام",IF(ISNUMBER(SEARCH("صامط",AR29)),"مستشفى صامطة العام",IF(ISNUMBER(SEARCH("بيش",AR29)),"مستشفى بيش العام",IF(ISNUMBER(SEARCH("فهد",AR29)),"مستشفى الملك فهد المركزي",AR29)))))))</f>
        <v>مستشفى صبيا العام</v>
      </c>
      <c r="AT29" s="275">
        <f>ROW()-1</f>
        <v>28</v>
      </c>
      <c r="AU29" s="275"/>
      <c r="AV29" s="275">
        <f>IFERROR(NETWORKDAYS.INTL(P29,IF(ISNUMBER(AI29),AI29,DATEVALUE(AI29)),"0000011")-1,"N/A")</f>
        <v>7</v>
      </c>
      <c r="AW29" s="275"/>
      <c r="AX29" s="275"/>
    </row>
    <row r="30" spans="1:51" s="30" customFormat="1" ht="51">
      <c r="A30" s="124">
        <v>98</v>
      </c>
      <c r="B30" s="125">
        <v>46091.475833333301</v>
      </c>
      <c r="C30" s="125">
        <v>46091.486701388902</v>
      </c>
      <c r="D30" s="131" t="s">
        <v>662</v>
      </c>
      <c r="E30" s="131"/>
      <c r="F30" s="131" t="s">
        <v>271</v>
      </c>
      <c r="G30" s="131"/>
      <c r="H30" s="131"/>
      <c r="I30" s="131"/>
      <c r="J30" s="131"/>
      <c r="K30" s="131" t="s">
        <v>913</v>
      </c>
      <c r="L30" s="131"/>
      <c r="M30" s="131"/>
      <c r="N30" s="131"/>
      <c r="O30" s="1" t="str">
        <f>_xlfn.CONCAT(OfficeForms.Table3[[#This Row],[القطاع الغربي (Western Sector)]:[القطاع فرسان (Farasan Sector)]])</f>
        <v>مركز الروضة ج</v>
      </c>
      <c r="P30" s="132">
        <v>46091</v>
      </c>
      <c r="Q30" s="132">
        <v>45982</v>
      </c>
      <c r="R30" s="134" t="s">
        <v>914</v>
      </c>
      <c r="S30" s="146" t="s">
        <v>915</v>
      </c>
      <c r="T30" s="1"/>
      <c r="U30" s="137" t="s">
        <v>916</v>
      </c>
      <c r="V30" s="123" t="s">
        <v>917</v>
      </c>
      <c r="W30" s="138" t="s">
        <v>918</v>
      </c>
      <c r="X30" s="159" t="s">
        <v>919</v>
      </c>
      <c r="Y30" s="134" t="s">
        <v>920</v>
      </c>
      <c r="Z30" s="131" t="s">
        <v>704</v>
      </c>
      <c r="AA30" s="155" t="s">
        <v>679</v>
      </c>
      <c r="AB30" s="131"/>
      <c r="AC30" s="155"/>
      <c r="AD30" s="131" t="s">
        <v>642</v>
      </c>
      <c r="AE30" s="131"/>
      <c r="AF30" s="1"/>
      <c r="AG30" s="131" t="s">
        <v>921</v>
      </c>
      <c r="AH30" s="131" t="s">
        <v>922</v>
      </c>
      <c r="AI30" s="237" t="s">
        <v>787</v>
      </c>
      <c r="AJ30" s="242" t="s">
        <v>645</v>
      </c>
      <c r="AK30" s="245" t="str">
        <f t="shared" si="0"/>
        <v>❌ غير ملتزم</v>
      </c>
      <c r="AL30" s="249"/>
      <c r="AM30" s="241" t="s">
        <v>646</v>
      </c>
      <c r="AN30" s="255" t="s">
        <v>645</v>
      </c>
      <c r="AO30" s="260"/>
      <c r="AP30" s="261"/>
      <c r="AQ30" s="261"/>
      <c r="AR30" s="265" t="s">
        <v>646</v>
      </c>
      <c r="AS30" s="275" t="str">
        <f>IF(AR30="","",IF(ISNUMBER(SEARCH("جازان",AR30)),"مستشفى جازان العام",IF(ISNUMBER(SEARCH("صبيا",AR30)),"مستشفى صبيا العام",IF(ISNUMBER(SEARCH("عريش",AR30)),"مستشفى أبو عريش العام",IF(ISNUMBER(SEARCH("صامط",AR30)),"مستشفى صامطة العام",IF(ISNUMBER(SEARCH("بيش",AR30)),"مستشفى بيش العام",IF(ISNUMBER(SEARCH("فهد",AR30)),"مستشفى الملك فهد المركزي",AR30)))))))</f>
        <v>مستشفى جازان العام</v>
      </c>
      <c r="AT30" s="275">
        <f>ROW()-1</f>
        <v>29</v>
      </c>
      <c r="AU30" s="275"/>
      <c r="AV30" s="275">
        <f>IFERROR(NETWORKDAYS.INTL(P30,IF(ISNUMBER(AI30),AI30,DATEVALUE(AI30)),"0000011")-1,"N/A")</f>
        <v>7</v>
      </c>
      <c r="AW30" s="275"/>
      <c r="AX30" s="275"/>
    </row>
    <row r="31" spans="1:51" s="30" customFormat="1" ht="26.25">
      <c r="A31" s="127">
        <v>99</v>
      </c>
      <c r="B31" s="128">
        <v>46091.492847222202</v>
      </c>
      <c r="C31" s="128">
        <v>46091.497847222199</v>
      </c>
      <c r="D31" s="130" t="s">
        <v>662</v>
      </c>
      <c r="E31" s="130"/>
      <c r="F31" s="130" t="s">
        <v>271</v>
      </c>
      <c r="G31" s="130"/>
      <c r="H31" s="130"/>
      <c r="I31" s="130"/>
      <c r="J31" s="130"/>
      <c r="K31" s="130" t="s">
        <v>923</v>
      </c>
      <c r="L31" s="130"/>
      <c r="M31" s="130"/>
      <c r="N31" s="130"/>
      <c r="O31" s="1" t="str">
        <f>_xlfn.CONCAT(OfficeForms.Table3[[#This Row],[القطاع الغربي (Western Sector)]:[القطاع فرسان (Farasan Sector)]])</f>
        <v>مركز المعبوج</v>
      </c>
      <c r="P31" s="133">
        <v>46091</v>
      </c>
      <c r="Q31" s="133">
        <v>46038</v>
      </c>
      <c r="R31" s="135" t="s">
        <v>924</v>
      </c>
      <c r="S31" s="147" t="s">
        <v>925</v>
      </c>
      <c r="T31" s="1"/>
      <c r="U31" s="136" t="s">
        <v>926</v>
      </c>
      <c r="V31" s="148" t="s">
        <v>927</v>
      </c>
      <c r="W31" s="139" t="s">
        <v>928</v>
      </c>
      <c r="X31" s="160" t="s">
        <v>929</v>
      </c>
      <c r="Y31" s="135" t="s">
        <v>930</v>
      </c>
      <c r="Z31" s="130" t="s">
        <v>772</v>
      </c>
      <c r="AA31" s="154"/>
      <c r="AB31" s="130"/>
      <c r="AC31" s="154" t="s">
        <v>931</v>
      </c>
      <c r="AD31" s="157" t="s">
        <v>680</v>
      </c>
      <c r="AE31" s="130" t="s">
        <v>680</v>
      </c>
      <c r="AF31" s="1"/>
      <c r="AG31" s="130" t="s">
        <v>932</v>
      </c>
      <c r="AH31" s="130" t="s">
        <v>933</v>
      </c>
      <c r="AI31" s="237" t="s">
        <v>934</v>
      </c>
      <c r="AJ31" s="242" t="s">
        <v>645</v>
      </c>
      <c r="AK31" s="245" t="str">
        <f t="shared" si="0"/>
        <v>❌ غير ملتزم</v>
      </c>
      <c r="AL31" s="249"/>
      <c r="AM31" s="241" t="s">
        <v>646</v>
      </c>
      <c r="AN31" s="255" t="s">
        <v>645</v>
      </c>
      <c r="AO31" s="260"/>
      <c r="AP31" s="261"/>
      <c r="AQ31" s="261"/>
      <c r="AR31" s="266" t="s">
        <v>646</v>
      </c>
      <c r="AS31" s="275" t="str">
        <f>IF(AR31="","",IF(ISNUMBER(SEARCH("جازان",AR31)),"مستشفى جازان العام",IF(ISNUMBER(SEARCH("صبيا",AR31)),"مستشفى صبيا العام",IF(ISNUMBER(SEARCH("عريش",AR31)),"مستشفى أبو عريش العام",IF(ISNUMBER(SEARCH("صامط",AR31)),"مستشفى صامطة العام",IF(ISNUMBER(SEARCH("بيش",AR31)),"مستشفى بيش العام",IF(ISNUMBER(SEARCH("فهد",AR31)),"مستشفى الملك فهد المركزي",AR31)))))))</f>
        <v>مستشفى جازان العام</v>
      </c>
      <c r="AT31" s="275">
        <f>ROW()-1</f>
        <v>30</v>
      </c>
      <c r="AU31" s="275"/>
      <c r="AV31" s="275">
        <f>IFERROR(NETWORKDAYS.INTL(P31,IF(ISNUMBER(AI31),AI31,DATEVALUE(AI31)),"0000011")-1,"N/A")</f>
        <v>32</v>
      </c>
      <c r="AW31" s="275"/>
      <c r="AX31" s="275"/>
    </row>
    <row r="32" spans="1:51" s="30" customFormat="1" ht="51">
      <c r="A32" s="124">
        <v>100</v>
      </c>
      <c r="B32" s="125">
        <v>46091.511516203696</v>
      </c>
      <c r="C32" s="125">
        <v>46091.515520833302</v>
      </c>
      <c r="D32" s="131" t="s">
        <v>662</v>
      </c>
      <c r="E32" s="131"/>
      <c r="F32" s="131" t="s">
        <v>271</v>
      </c>
      <c r="G32" s="131"/>
      <c r="H32" s="131"/>
      <c r="I32" s="131"/>
      <c r="J32" s="131"/>
      <c r="K32" s="131" t="s">
        <v>870</v>
      </c>
      <c r="L32" s="131"/>
      <c r="M32" s="131"/>
      <c r="N32" s="131"/>
      <c r="O32" s="1" t="str">
        <f>_xlfn.CONCAT(OfficeForms.Table3[[#This Row],[القطاع الغربي (Western Sector)]:[القطاع فرسان (Farasan Sector)]])</f>
        <v>مركز مخطط 6</v>
      </c>
      <c r="P32" s="132">
        <v>46091</v>
      </c>
      <c r="Q32" s="132">
        <v>46026</v>
      </c>
      <c r="R32" s="134" t="s">
        <v>935</v>
      </c>
      <c r="S32" s="144">
        <v>31330</v>
      </c>
      <c r="T32" s="1"/>
      <c r="U32" s="137" t="s">
        <v>936</v>
      </c>
      <c r="V32" s="123" t="s">
        <v>937</v>
      </c>
      <c r="W32" s="138" t="s">
        <v>938</v>
      </c>
      <c r="X32" s="159" t="s">
        <v>939</v>
      </c>
      <c r="Y32" s="134" t="s">
        <v>940</v>
      </c>
      <c r="Z32" s="131" t="s">
        <v>941</v>
      </c>
      <c r="AA32" s="155" t="s">
        <v>679</v>
      </c>
      <c r="AB32" s="131"/>
      <c r="AC32" s="155"/>
      <c r="AD32" s="157" t="s">
        <v>680</v>
      </c>
      <c r="AE32" s="131" t="s">
        <v>680</v>
      </c>
      <c r="AF32" s="1"/>
      <c r="AG32" s="131" t="s">
        <v>942</v>
      </c>
      <c r="AH32" s="131"/>
      <c r="AI32" s="237" t="s">
        <v>787</v>
      </c>
      <c r="AJ32" s="242" t="s">
        <v>645</v>
      </c>
      <c r="AK32" s="245" t="str">
        <f t="shared" si="0"/>
        <v>❌ غير ملتزم</v>
      </c>
      <c r="AL32" s="249"/>
      <c r="AM32" s="241" t="s">
        <v>646</v>
      </c>
      <c r="AN32" s="257" t="s">
        <v>645</v>
      </c>
      <c r="AO32" s="260"/>
      <c r="AP32" s="261"/>
      <c r="AQ32" s="261"/>
      <c r="AR32" s="265" t="s">
        <v>646</v>
      </c>
      <c r="AS32" s="275" t="str">
        <f>IF(AR32="","",IF(ISNUMBER(SEARCH("جازان",AR32)),"مستشفى جازان العام",IF(ISNUMBER(SEARCH("صبيا",AR32)),"مستشفى صبيا العام",IF(ISNUMBER(SEARCH("عريش",AR32)),"مستشفى أبو عريش العام",IF(ISNUMBER(SEARCH("صامط",AR32)),"مستشفى صامطة العام",IF(ISNUMBER(SEARCH("بيش",AR32)),"مستشفى بيش العام",IF(ISNUMBER(SEARCH("فهد",AR32)),"مستشفى الملك فهد المركزي",AR32)))))))</f>
        <v>مستشفى جازان العام</v>
      </c>
      <c r="AT32" s="275">
        <f>ROW()-1</f>
        <v>31</v>
      </c>
      <c r="AU32" s="275"/>
      <c r="AV32" s="275">
        <f>IFERROR(NETWORKDAYS.INTL(P32,IF(ISNUMBER(AI32),AI32,DATEVALUE(AI32)),"0000011")-1,"N/A")</f>
        <v>7</v>
      </c>
      <c r="AW32" s="275"/>
      <c r="AX32" s="275"/>
    </row>
    <row r="33" spans="1:51" s="30" customFormat="1" ht="26.25">
      <c r="A33" s="127">
        <v>101</v>
      </c>
      <c r="B33" s="128">
        <v>46091.513460648101</v>
      </c>
      <c r="C33" s="128">
        <v>46091.517719907402</v>
      </c>
      <c r="D33" s="130" t="s">
        <v>662</v>
      </c>
      <c r="E33" s="130"/>
      <c r="F33" s="130" t="s">
        <v>943</v>
      </c>
      <c r="G33" s="130"/>
      <c r="H33" s="130"/>
      <c r="I33" s="130" t="s">
        <v>944</v>
      </c>
      <c r="J33" s="130"/>
      <c r="K33" s="130"/>
      <c r="L33" s="130"/>
      <c r="M33" s="130"/>
      <c r="N33" s="130"/>
      <c r="O33" s="1" t="str">
        <f>_xlfn.CONCAT(OfficeForms.Table3[[#This Row],[القطاع الغربي (Western Sector)]:[القطاع فرسان (Farasan Sector)]])</f>
        <v>مركز ابو عريش الشمالي</v>
      </c>
      <c r="P33" s="133">
        <v>46091</v>
      </c>
      <c r="Q33" s="133">
        <v>46046</v>
      </c>
      <c r="R33" s="135" t="s">
        <v>945</v>
      </c>
      <c r="S33" s="147" t="s">
        <v>946</v>
      </c>
      <c r="T33" s="1"/>
      <c r="U33" s="136" t="s">
        <v>947</v>
      </c>
      <c r="V33" s="148" t="s">
        <v>948</v>
      </c>
      <c r="W33" s="139" t="s">
        <v>949</v>
      </c>
      <c r="X33" s="160" t="s">
        <v>950</v>
      </c>
      <c r="Y33" s="135" t="s">
        <v>951</v>
      </c>
      <c r="Z33" s="130" t="s">
        <v>952</v>
      </c>
      <c r="AA33" s="154" t="s">
        <v>953</v>
      </c>
      <c r="AB33" s="130"/>
      <c r="AC33" s="154"/>
      <c r="AD33" s="130" t="s">
        <v>642</v>
      </c>
      <c r="AE33" s="130"/>
      <c r="AF33" s="1"/>
      <c r="AG33" s="130" t="s">
        <v>954</v>
      </c>
      <c r="AH33" s="130"/>
      <c r="AI33" s="313" t="s">
        <v>749</v>
      </c>
      <c r="AJ33" s="242" t="s">
        <v>645</v>
      </c>
      <c r="AK33" s="245" t="str">
        <f t="shared" si="0"/>
        <v>❌ غير ملتزم</v>
      </c>
      <c r="AL33" s="249"/>
      <c r="AM33" s="241" t="s">
        <v>846</v>
      </c>
      <c r="AN33" s="255" t="s">
        <v>645</v>
      </c>
      <c r="AO33" s="260"/>
      <c r="AP33" s="261"/>
      <c r="AQ33" s="261"/>
      <c r="AR33" s="266" t="s">
        <v>846</v>
      </c>
      <c r="AS33" s="275" t="str">
        <f>IF(AR33="","",IF(ISNUMBER(SEARCH("جازان",AR33)),"مستشفى جازان العام",IF(ISNUMBER(SEARCH("صبيا",AR33)),"مستشفى صبيا العام",IF(ISNUMBER(SEARCH("عريش",AR33)),"مستشفى أبو عريش العام",IF(ISNUMBER(SEARCH("صامط",AR33)),"مستشفى صامطة العام",IF(ISNUMBER(SEARCH("بيش",AR33)),"مستشفى بيش العام",IF(ISNUMBER(SEARCH("فهد",AR33)),"مستشفى الملك فهد المركزي",AR33)))))))</f>
        <v>مستشفى أبو عريش العام</v>
      </c>
      <c r="AT33" s="275">
        <f>ROW()-1</f>
        <v>32</v>
      </c>
      <c r="AU33" s="275"/>
      <c r="AV33" s="275">
        <f>IFERROR(NETWORKDAYS.INTL(P33,IF(ISNUMBER(AI33),AI33,DATEVALUE(AI33)),"0000011")-1,"N/A")</f>
        <v>3</v>
      </c>
      <c r="AW33" s="275"/>
      <c r="AX33" s="275"/>
      <c r="AY33" s="30" t="s">
        <v>751</v>
      </c>
    </row>
    <row r="34" spans="1:51" s="30" customFormat="1" ht="63.75">
      <c r="A34" s="124">
        <v>103</v>
      </c>
      <c r="B34" s="125">
        <v>46091.555532407401</v>
      </c>
      <c r="C34" s="125">
        <v>46091.564687500002</v>
      </c>
      <c r="D34" s="131" t="s">
        <v>662</v>
      </c>
      <c r="E34" s="131"/>
      <c r="F34" s="131" t="s">
        <v>275</v>
      </c>
      <c r="G34" s="131" t="s">
        <v>955</v>
      </c>
      <c r="H34" s="131"/>
      <c r="I34" s="131"/>
      <c r="J34" s="131"/>
      <c r="K34" s="131"/>
      <c r="L34" s="131"/>
      <c r="M34" s="131"/>
      <c r="N34" s="131"/>
      <c r="O34" s="1" t="str">
        <f>_xlfn.CONCAT(OfficeForms.Table3[[#This Row],[القطاع الغربي (Western Sector)]:[القطاع فرسان (Farasan Sector)]])</f>
        <v>مركز العريش</v>
      </c>
      <c r="P34" s="132">
        <v>46091</v>
      </c>
      <c r="Q34" s="132">
        <v>46071</v>
      </c>
      <c r="R34" s="134" t="s">
        <v>956</v>
      </c>
      <c r="S34" s="144">
        <v>32737</v>
      </c>
      <c r="T34" s="1"/>
      <c r="U34" s="137" t="s">
        <v>957</v>
      </c>
      <c r="V34" s="123" t="s">
        <v>958</v>
      </c>
      <c r="W34" s="138" t="s">
        <v>959</v>
      </c>
      <c r="X34" s="159" t="s">
        <v>960</v>
      </c>
      <c r="Y34" s="134" t="s">
        <v>961</v>
      </c>
      <c r="Z34" s="131" t="s">
        <v>962</v>
      </c>
      <c r="AA34" s="155" t="s">
        <v>736</v>
      </c>
      <c r="AB34" s="131"/>
      <c r="AC34" s="155" t="s">
        <v>963</v>
      </c>
      <c r="AD34" s="131" t="s">
        <v>642</v>
      </c>
      <c r="AE34" s="131"/>
      <c r="AF34" s="1"/>
      <c r="AG34" s="131" t="s">
        <v>964</v>
      </c>
      <c r="AH34" s="131"/>
      <c r="AI34" s="237" t="s">
        <v>801</v>
      </c>
      <c r="AJ34" s="242" t="s">
        <v>695</v>
      </c>
      <c r="AK34" s="245" t="str">
        <f t="shared" si="0"/>
        <v>✅ ملتزم</v>
      </c>
      <c r="AL34" s="249"/>
      <c r="AM34" s="241" t="s">
        <v>682</v>
      </c>
      <c r="AN34" s="255" t="s">
        <v>645</v>
      </c>
      <c r="AO34" s="260"/>
      <c r="AP34" s="261"/>
      <c r="AQ34" s="261"/>
      <c r="AR34" s="265" t="s">
        <v>682</v>
      </c>
      <c r="AS34" s="275" t="str">
        <f>IF(AR34="","",IF(ISNUMBER(SEARCH("جازان",AR34)),"مستشفى جازان العام",IF(ISNUMBER(SEARCH("صبيا",AR34)),"مستشفى صبيا العام",IF(ISNUMBER(SEARCH("عريش",AR34)),"مستشفى أبو عريش العام",IF(ISNUMBER(SEARCH("صامط",AR34)),"مستشفى صامطة العام",IF(ISNUMBER(SEARCH("بيش",AR34)),"مستشفى بيش العام",IF(ISNUMBER(SEARCH("فهد",AR34)),"مستشفى الملك فهد المركزي",AR34)))))))</f>
        <v>مستشفى صبيا العام</v>
      </c>
      <c r="AT34" s="275">
        <f>ROW()-1</f>
        <v>33</v>
      </c>
      <c r="AU34" s="275"/>
      <c r="AV34" s="275">
        <f>IFERROR(NETWORKDAYS.INTL(P34,IF(ISNUMBER(AI34),AI34,DATEVALUE(AI34)),"0000011")-1,"N/A")</f>
        <v>2</v>
      </c>
      <c r="AW34" s="275"/>
      <c r="AX34" s="275"/>
    </row>
    <row r="35" spans="1:51" s="30" customFormat="1" ht="22.5">
      <c r="A35" s="127">
        <v>104</v>
      </c>
      <c r="B35" s="128">
        <v>46091.577245370398</v>
      </c>
      <c r="C35" s="128">
        <v>46091.579583333303</v>
      </c>
      <c r="D35" s="130" t="s">
        <v>662</v>
      </c>
      <c r="E35" s="130"/>
      <c r="F35" s="130" t="s">
        <v>271</v>
      </c>
      <c r="G35" s="130"/>
      <c r="H35" s="130"/>
      <c r="I35" s="130"/>
      <c r="J35" s="130"/>
      <c r="K35" s="130" t="s">
        <v>696</v>
      </c>
      <c r="L35" s="130"/>
      <c r="M35" s="130"/>
      <c r="N35" s="130"/>
      <c r="O35" s="1" t="str">
        <f>_xlfn.CONCAT(OfficeForms.Table3[[#This Row],[القطاع الغربي (Western Sector)]:[القطاع فرسان (Farasan Sector)]])</f>
        <v>الكربوس</v>
      </c>
      <c r="P35" s="133">
        <v>46090</v>
      </c>
      <c r="Q35" s="133">
        <v>45832</v>
      </c>
      <c r="R35" s="135" t="s">
        <v>965</v>
      </c>
      <c r="S35" s="147" t="s">
        <v>966</v>
      </c>
      <c r="T35" s="1"/>
      <c r="U35" s="136" t="s">
        <v>967</v>
      </c>
      <c r="V35" s="148" t="s">
        <v>968</v>
      </c>
      <c r="W35" s="139" t="s">
        <v>696</v>
      </c>
      <c r="X35" s="160" t="s">
        <v>702</v>
      </c>
      <c r="Y35" s="135" t="s">
        <v>969</v>
      </c>
      <c r="Z35" s="130"/>
      <c r="AA35" s="154"/>
      <c r="AB35" s="130"/>
      <c r="AC35" s="154"/>
      <c r="AD35" s="130" t="s">
        <v>642</v>
      </c>
      <c r="AE35" s="130"/>
      <c r="AF35" s="1"/>
      <c r="AG35" s="130" t="s">
        <v>705</v>
      </c>
      <c r="AH35" s="130"/>
      <c r="AI35" s="237" t="s">
        <v>787</v>
      </c>
      <c r="AJ35" s="242" t="s">
        <v>645</v>
      </c>
      <c r="AK35" s="245" t="str">
        <f t="shared" si="0"/>
        <v>❌ غير ملتزم</v>
      </c>
      <c r="AL35" s="249"/>
      <c r="AM35" s="241" t="s">
        <v>646</v>
      </c>
      <c r="AN35" s="255" t="s">
        <v>695</v>
      </c>
      <c r="AO35" s="260"/>
      <c r="AP35" s="261"/>
      <c r="AQ35" s="261"/>
      <c r="AR35" s="266" t="s">
        <v>646</v>
      </c>
      <c r="AS35" s="275" t="str">
        <f>IF(AR35="","",IF(ISNUMBER(SEARCH("جازان",AR35)),"مستشفى جازان العام",IF(ISNUMBER(SEARCH("صبيا",AR35)),"مستشفى صبيا العام",IF(ISNUMBER(SEARCH("عريش",AR35)),"مستشفى أبو عريش العام",IF(ISNUMBER(SEARCH("صامط",AR35)),"مستشفى صامطة العام",IF(ISNUMBER(SEARCH("بيش",AR35)),"مستشفى بيش العام",IF(ISNUMBER(SEARCH("فهد",AR35)),"مستشفى الملك فهد المركزي",AR35)))))))</f>
        <v>مستشفى جازان العام</v>
      </c>
      <c r="AT35" s="275">
        <f>ROW()-1</f>
        <v>34</v>
      </c>
      <c r="AU35" s="275"/>
      <c r="AV35" s="275">
        <f>IFERROR(NETWORKDAYS.INTL(P35,IF(ISNUMBER(AI35),AI35,DATEVALUE(AI35)),"0000011")-1,"N/A")</f>
        <v>8</v>
      </c>
      <c r="AW35" s="275"/>
      <c r="AX35" s="275"/>
    </row>
    <row r="36" spans="1:51" s="30" customFormat="1" ht="22.5">
      <c r="A36" s="124">
        <v>105</v>
      </c>
      <c r="B36" s="125">
        <v>46091.575081018498</v>
      </c>
      <c r="C36" s="125">
        <v>46091.583043981504</v>
      </c>
      <c r="D36" s="131" t="s">
        <v>662</v>
      </c>
      <c r="E36" s="131"/>
      <c r="F36" s="131" t="s">
        <v>275</v>
      </c>
      <c r="G36" s="131" t="s">
        <v>802</v>
      </c>
      <c r="H36" s="131"/>
      <c r="I36" s="131"/>
      <c r="J36" s="131"/>
      <c r="K36" s="131"/>
      <c r="L36" s="131"/>
      <c r="M36" s="131"/>
      <c r="N36" s="131"/>
      <c r="O36" s="1" t="str">
        <f>_xlfn.CONCAT(OfficeForms.Table3[[#This Row],[القطاع الغربي (Western Sector)]:[القطاع فرسان (Farasan Sector)]])</f>
        <v>مركز الصهاليل</v>
      </c>
      <c r="P36" s="132">
        <v>46091</v>
      </c>
      <c r="Q36" s="132">
        <v>45841</v>
      </c>
      <c r="R36" s="134" t="s">
        <v>970</v>
      </c>
      <c r="S36" s="144">
        <v>32415</v>
      </c>
      <c r="T36" s="1"/>
      <c r="U36" s="137" t="s">
        <v>971</v>
      </c>
      <c r="V36" s="123" t="s">
        <v>972</v>
      </c>
      <c r="W36" s="138" t="s">
        <v>973</v>
      </c>
      <c r="X36" s="159" t="s">
        <v>808</v>
      </c>
      <c r="Y36" s="134" t="s">
        <v>974</v>
      </c>
      <c r="Z36" s="131"/>
      <c r="AA36" s="155" t="s">
        <v>736</v>
      </c>
      <c r="AB36" s="131"/>
      <c r="AC36" s="155"/>
      <c r="AD36" s="131" t="s">
        <v>642</v>
      </c>
      <c r="AE36" s="131"/>
      <c r="AF36" s="1"/>
      <c r="AG36" s="131" t="s">
        <v>810</v>
      </c>
      <c r="AH36" s="131" t="s">
        <v>975</v>
      </c>
      <c r="AI36" s="237" t="s">
        <v>976</v>
      </c>
      <c r="AJ36" s="242" t="s">
        <v>645</v>
      </c>
      <c r="AK36" s="245" t="str">
        <f t="shared" si="0"/>
        <v>⏳ بانتظار</v>
      </c>
      <c r="AL36" s="249"/>
      <c r="AM36" s="241" t="s">
        <v>57</v>
      </c>
      <c r="AN36" s="255" t="s">
        <v>645</v>
      </c>
      <c r="AO36" s="260"/>
      <c r="AP36" s="261"/>
      <c r="AQ36" s="261"/>
      <c r="AR36" s="265" t="s">
        <v>57</v>
      </c>
      <c r="AS36" s="275" t="str">
        <f>IF(AR36="","",IF(ISNUMBER(SEARCH("جازان",AR36)),"مستشفى جازان العام",IF(ISNUMBER(SEARCH("صبيا",AR36)),"مستشفى صبيا العام",IF(ISNUMBER(SEARCH("عريش",AR36)),"مستشفى أبو عريش العام",IF(ISNUMBER(SEARCH("صامط",AR36)),"مستشفى صامطة العام",IF(ISNUMBER(SEARCH("بيش",AR36)),"مستشفى بيش العام",IF(ISNUMBER(SEARCH("فهد",AR36)),"مستشفى الملك فهد المركزي",AR36)))))))</f>
        <v>مستشفى صبيا العام</v>
      </c>
      <c r="AT36" s="275">
        <f>ROW()-1</f>
        <v>35</v>
      </c>
      <c r="AU36" s="275"/>
      <c r="AV36" s="275" t="str">
        <f>IFERROR(NETWORKDAYS.INTL(P36,IF(ISNUMBER(AI36),AI36,DATEVALUE(AI36)),"0000011")-1,"N/A")</f>
        <v>N/A</v>
      </c>
      <c r="AW36" s="275"/>
      <c r="AX36" s="275"/>
    </row>
    <row r="37" spans="1:51" s="30" customFormat="1" ht="22.5">
      <c r="A37" s="127">
        <v>106</v>
      </c>
      <c r="B37" s="128">
        <v>46091.580451388902</v>
      </c>
      <c r="C37" s="128">
        <v>46091.585636574098</v>
      </c>
      <c r="D37" s="130" t="s">
        <v>662</v>
      </c>
      <c r="E37" s="130"/>
      <c r="F37" s="130" t="s">
        <v>943</v>
      </c>
      <c r="G37" s="130"/>
      <c r="H37" s="130"/>
      <c r="I37" s="130" t="s">
        <v>977</v>
      </c>
      <c r="J37" s="130"/>
      <c r="K37" s="130"/>
      <c r="L37" s="130"/>
      <c r="M37" s="130"/>
      <c r="N37" s="130"/>
      <c r="O37" s="1" t="str">
        <f>_xlfn.CONCAT(OfficeForms.Table3[[#This Row],[القطاع الغربي (Western Sector)]:[القطاع فرسان (Farasan Sector)]])</f>
        <v>مركز عياش</v>
      </c>
      <c r="P37" s="133">
        <v>46091</v>
      </c>
      <c r="Q37" s="133">
        <v>46039</v>
      </c>
      <c r="R37" s="135" t="s">
        <v>924</v>
      </c>
      <c r="S37" s="147" t="s">
        <v>978</v>
      </c>
      <c r="T37" s="1"/>
      <c r="U37" s="136" t="s">
        <v>979</v>
      </c>
      <c r="V37" s="148" t="s">
        <v>980</v>
      </c>
      <c r="W37" s="139" t="s">
        <v>981</v>
      </c>
      <c r="X37" s="160" t="s">
        <v>982</v>
      </c>
      <c r="Y37" s="135" t="s">
        <v>983</v>
      </c>
      <c r="Z37" s="130" t="s">
        <v>984</v>
      </c>
      <c r="AA37" s="154"/>
      <c r="AB37" s="130"/>
      <c r="AC37" s="154"/>
      <c r="AD37" s="130" t="s">
        <v>642</v>
      </c>
      <c r="AE37" s="130"/>
      <c r="AF37" s="1"/>
      <c r="AG37" s="130" t="s">
        <v>985</v>
      </c>
      <c r="AH37" s="130"/>
      <c r="AI37" s="237" t="s">
        <v>749</v>
      </c>
      <c r="AJ37" s="242" t="s">
        <v>645</v>
      </c>
      <c r="AK37" s="245" t="str">
        <f t="shared" si="0"/>
        <v>❌ غير ملتزم</v>
      </c>
      <c r="AL37" s="249"/>
      <c r="AM37" s="241" t="s">
        <v>846</v>
      </c>
      <c r="AN37" s="255" t="s">
        <v>645</v>
      </c>
      <c r="AO37" s="260"/>
      <c r="AP37" s="261"/>
      <c r="AQ37" s="261"/>
      <c r="AR37" s="266" t="s">
        <v>846</v>
      </c>
      <c r="AS37" s="275" t="str">
        <f>IF(AR37="","",IF(ISNUMBER(SEARCH("جازان",AR37)),"مستشفى جازان العام",IF(ISNUMBER(SEARCH("صبيا",AR37)),"مستشفى صبيا العام",IF(ISNUMBER(SEARCH("عريش",AR37)),"مستشفى أبو عريش العام",IF(ISNUMBER(SEARCH("صامط",AR37)),"مستشفى صامطة العام",IF(ISNUMBER(SEARCH("بيش",AR37)),"مستشفى بيش العام",IF(ISNUMBER(SEARCH("فهد",AR37)),"مستشفى الملك فهد المركزي",AR37)))))))</f>
        <v>مستشفى أبو عريش العام</v>
      </c>
      <c r="AT37" s="275">
        <f>ROW()-1</f>
        <v>36</v>
      </c>
      <c r="AU37" s="275"/>
      <c r="AV37" s="275">
        <f>IFERROR(NETWORKDAYS.INTL(P37,IF(ISNUMBER(AI37),AI37,DATEVALUE(AI37)),"0000011")-1,"N/A")</f>
        <v>3</v>
      </c>
      <c r="AW37" s="275"/>
      <c r="AX37" s="275"/>
    </row>
    <row r="38" spans="1:51" s="30" customFormat="1" ht="63.75">
      <c r="A38" s="124">
        <v>107</v>
      </c>
      <c r="B38" s="125">
        <v>46091.598472222198</v>
      </c>
      <c r="C38" s="125">
        <v>46091.6069907407</v>
      </c>
      <c r="D38" s="131" t="s">
        <v>662</v>
      </c>
      <c r="E38" s="131"/>
      <c r="F38" s="131" t="s">
        <v>277</v>
      </c>
      <c r="G38" s="131"/>
      <c r="H38" s="131" t="s">
        <v>986</v>
      </c>
      <c r="I38" s="131"/>
      <c r="J38" s="131"/>
      <c r="K38" s="131"/>
      <c r="L38" s="131"/>
      <c r="M38" s="131"/>
      <c r="N38" s="131"/>
      <c r="O38" s="1" t="str">
        <f>_xlfn.CONCAT(OfficeForms.Table3[[#This Row],[القطاع الغربي (Western Sector)]:[القطاع فرسان (Farasan Sector)]])</f>
        <v>مركز الأحد</v>
      </c>
      <c r="P38" s="132">
        <v>46091</v>
      </c>
      <c r="Q38" s="132">
        <v>45903</v>
      </c>
      <c r="R38" s="134" t="s">
        <v>987</v>
      </c>
      <c r="S38" s="144">
        <v>46301</v>
      </c>
      <c r="T38" s="1"/>
      <c r="U38" s="137" t="s">
        <v>988</v>
      </c>
      <c r="V38" s="123" t="s">
        <v>989</v>
      </c>
      <c r="W38" s="138" t="s">
        <v>990</v>
      </c>
      <c r="X38" s="159" t="s">
        <v>991</v>
      </c>
      <c r="Y38" s="134" t="s">
        <v>992</v>
      </c>
      <c r="Z38" s="131" t="s">
        <v>704</v>
      </c>
      <c r="AA38" s="155" t="s">
        <v>820</v>
      </c>
      <c r="AB38" s="131"/>
      <c r="AC38" s="155"/>
      <c r="AD38" s="131" t="s">
        <v>642</v>
      </c>
      <c r="AE38" s="131"/>
      <c r="AF38" s="1"/>
      <c r="AG38" s="131" t="s">
        <v>993</v>
      </c>
      <c r="AH38" s="131"/>
      <c r="AI38" s="237" t="s">
        <v>749</v>
      </c>
      <c r="AJ38" s="242" t="s">
        <v>645</v>
      </c>
      <c r="AK38" s="245" t="str">
        <f t="shared" si="0"/>
        <v>❌ غير ملتزم</v>
      </c>
      <c r="AL38" s="249"/>
      <c r="AM38" s="241" t="s">
        <v>846</v>
      </c>
      <c r="AN38" s="255" t="s">
        <v>645</v>
      </c>
      <c r="AO38" s="260"/>
      <c r="AP38" s="261"/>
      <c r="AQ38" s="261"/>
      <c r="AR38" s="265" t="s">
        <v>846</v>
      </c>
      <c r="AS38" s="275" t="str">
        <f>IF(AR38="","",IF(ISNUMBER(SEARCH("جازان",AR38)),"مستشفى جازان العام",IF(ISNUMBER(SEARCH("صبيا",AR38)),"مستشفى صبيا العام",IF(ISNUMBER(SEARCH("عريش",AR38)),"مستشفى أبو عريش العام",IF(ISNUMBER(SEARCH("صامط",AR38)),"مستشفى صامطة العام",IF(ISNUMBER(SEARCH("بيش",AR38)),"مستشفى بيش العام",IF(ISNUMBER(SEARCH("فهد",AR38)),"مستشفى الملك فهد المركزي",AR38)))))))</f>
        <v>مستشفى أبو عريش العام</v>
      </c>
      <c r="AT38" s="275">
        <f>ROW()-1</f>
        <v>37</v>
      </c>
      <c r="AU38" s="275"/>
      <c r="AV38" s="275">
        <f>IFERROR(NETWORKDAYS.INTL(P38,IF(ISNUMBER(AI38),AI38,DATEVALUE(AI38)),"0000011")-1,"N/A")</f>
        <v>3</v>
      </c>
      <c r="AW38" s="275"/>
      <c r="AX38" s="275"/>
    </row>
    <row r="39" spans="1:51" s="30" customFormat="1" ht="22.5">
      <c r="A39" s="127">
        <v>109</v>
      </c>
      <c r="B39" s="128">
        <v>46091.647199074097</v>
      </c>
      <c r="C39" s="128">
        <v>46091.650150463</v>
      </c>
      <c r="D39" s="130" t="s">
        <v>662</v>
      </c>
      <c r="E39" s="130"/>
      <c r="F39" s="130" t="s">
        <v>275</v>
      </c>
      <c r="G39" s="130" t="s">
        <v>802</v>
      </c>
      <c r="H39" s="130"/>
      <c r="I39" s="130"/>
      <c r="J39" s="130"/>
      <c r="K39" s="130"/>
      <c r="L39" s="130"/>
      <c r="M39" s="130"/>
      <c r="N39" s="130"/>
      <c r="O39" s="1" t="str">
        <f>_xlfn.CONCAT(OfficeForms.Table3[[#This Row],[القطاع الغربي (Western Sector)]:[القطاع فرسان (Farasan Sector)]])</f>
        <v>مركز الصهاليل</v>
      </c>
      <c r="P39" s="133">
        <v>46091</v>
      </c>
      <c r="Q39" s="133">
        <v>45911</v>
      </c>
      <c r="R39" s="135" t="s">
        <v>994</v>
      </c>
      <c r="S39" s="145">
        <v>32852</v>
      </c>
      <c r="T39" s="1"/>
      <c r="U39" s="136" t="s">
        <v>995</v>
      </c>
      <c r="V39" s="148" t="s">
        <v>996</v>
      </c>
      <c r="W39" s="139" t="s">
        <v>973</v>
      </c>
      <c r="X39" s="160" t="s">
        <v>808</v>
      </c>
      <c r="Y39" s="135" t="s">
        <v>997</v>
      </c>
      <c r="Z39" s="130" t="s">
        <v>998</v>
      </c>
      <c r="AA39" s="154"/>
      <c r="AB39" s="130"/>
      <c r="AC39" s="154"/>
      <c r="AD39" s="130" t="s">
        <v>642</v>
      </c>
      <c r="AE39" s="130"/>
      <c r="AF39" s="1"/>
      <c r="AG39" s="130" t="s">
        <v>810</v>
      </c>
      <c r="AH39" s="130"/>
      <c r="AI39" s="237" t="s">
        <v>787</v>
      </c>
      <c r="AJ39" s="242" t="s">
        <v>645</v>
      </c>
      <c r="AK39" s="245" t="str">
        <f t="shared" si="0"/>
        <v>❌ غير ملتزم</v>
      </c>
      <c r="AL39" s="249"/>
      <c r="AM39" s="241" t="s">
        <v>57</v>
      </c>
      <c r="AN39" s="255" t="s">
        <v>645</v>
      </c>
      <c r="AO39" s="260"/>
      <c r="AP39" s="261"/>
      <c r="AQ39" s="261"/>
      <c r="AR39" s="266" t="s">
        <v>57</v>
      </c>
      <c r="AS39" s="275" t="str">
        <f>IF(AR39="","",IF(ISNUMBER(SEARCH("جازان",AR39)),"مستشفى جازان العام",IF(ISNUMBER(SEARCH("صبيا",AR39)),"مستشفى صبيا العام",IF(ISNUMBER(SEARCH("عريش",AR39)),"مستشفى أبو عريش العام",IF(ISNUMBER(SEARCH("صامط",AR39)),"مستشفى صامطة العام",IF(ISNUMBER(SEARCH("بيش",AR39)),"مستشفى بيش العام",IF(ISNUMBER(SEARCH("فهد",AR39)),"مستشفى الملك فهد المركزي",AR39)))))))</f>
        <v>مستشفى صبيا العام</v>
      </c>
      <c r="AT39" s="275">
        <f>ROW()-1</f>
        <v>38</v>
      </c>
      <c r="AU39" s="275"/>
      <c r="AV39" s="275">
        <f>IFERROR(NETWORKDAYS.INTL(P39,IF(ISNUMBER(AI39),AI39,DATEVALUE(AI39)),"0000011")-1,"N/A")</f>
        <v>7</v>
      </c>
      <c r="AW39" s="275"/>
      <c r="AX39" s="275"/>
    </row>
    <row r="40" spans="1:51" s="30" customFormat="1" ht="22.5">
      <c r="A40" s="124">
        <v>111</v>
      </c>
      <c r="B40" s="125">
        <v>46092.472002314797</v>
      </c>
      <c r="C40" s="125">
        <v>46092.475717592599</v>
      </c>
      <c r="D40" s="131" t="s">
        <v>662</v>
      </c>
      <c r="E40" s="131"/>
      <c r="F40" s="131" t="s">
        <v>271</v>
      </c>
      <c r="G40" s="131"/>
      <c r="H40" s="131"/>
      <c r="I40" s="131"/>
      <c r="J40" s="131"/>
      <c r="K40" s="131" t="s">
        <v>637</v>
      </c>
      <c r="L40" s="131"/>
      <c r="M40" s="131"/>
      <c r="N40" s="131"/>
      <c r="O40" s="1" t="str">
        <f>_xlfn.CONCAT(OfficeForms.Table3[[#This Row],[القطاع الغربي (Western Sector)]:[القطاع فرسان (Farasan Sector)]])</f>
        <v>مركز مزهرة</v>
      </c>
      <c r="P40" s="132">
        <v>46092</v>
      </c>
      <c r="Q40" s="132">
        <v>45903</v>
      </c>
      <c r="R40" s="134" t="s">
        <v>999</v>
      </c>
      <c r="S40" s="144">
        <v>46301</v>
      </c>
      <c r="T40" s="1"/>
      <c r="U40" s="137" t="s">
        <v>1000</v>
      </c>
      <c r="V40" s="123" t="s">
        <v>1001</v>
      </c>
      <c r="W40" s="138" t="s">
        <v>1002</v>
      </c>
      <c r="X40" s="159" t="s">
        <v>1003</v>
      </c>
      <c r="Y40" s="134" t="s">
        <v>1004</v>
      </c>
      <c r="Z40" s="131" t="s">
        <v>962</v>
      </c>
      <c r="AA40" s="155"/>
      <c r="AB40" s="131"/>
      <c r="AC40" s="156" t="s">
        <v>1005</v>
      </c>
      <c r="AD40" s="131" t="s">
        <v>642</v>
      </c>
      <c r="AE40" s="131"/>
      <c r="AF40" s="1"/>
      <c r="AG40" s="131" t="s">
        <v>643</v>
      </c>
      <c r="AH40" s="131"/>
      <c r="AI40" s="313" t="s">
        <v>787</v>
      </c>
      <c r="AJ40" s="242" t="s">
        <v>645</v>
      </c>
      <c r="AK40" s="245" t="str">
        <f t="shared" si="0"/>
        <v>❌ غير ملتزم</v>
      </c>
      <c r="AL40" s="249"/>
      <c r="AM40" s="241" t="s">
        <v>53</v>
      </c>
      <c r="AN40" s="255" t="s">
        <v>645</v>
      </c>
      <c r="AO40" s="260"/>
      <c r="AP40" s="261"/>
      <c r="AQ40" s="261"/>
      <c r="AR40" s="265" t="s">
        <v>53</v>
      </c>
      <c r="AS40" s="275" t="str">
        <f>IF(AR40="","",IF(ISNUMBER(SEARCH("جازان",AR40)),"مستشفى جازان العام",IF(ISNUMBER(SEARCH("صبيا",AR40)),"مستشفى صبيا العام",IF(ISNUMBER(SEARCH("عريش",AR40)),"مستشفى أبو عريش العام",IF(ISNUMBER(SEARCH("صامط",AR40)),"مستشفى صامطة العام",IF(ISNUMBER(SEARCH("بيش",AR40)),"مستشفى بيش العام",IF(ISNUMBER(SEARCH("فهد",AR40)),"مستشفى الملك فهد المركزي",AR40)))))))</f>
        <v>مستشفى جازان العام</v>
      </c>
      <c r="AT40" s="275">
        <f>ROW()-1</f>
        <v>39</v>
      </c>
      <c r="AU40" s="275"/>
      <c r="AV40" s="275">
        <f>IFERROR(NETWORKDAYS.INTL(P40,IF(ISNUMBER(AI40),AI40,DATEVALUE(AI40)),"0000011")-1,"N/A")</f>
        <v>6</v>
      </c>
      <c r="AW40" s="275"/>
      <c r="AX40" s="275"/>
      <c r="AY40" s="30" t="s">
        <v>1006</v>
      </c>
    </row>
    <row r="41" spans="1:51" s="30" customFormat="1" ht="76.5">
      <c r="A41" s="127">
        <v>112</v>
      </c>
      <c r="B41" s="128">
        <v>46092.497175925899</v>
      </c>
      <c r="C41" s="128">
        <v>46092.499768518501</v>
      </c>
      <c r="D41" s="130" t="s">
        <v>662</v>
      </c>
      <c r="E41" s="130"/>
      <c r="F41" s="130" t="s">
        <v>271</v>
      </c>
      <c r="G41" s="130"/>
      <c r="H41" s="130"/>
      <c r="I41" s="130"/>
      <c r="J41" s="130"/>
      <c r="K41" s="130" t="s">
        <v>637</v>
      </c>
      <c r="L41" s="130"/>
      <c r="M41" s="130"/>
      <c r="N41" s="130"/>
      <c r="O41" s="1" t="str">
        <f>_xlfn.CONCAT(OfficeForms.Table3[[#This Row],[القطاع الغربي (Western Sector)]:[القطاع فرسان (Farasan Sector)]])</f>
        <v>مركز مزهرة</v>
      </c>
      <c r="P41" s="133">
        <v>46092</v>
      </c>
      <c r="Q41" s="133">
        <v>46045</v>
      </c>
      <c r="R41" s="135" t="s">
        <v>1007</v>
      </c>
      <c r="S41" s="147" t="s">
        <v>1008</v>
      </c>
      <c r="T41" s="1"/>
      <c r="U41" s="136" t="s">
        <v>1009</v>
      </c>
      <c r="V41" s="148" t="s">
        <v>1010</v>
      </c>
      <c r="W41" s="139" t="s">
        <v>1011</v>
      </c>
      <c r="X41" s="160" t="s">
        <v>668</v>
      </c>
      <c r="Y41" s="135" t="s">
        <v>1012</v>
      </c>
      <c r="Z41" s="130"/>
      <c r="AA41" s="154" t="s">
        <v>860</v>
      </c>
      <c r="AB41" s="130"/>
      <c r="AC41" s="154"/>
      <c r="AD41" s="130" t="s">
        <v>642</v>
      </c>
      <c r="AE41" s="130"/>
      <c r="AF41" s="1"/>
      <c r="AG41" s="130" t="s">
        <v>643</v>
      </c>
      <c r="AH41" s="130" t="s">
        <v>1013</v>
      </c>
      <c r="AI41" s="237" t="s">
        <v>694</v>
      </c>
      <c r="AJ41" s="242" t="s">
        <v>645</v>
      </c>
      <c r="AK41" s="245" t="str">
        <f t="shared" si="0"/>
        <v>❌ غير ملتزم</v>
      </c>
      <c r="AL41" s="249"/>
      <c r="AM41" s="241" t="s">
        <v>53</v>
      </c>
      <c r="AN41" s="255" t="s">
        <v>645</v>
      </c>
      <c r="AO41" s="260"/>
      <c r="AP41" s="261"/>
      <c r="AQ41" s="261"/>
      <c r="AR41" s="266" t="s">
        <v>53</v>
      </c>
      <c r="AS41" s="275" t="str">
        <f>IF(AR41="","",IF(ISNUMBER(SEARCH("جازان",AR41)),"مستشفى جازان العام",IF(ISNUMBER(SEARCH("صبيا",AR41)),"مستشفى صبيا العام",IF(ISNUMBER(SEARCH("عريش",AR41)),"مستشفى أبو عريش العام",IF(ISNUMBER(SEARCH("صامط",AR41)),"مستشفى صامطة العام",IF(ISNUMBER(SEARCH("بيش",AR41)),"مستشفى بيش العام",IF(ISNUMBER(SEARCH("فهد",AR41)),"مستشفى الملك فهد المركزي",AR41)))))))</f>
        <v>مستشفى جازان العام</v>
      </c>
      <c r="AT41" s="275">
        <f>ROW()-1</f>
        <v>40</v>
      </c>
      <c r="AU41" s="275"/>
      <c r="AV41" s="275">
        <f>IFERROR(NETWORKDAYS.INTL(P41,IF(ISNUMBER(AI41),AI41,DATEVALUE(AI41)),"0000011")-1,"N/A")</f>
        <v>3</v>
      </c>
      <c r="AW41" s="275"/>
      <c r="AX41" s="275"/>
    </row>
    <row r="42" spans="1:51" s="30" customFormat="1" ht="22.5">
      <c r="A42" s="124">
        <v>113</v>
      </c>
      <c r="B42" s="125">
        <v>46092.498032407399</v>
      </c>
      <c r="C42" s="125">
        <v>46092.5003125</v>
      </c>
      <c r="D42" s="131" t="s">
        <v>662</v>
      </c>
      <c r="E42" s="131"/>
      <c r="F42" s="131" t="s">
        <v>271</v>
      </c>
      <c r="G42" s="131"/>
      <c r="H42" s="131"/>
      <c r="I42" s="131"/>
      <c r="J42" s="131"/>
      <c r="K42" s="131" t="s">
        <v>696</v>
      </c>
      <c r="L42" s="131"/>
      <c r="M42" s="131"/>
      <c r="N42" s="131"/>
      <c r="O42" s="1" t="str">
        <f>_xlfn.CONCAT(OfficeForms.Table3[[#This Row],[القطاع الغربي (Western Sector)]:[القطاع فرسان (Farasan Sector)]])</f>
        <v>الكربوس</v>
      </c>
      <c r="P42" s="132">
        <v>46090</v>
      </c>
      <c r="Q42" s="132">
        <v>46017</v>
      </c>
      <c r="R42" s="134" t="s">
        <v>1014</v>
      </c>
      <c r="S42" s="144">
        <v>39667</v>
      </c>
      <c r="T42" s="1"/>
      <c r="U42" s="137" t="s">
        <v>1015</v>
      </c>
      <c r="V42" s="123" t="s">
        <v>1016</v>
      </c>
      <c r="W42" s="138" t="s">
        <v>696</v>
      </c>
      <c r="X42" s="159" t="s">
        <v>702</v>
      </c>
      <c r="Y42" s="134" t="s">
        <v>1017</v>
      </c>
      <c r="Z42" s="131"/>
      <c r="AA42" s="155"/>
      <c r="AB42" s="131"/>
      <c r="AC42" s="155"/>
      <c r="AD42" s="131" t="s">
        <v>642</v>
      </c>
      <c r="AE42" s="131"/>
      <c r="AF42" s="1"/>
      <c r="AG42" s="131" t="s">
        <v>705</v>
      </c>
      <c r="AH42" s="131"/>
      <c r="AI42" s="313" t="s">
        <v>787</v>
      </c>
      <c r="AJ42" s="242" t="s">
        <v>645</v>
      </c>
      <c r="AK42" s="245" t="str">
        <f t="shared" si="0"/>
        <v>❌ غير ملتزم</v>
      </c>
      <c r="AL42" s="249"/>
      <c r="AM42" s="241" t="s">
        <v>53</v>
      </c>
      <c r="AN42" s="255" t="s">
        <v>645</v>
      </c>
      <c r="AO42" s="260"/>
      <c r="AP42" s="261"/>
      <c r="AQ42" s="261"/>
      <c r="AR42" s="265" t="s">
        <v>53</v>
      </c>
      <c r="AS42" s="275" t="str">
        <f>IF(AR42="","",IF(ISNUMBER(SEARCH("جازان",AR42)),"مستشفى جازان العام",IF(ISNUMBER(SEARCH("صبيا",AR42)),"مستشفى صبيا العام",IF(ISNUMBER(SEARCH("عريش",AR42)),"مستشفى أبو عريش العام",IF(ISNUMBER(SEARCH("صامط",AR42)),"مستشفى صامطة العام",IF(ISNUMBER(SEARCH("بيش",AR42)),"مستشفى بيش العام",IF(ISNUMBER(SEARCH("فهد",AR42)),"مستشفى الملك فهد المركزي",AR42)))))))</f>
        <v>مستشفى جازان العام</v>
      </c>
      <c r="AT42" s="275">
        <f>ROW()-1</f>
        <v>41</v>
      </c>
      <c r="AU42" s="275"/>
      <c r="AV42" s="275">
        <f>IFERROR(NETWORKDAYS.INTL(P42,IF(ISNUMBER(AI42),AI42,DATEVALUE(AI42)),"0000011")-1,"N/A")</f>
        <v>8</v>
      </c>
      <c r="AW42" s="275"/>
      <c r="AX42" s="275"/>
      <c r="AY42" s="30" t="s">
        <v>1018</v>
      </c>
    </row>
    <row r="43" spans="1:51" s="30" customFormat="1" ht="22.5">
      <c r="A43" s="127">
        <v>114</v>
      </c>
      <c r="B43" s="128">
        <v>46092.503761574102</v>
      </c>
      <c r="C43" s="128">
        <v>46092.508923611102</v>
      </c>
      <c r="D43" s="130" t="s">
        <v>662</v>
      </c>
      <c r="E43" s="130"/>
      <c r="F43" s="130" t="s">
        <v>271</v>
      </c>
      <c r="G43" s="130"/>
      <c r="H43" s="130"/>
      <c r="I43" s="130"/>
      <c r="J43" s="130"/>
      <c r="K43" s="130" t="s">
        <v>696</v>
      </c>
      <c r="L43" s="130"/>
      <c r="M43" s="130"/>
      <c r="N43" s="130"/>
      <c r="O43" s="1" t="str">
        <f>_xlfn.CONCAT(OfficeForms.Table3[[#This Row],[القطاع الغربي (Western Sector)]:[القطاع فرسان (Farasan Sector)]])</f>
        <v>الكربوس</v>
      </c>
      <c r="P43" s="133">
        <v>46092</v>
      </c>
      <c r="Q43" s="133">
        <v>45883</v>
      </c>
      <c r="R43" s="135" t="s">
        <v>1019</v>
      </c>
      <c r="S43" s="147" t="s">
        <v>1020</v>
      </c>
      <c r="T43" s="1"/>
      <c r="U43" s="136" t="s">
        <v>1021</v>
      </c>
      <c r="V43" s="148" t="s">
        <v>1022</v>
      </c>
      <c r="W43" s="139" t="s">
        <v>696</v>
      </c>
      <c r="X43" s="160" t="s">
        <v>702</v>
      </c>
      <c r="Y43" s="135" t="s">
        <v>1023</v>
      </c>
      <c r="Z43" s="130" t="s">
        <v>704</v>
      </c>
      <c r="AA43" s="154"/>
      <c r="AB43" s="130"/>
      <c r="AC43" s="154"/>
      <c r="AD43" s="130" t="s">
        <v>642</v>
      </c>
      <c r="AE43" s="130"/>
      <c r="AF43" s="1"/>
      <c r="AG43" s="130" t="s">
        <v>705</v>
      </c>
      <c r="AH43" s="130"/>
      <c r="AI43" s="313" t="s">
        <v>749</v>
      </c>
      <c r="AJ43" s="242" t="s">
        <v>645</v>
      </c>
      <c r="AK43" s="245" t="str">
        <f t="shared" si="0"/>
        <v>✅ ملتزم</v>
      </c>
      <c r="AL43" s="249"/>
      <c r="AM43" s="241" t="s">
        <v>53</v>
      </c>
      <c r="AN43" s="255" t="s">
        <v>645</v>
      </c>
      <c r="AO43" s="260"/>
      <c r="AP43" s="261"/>
      <c r="AQ43" s="261"/>
      <c r="AR43" s="266" t="s">
        <v>53</v>
      </c>
      <c r="AS43" s="275" t="str">
        <f>IF(AR43="","",IF(ISNUMBER(SEARCH("جازان",AR43)),"مستشفى جازان العام",IF(ISNUMBER(SEARCH("صبيا",AR43)),"مستشفى صبيا العام",IF(ISNUMBER(SEARCH("عريش",AR43)),"مستشفى أبو عريش العام",IF(ISNUMBER(SEARCH("صامط",AR43)),"مستشفى صامطة العام",IF(ISNUMBER(SEARCH("بيش",AR43)),"مستشفى بيش العام",IF(ISNUMBER(SEARCH("فهد",AR43)),"مستشفى الملك فهد المركزي",AR43)))))))</f>
        <v>مستشفى جازان العام</v>
      </c>
      <c r="AT43" s="275">
        <f>ROW()-1</f>
        <v>42</v>
      </c>
      <c r="AU43" s="275"/>
      <c r="AV43" s="275">
        <f>IFERROR(NETWORKDAYS.INTL(P43,IF(ISNUMBER(AI43),AI43,DATEVALUE(AI43)),"0000011")-1,"N/A")</f>
        <v>2</v>
      </c>
      <c r="AW43" s="275"/>
      <c r="AX43" s="275"/>
      <c r="AY43" s="30" t="s">
        <v>751</v>
      </c>
    </row>
    <row r="44" spans="1:51" s="30" customFormat="1" ht="26.25">
      <c r="A44" s="124">
        <v>115</v>
      </c>
      <c r="B44" s="125">
        <v>46092.507129629601</v>
      </c>
      <c r="C44" s="125">
        <v>46092.509224537003</v>
      </c>
      <c r="D44" s="131" t="s">
        <v>662</v>
      </c>
      <c r="E44" s="131"/>
      <c r="F44" s="131" t="s">
        <v>271</v>
      </c>
      <c r="G44" s="131"/>
      <c r="H44" s="131"/>
      <c r="I44" s="131"/>
      <c r="J44" s="131"/>
      <c r="K44" s="131" t="s">
        <v>870</v>
      </c>
      <c r="L44" s="131"/>
      <c r="M44" s="131"/>
      <c r="N44" s="131"/>
      <c r="O44" s="1" t="str">
        <f>_xlfn.CONCAT(OfficeForms.Table3[[#This Row],[القطاع الغربي (Western Sector)]:[القطاع فرسان (Farasan Sector)]])</f>
        <v>مركز مخطط 6</v>
      </c>
      <c r="P44" s="132">
        <v>46092</v>
      </c>
      <c r="Q44" s="132">
        <v>45962</v>
      </c>
      <c r="R44" s="134" t="s">
        <v>1024</v>
      </c>
      <c r="S44" s="144">
        <v>36373</v>
      </c>
      <c r="T44" s="1"/>
      <c r="U44" s="137" t="s">
        <v>1025</v>
      </c>
      <c r="V44" s="123" t="s">
        <v>1026</v>
      </c>
      <c r="W44" s="138" t="s">
        <v>875</v>
      </c>
      <c r="X44" s="159" t="s">
        <v>876</v>
      </c>
      <c r="Y44" s="134" t="s">
        <v>1027</v>
      </c>
      <c r="Z44" s="131" t="s">
        <v>893</v>
      </c>
      <c r="AA44" s="155"/>
      <c r="AB44" s="131"/>
      <c r="AC44" s="155"/>
      <c r="AD44" s="131" t="s">
        <v>642</v>
      </c>
      <c r="AE44" s="131"/>
      <c r="AF44" s="1"/>
      <c r="AG44" s="131" t="s">
        <v>879</v>
      </c>
      <c r="AH44" s="131"/>
      <c r="AI44" s="313" t="s">
        <v>749</v>
      </c>
      <c r="AJ44" s="242" t="s">
        <v>1028</v>
      </c>
      <c r="AK44" s="245" t="str">
        <f t="shared" si="0"/>
        <v>✅ ملتزم</v>
      </c>
      <c r="AL44" s="249"/>
      <c r="AM44" s="241" t="s">
        <v>646</v>
      </c>
      <c r="AN44" s="255" t="s">
        <v>645</v>
      </c>
      <c r="AO44" s="260"/>
      <c r="AP44" s="261"/>
      <c r="AQ44" s="261"/>
      <c r="AR44" s="265" t="s">
        <v>646</v>
      </c>
      <c r="AS44" s="275" t="str">
        <f>IF(AR44="","",IF(ISNUMBER(SEARCH("جازان",AR44)),"مستشفى جازان العام",IF(ISNUMBER(SEARCH("صبيا",AR44)),"مستشفى صبيا العام",IF(ISNUMBER(SEARCH("عريش",AR44)),"مستشفى أبو عريش العام",IF(ISNUMBER(SEARCH("صامط",AR44)),"مستشفى صامطة العام",IF(ISNUMBER(SEARCH("بيش",AR44)),"مستشفى بيش العام",IF(ISNUMBER(SEARCH("فهد",AR44)),"مستشفى الملك فهد المركزي",AR44)))))))</f>
        <v>مستشفى جازان العام</v>
      </c>
      <c r="AT44" s="275">
        <f>ROW()-1</f>
        <v>43</v>
      </c>
      <c r="AU44" s="275"/>
      <c r="AV44" s="275">
        <f>IFERROR(NETWORKDAYS.INTL(P44,IF(ISNUMBER(AI44),AI44,DATEVALUE(AI44)),"0000011")-1,"N/A")</f>
        <v>2</v>
      </c>
      <c r="AW44" s="275"/>
      <c r="AX44" s="275"/>
      <c r="AY44" s="30" t="s">
        <v>751</v>
      </c>
    </row>
    <row r="45" spans="1:51" s="30" customFormat="1" ht="26.25">
      <c r="A45" s="127">
        <v>116</v>
      </c>
      <c r="B45" s="128">
        <v>46092.517314814802</v>
      </c>
      <c r="C45" s="128">
        <v>46092.5210532407</v>
      </c>
      <c r="D45" s="130" t="s">
        <v>662</v>
      </c>
      <c r="E45" s="130"/>
      <c r="F45" s="130" t="s">
        <v>271</v>
      </c>
      <c r="G45" s="130"/>
      <c r="H45" s="130"/>
      <c r="I45" s="130"/>
      <c r="J45" s="130"/>
      <c r="K45" s="130" t="s">
        <v>870</v>
      </c>
      <c r="L45" s="130"/>
      <c r="M45" s="130"/>
      <c r="N45" s="130"/>
      <c r="O45" s="1" t="str">
        <f>_xlfn.CONCAT(OfficeForms.Table3[[#This Row],[القطاع الغربي (Western Sector)]:[القطاع فرسان (Farasan Sector)]])</f>
        <v>مركز مخطط 6</v>
      </c>
      <c r="P45" s="133">
        <v>46092</v>
      </c>
      <c r="Q45" s="133">
        <v>46014</v>
      </c>
      <c r="R45" s="135" t="s">
        <v>1029</v>
      </c>
      <c r="S45" s="145">
        <v>32150</v>
      </c>
      <c r="T45" s="1"/>
      <c r="U45" s="136" t="s">
        <v>1030</v>
      </c>
      <c r="V45" s="148" t="s">
        <v>1031</v>
      </c>
      <c r="W45" s="139" t="s">
        <v>875</v>
      </c>
      <c r="X45" s="160" t="s">
        <v>876</v>
      </c>
      <c r="Y45" s="135" t="s">
        <v>1032</v>
      </c>
      <c r="Z45" s="130" t="s">
        <v>704</v>
      </c>
      <c r="AA45" s="154"/>
      <c r="AB45" s="130"/>
      <c r="AC45" s="154"/>
      <c r="AD45" s="157" t="s">
        <v>680</v>
      </c>
      <c r="AE45" s="130" t="s">
        <v>642</v>
      </c>
      <c r="AF45" s="1"/>
      <c r="AG45" s="130" t="s">
        <v>879</v>
      </c>
      <c r="AH45" s="130"/>
      <c r="AI45" s="313" t="s">
        <v>749</v>
      </c>
      <c r="AJ45" s="242" t="s">
        <v>645</v>
      </c>
      <c r="AK45" s="245" t="str">
        <f t="shared" si="0"/>
        <v>✅ ملتزم</v>
      </c>
      <c r="AL45" s="249"/>
      <c r="AM45" s="241" t="s">
        <v>646</v>
      </c>
      <c r="AN45" s="257" t="s">
        <v>1028</v>
      </c>
      <c r="AO45" s="260"/>
      <c r="AP45" s="261"/>
      <c r="AQ45" s="261"/>
      <c r="AR45" s="266" t="s">
        <v>646</v>
      </c>
      <c r="AS45" s="275" t="str">
        <f>IF(AR45="","",IF(ISNUMBER(SEARCH("جازان",AR45)),"مستشفى جازان العام",IF(ISNUMBER(SEARCH("صبيا",AR45)),"مستشفى صبيا العام",IF(ISNUMBER(SEARCH("عريش",AR45)),"مستشفى أبو عريش العام",IF(ISNUMBER(SEARCH("صامط",AR45)),"مستشفى صامطة العام",IF(ISNUMBER(SEARCH("بيش",AR45)),"مستشفى بيش العام",IF(ISNUMBER(SEARCH("فهد",AR45)),"مستشفى الملك فهد المركزي",AR45)))))))</f>
        <v>مستشفى جازان العام</v>
      </c>
      <c r="AT45" s="275">
        <f>ROW()-1</f>
        <v>44</v>
      </c>
      <c r="AU45" s="275"/>
      <c r="AV45" s="275">
        <f>IFERROR(NETWORKDAYS.INTL(P45,IF(ISNUMBER(AI45),AI45,DATEVALUE(AI45)),"0000011")-1,"N/A")</f>
        <v>2</v>
      </c>
      <c r="AW45" s="275"/>
      <c r="AX45" s="275"/>
      <c r="AY45" s="30" t="s">
        <v>751</v>
      </c>
    </row>
    <row r="46" spans="1:51" s="30" customFormat="1" ht="22.5">
      <c r="A46" s="124">
        <v>117</v>
      </c>
      <c r="B46" s="125">
        <v>46092.540462962999</v>
      </c>
      <c r="C46" s="125">
        <v>46092.542939814797</v>
      </c>
      <c r="D46" s="131" t="s">
        <v>662</v>
      </c>
      <c r="E46" s="131"/>
      <c r="F46" s="131" t="s">
        <v>271</v>
      </c>
      <c r="G46" s="131"/>
      <c r="H46" s="131"/>
      <c r="I46" s="131"/>
      <c r="J46" s="131"/>
      <c r="K46" s="131" t="s">
        <v>870</v>
      </c>
      <c r="L46" s="131"/>
      <c r="M46" s="131"/>
      <c r="N46" s="131"/>
      <c r="O46" s="1" t="str">
        <f>_xlfn.CONCAT(OfficeForms.Table3[[#This Row],[القطاع الغربي (Western Sector)]:[القطاع فرسان (Farasan Sector)]])</f>
        <v>مركز مخطط 6</v>
      </c>
      <c r="P46" s="132">
        <v>46092</v>
      </c>
      <c r="Q46" s="132">
        <v>45894</v>
      </c>
      <c r="R46" s="134" t="s">
        <v>896</v>
      </c>
      <c r="S46" s="146" t="s">
        <v>1033</v>
      </c>
      <c r="T46" s="1"/>
      <c r="U46" s="137" t="s">
        <v>1034</v>
      </c>
      <c r="V46" s="123">
        <v>1067399939</v>
      </c>
      <c r="W46" s="138" t="s">
        <v>1035</v>
      </c>
      <c r="X46" s="159" t="s">
        <v>876</v>
      </c>
      <c r="Y46" s="134" t="s">
        <v>1036</v>
      </c>
      <c r="Z46" s="131" t="s">
        <v>984</v>
      </c>
      <c r="AA46" s="155"/>
      <c r="AB46" s="131"/>
      <c r="AC46" s="155"/>
      <c r="AD46" s="131" t="s">
        <v>642</v>
      </c>
      <c r="AE46" s="131"/>
      <c r="AF46" s="1"/>
      <c r="AG46" s="131" t="s">
        <v>1037</v>
      </c>
      <c r="AH46" s="131"/>
      <c r="AI46" s="237" t="s">
        <v>749</v>
      </c>
      <c r="AJ46" s="242" t="s">
        <v>645</v>
      </c>
      <c r="AK46" s="245" t="str">
        <f t="shared" si="0"/>
        <v>✅ ملتزم</v>
      </c>
      <c r="AL46" s="249"/>
      <c r="AM46" s="241" t="s">
        <v>53</v>
      </c>
      <c r="AN46" s="257" t="s">
        <v>645</v>
      </c>
      <c r="AO46" s="260"/>
      <c r="AP46" s="261"/>
      <c r="AQ46" s="261"/>
      <c r="AR46" s="265" t="s">
        <v>53</v>
      </c>
      <c r="AS46" s="275" t="str">
        <f>IF(AR46="","",IF(ISNUMBER(SEARCH("جازان",AR46)),"مستشفى جازان العام",IF(ISNUMBER(SEARCH("صبيا",AR46)),"مستشفى صبيا العام",IF(ISNUMBER(SEARCH("عريش",AR46)),"مستشفى أبو عريش العام",IF(ISNUMBER(SEARCH("صامط",AR46)),"مستشفى صامطة العام",IF(ISNUMBER(SEARCH("بيش",AR46)),"مستشفى بيش العام",IF(ISNUMBER(SEARCH("فهد",AR46)),"مستشفى الملك فهد المركزي",AR46)))))))</f>
        <v>مستشفى جازان العام</v>
      </c>
      <c r="AT46" s="275">
        <f>ROW()-1</f>
        <v>45</v>
      </c>
      <c r="AU46" s="275"/>
      <c r="AV46" s="275">
        <f>IFERROR(NETWORKDAYS.INTL(P46,IF(ISNUMBER(AI46),AI46,DATEVALUE(AI46)),"0000011")-1,"N/A")</f>
        <v>2</v>
      </c>
      <c r="AW46" s="275"/>
      <c r="AX46" s="275"/>
    </row>
    <row r="47" spans="1:51" s="30" customFormat="1" ht="22.5">
      <c r="A47" s="127">
        <v>118</v>
      </c>
      <c r="B47" s="128">
        <v>46092.6070833333</v>
      </c>
      <c r="C47" s="128">
        <v>46092.613402777803</v>
      </c>
      <c r="D47" s="130" t="s">
        <v>662</v>
      </c>
      <c r="E47" s="130"/>
      <c r="F47" s="130" t="s">
        <v>275</v>
      </c>
      <c r="G47" s="130" t="s">
        <v>778</v>
      </c>
      <c r="H47" s="130"/>
      <c r="I47" s="130"/>
      <c r="J47" s="130"/>
      <c r="K47" s="130"/>
      <c r="L47" s="130"/>
      <c r="M47" s="130"/>
      <c r="N47" s="130"/>
      <c r="O47" s="1" t="str">
        <f>_xlfn.CONCAT(OfficeForms.Table3[[#This Row],[القطاع الغربي (Western Sector)]:[القطاع فرسان (Farasan Sector)]])</f>
        <v>مركز الغراء</v>
      </c>
      <c r="P47" s="133">
        <v>46092</v>
      </c>
      <c r="Q47" s="133">
        <v>46057</v>
      </c>
      <c r="R47" s="135" t="s">
        <v>654</v>
      </c>
      <c r="S47" s="145">
        <v>46337</v>
      </c>
      <c r="T47" s="1"/>
      <c r="U47" s="136" t="s">
        <v>1038</v>
      </c>
      <c r="V47" s="148" t="s">
        <v>1039</v>
      </c>
      <c r="W47" s="139" t="s">
        <v>1040</v>
      </c>
      <c r="X47" s="160" t="s">
        <v>1041</v>
      </c>
      <c r="Y47" s="135" t="s">
        <v>1042</v>
      </c>
      <c r="Z47" s="130" t="s">
        <v>962</v>
      </c>
      <c r="AA47" s="154" t="s">
        <v>736</v>
      </c>
      <c r="AB47" s="130" t="s">
        <v>821</v>
      </c>
      <c r="AC47" s="154"/>
      <c r="AD47" s="157" t="s">
        <v>680</v>
      </c>
      <c r="AE47" s="130" t="s">
        <v>642</v>
      </c>
      <c r="AF47" s="1"/>
      <c r="AG47" s="130" t="s">
        <v>786</v>
      </c>
      <c r="AH47" s="130"/>
      <c r="AI47" s="237" t="s">
        <v>1043</v>
      </c>
      <c r="AJ47" s="242" t="s">
        <v>1044</v>
      </c>
      <c r="AK47" s="245" t="str">
        <f t="shared" si="0"/>
        <v>❌ غير ملتزم</v>
      </c>
      <c r="AL47" s="249"/>
      <c r="AM47" s="241" t="s">
        <v>57</v>
      </c>
      <c r="AN47" s="255" t="s">
        <v>645</v>
      </c>
      <c r="AO47" s="260"/>
      <c r="AP47" s="261"/>
      <c r="AQ47" s="261"/>
      <c r="AR47" s="266" t="s">
        <v>57</v>
      </c>
      <c r="AS47" s="275" t="str">
        <f>IF(AR47="","",IF(ISNUMBER(SEARCH("جازان",AR47)),"مستشفى جازان العام",IF(ISNUMBER(SEARCH("صبيا",AR47)),"مستشفى صبيا العام",IF(ISNUMBER(SEARCH("عريش",AR47)),"مستشفى أبو عريش العام",IF(ISNUMBER(SEARCH("صامط",AR47)),"مستشفى صامطة العام",IF(ISNUMBER(SEARCH("بيش",AR47)),"مستشفى بيش العام",IF(ISNUMBER(SEARCH("فهد",AR47)),"مستشفى الملك فهد المركزي",AR47)))))))</f>
        <v>مستشفى صبيا العام</v>
      </c>
      <c r="AT47" s="275">
        <f>ROW()-1</f>
        <v>46</v>
      </c>
      <c r="AU47" s="275"/>
      <c r="AV47" s="275">
        <f>IFERROR(NETWORKDAYS.INTL(P47,IF(ISNUMBER(AI47),AI47,DATEVALUE(AI47)),"0000011")-1,"N/A")</f>
        <v>11</v>
      </c>
      <c r="AW47" s="275"/>
      <c r="AX47" s="275"/>
    </row>
    <row r="48" spans="1:51" s="30" customFormat="1" ht="51">
      <c r="A48" s="124">
        <v>119</v>
      </c>
      <c r="B48" s="125">
        <v>46092.631412037001</v>
      </c>
      <c r="C48" s="125">
        <v>46092.636666666702</v>
      </c>
      <c r="D48" s="131" t="s">
        <v>662</v>
      </c>
      <c r="E48" s="131"/>
      <c r="F48" s="131" t="s">
        <v>271</v>
      </c>
      <c r="G48" s="131"/>
      <c r="H48" s="131"/>
      <c r="I48" s="131"/>
      <c r="J48" s="131"/>
      <c r="K48" s="131" t="s">
        <v>696</v>
      </c>
      <c r="L48" s="131"/>
      <c r="M48" s="131"/>
      <c r="N48" s="131"/>
      <c r="O48" s="1" t="str">
        <f>_xlfn.CONCAT(OfficeForms.Table3[[#This Row],[القطاع الغربي (Western Sector)]:[القطاع فرسان (Farasan Sector)]])</f>
        <v>الكربوس</v>
      </c>
      <c r="P48" s="132">
        <v>46092</v>
      </c>
      <c r="Q48" s="132">
        <v>45980</v>
      </c>
      <c r="R48" s="134" t="s">
        <v>1045</v>
      </c>
      <c r="S48" s="146" t="s">
        <v>1046</v>
      </c>
      <c r="T48" s="1"/>
      <c r="U48" s="137" t="s">
        <v>1047</v>
      </c>
      <c r="V48" s="123" t="s">
        <v>1048</v>
      </c>
      <c r="W48" s="138" t="s">
        <v>696</v>
      </c>
      <c r="X48" s="159" t="s">
        <v>702</v>
      </c>
      <c r="Y48" s="134" t="s">
        <v>1049</v>
      </c>
      <c r="Z48" s="131"/>
      <c r="AA48" s="155" t="s">
        <v>1050</v>
      </c>
      <c r="AB48" s="131" t="s">
        <v>821</v>
      </c>
      <c r="AC48" s="155"/>
      <c r="AD48" s="131" t="s">
        <v>642</v>
      </c>
      <c r="AE48" s="131"/>
      <c r="AF48" s="1"/>
      <c r="AG48" s="131" t="s">
        <v>705</v>
      </c>
      <c r="AH48" s="131"/>
      <c r="AI48" s="237" t="s">
        <v>895</v>
      </c>
      <c r="AJ48" s="242" t="s">
        <v>645</v>
      </c>
      <c r="AK48" s="245" t="str">
        <f t="shared" si="0"/>
        <v>❌ غير ملتزم</v>
      </c>
      <c r="AL48" s="249"/>
      <c r="AM48" s="241" t="s">
        <v>53</v>
      </c>
      <c r="AN48" s="257" t="s">
        <v>1044</v>
      </c>
      <c r="AO48" s="260"/>
      <c r="AP48" s="261"/>
      <c r="AQ48" s="261"/>
      <c r="AR48" s="265" t="s">
        <v>53</v>
      </c>
      <c r="AS48" s="275" t="str">
        <f>IF(AR48="","",IF(ISNUMBER(SEARCH("جازان",AR48)),"مستشفى جازان العام",IF(ISNUMBER(SEARCH("صبيا",AR48)),"مستشفى صبيا العام",IF(ISNUMBER(SEARCH("عريش",AR48)),"مستشفى أبو عريش العام",IF(ISNUMBER(SEARCH("صامط",AR48)),"مستشفى صامطة العام",IF(ISNUMBER(SEARCH("بيش",AR48)),"مستشفى بيش العام",IF(ISNUMBER(SEARCH("فهد",AR48)),"مستشفى الملك فهد المركزي",AR48)))))))</f>
        <v>مستشفى جازان العام</v>
      </c>
      <c r="AT48" s="275">
        <f>ROW()-1</f>
        <v>47</v>
      </c>
      <c r="AU48" s="275"/>
      <c r="AV48" s="275">
        <f>IFERROR(NETWORKDAYS.INTL(P48,IF(ISNUMBER(AI48),AI48,DATEVALUE(AI48)),"0000011")-1,"N/A")</f>
        <v>16</v>
      </c>
      <c r="AW48" s="275"/>
      <c r="AX48" s="275"/>
    </row>
    <row r="49" spans="1:51" s="30" customFormat="1" ht="26.25">
      <c r="A49" s="127">
        <v>121</v>
      </c>
      <c r="B49" s="128">
        <v>46093.414178240702</v>
      </c>
      <c r="C49" s="128">
        <v>46093.472141203703</v>
      </c>
      <c r="D49" s="130" t="s">
        <v>662</v>
      </c>
      <c r="E49" s="130"/>
      <c r="F49" s="130" t="s">
        <v>275</v>
      </c>
      <c r="G49" s="130" t="s">
        <v>802</v>
      </c>
      <c r="H49" s="130"/>
      <c r="I49" s="130"/>
      <c r="J49" s="130"/>
      <c r="K49" s="130"/>
      <c r="L49" s="130"/>
      <c r="M49" s="130"/>
      <c r="N49" s="130"/>
      <c r="O49" s="1" t="str">
        <f>_xlfn.CONCAT(OfficeForms.Table3[[#This Row],[القطاع الغربي (Western Sector)]:[القطاع فرسان (Farasan Sector)]])</f>
        <v>مركز الصهاليل</v>
      </c>
      <c r="P49" s="133">
        <v>46093</v>
      </c>
      <c r="Q49" s="133">
        <v>45989</v>
      </c>
      <c r="R49" s="135" t="s">
        <v>1051</v>
      </c>
      <c r="S49" s="145">
        <v>35662</v>
      </c>
      <c r="T49" s="1"/>
      <c r="U49" s="136" t="s">
        <v>1052</v>
      </c>
      <c r="V49" s="148" t="s">
        <v>1053</v>
      </c>
      <c r="W49" s="139" t="s">
        <v>973</v>
      </c>
      <c r="X49" s="160" t="s">
        <v>808</v>
      </c>
      <c r="Y49" s="135" t="s">
        <v>1054</v>
      </c>
      <c r="Z49" s="130"/>
      <c r="AA49" s="154" t="s">
        <v>691</v>
      </c>
      <c r="AB49" s="130"/>
      <c r="AC49" s="154"/>
      <c r="AD49" s="130" t="s">
        <v>642</v>
      </c>
      <c r="AE49" s="130"/>
      <c r="AF49" s="1"/>
      <c r="AG49" s="130" t="s">
        <v>810</v>
      </c>
      <c r="AH49" s="130" t="s">
        <v>693</v>
      </c>
      <c r="AI49" s="237" t="s">
        <v>787</v>
      </c>
      <c r="AJ49" s="242" t="s">
        <v>645</v>
      </c>
      <c r="AK49" s="245" t="str">
        <f t="shared" si="0"/>
        <v>❌ غير ملتزم</v>
      </c>
      <c r="AL49" s="249"/>
      <c r="AM49" s="241" t="s">
        <v>57</v>
      </c>
      <c r="AN49" s="257" t="s">
        <v>645</v>
      </c>
      <c r="AO49" s="260"/>
      <c r="AP49" s="261"/>
      <c r="AQ49" s="261"/>
      <c r="AR49" s="266" t="s">
        <v>57</v>
      </c>
      <c r="AS49" s="275" t="str">
        <f>IF(AR49="","",IF(ISNUMBER(SEARCH("جازان",AR49)),"مستشفى جازان العام",IF(ISNUMBER(SEARCH("صبيا",AR49)),"مستشفى صبيا العام",IF(ISNUMBER(SEARCH("عريش",AR49)),"مستشفى أبو عريش العام",IF(ISNUMBER(SEARCH("صامط",AR49)),"مستشفى صامطة العام",IF(ISNUMBER(SEARCH("بيش",AR49)),"مستشفى بيش العام",IF(ISNUMBER(SEARCH("فهد",AR49)),"مستشفى الملك فهد المركزي",AR49)))))))</f>
        <v>مستشفى صبيا العام</v>
      </c>
      <c r="AT49" s="275">
        <f>ROW()-1</f>
        <v>48</v>
      </c>
      <c r="AU49" s="275"/>
      <c r="AV49" s="275">
        <f>IFERROR(NETWORKDAYS.INTL(P49,IF(ISNUMBER(AI49),AI49,DATEVALUE(AI49)),"0000011")-1,"N/A")</f>
        <v>5</v>
      </c>
      <c r="AW49" s="275"/>
      <c r="AX49" s="275"/>
    </row>
    <row r="50" spans="1:51" s="30" customFormat="1" ht="51">
      <c r="A50" s="124">
        <v>122</v>
      </c>
      <c r="B50" s="125">
        <v>46093.487858796303</v>
      </c>
      <c r="C50" s="125">
        <v>46093.493275462999</v>
      </c>
      <c r="D50" s="131" t="s">
        <v>662</v>
      </c>
      <c r="E50" s="131"/>
      <c r="F50" s="131" t="s">
        <v>277</v>
      </c>
      <c r="G50" s="131"/>
      <c r="H50" s="131" t="s">
        <v>1055</v>
      </c>
      <c r="I50" s="131"/>
      <c r="J50" s="131"/>
      <c r="K50" s="131"/>
      <c r="L50" s="131"/>
      <c r="M50" s="131"/>
      <c r="N50" s="131"/>
      <c r="O50" s="1" t="str">
        <f>_xlfn.CONCAT(OfficeForms.Table3[[#This Row],[القطاع الغربي (Western Sector)]:[القطاع فرسان (Farasan Sector)]])</f>
        <v>مركز رمادة</v>
      </c>
      <c r="P50" s="132">
        <v>46093</v>
      </c>
      <c r="Q50" s="132">
        <v>45948</v>
      </c>
      <c r="R50" s="134" t="s">
        <v>1056</v>
      </c>
      <c r="S50" s="146" t="s">
        <v>1057</v>
      </c>
      <c r="T50" s="1"/>
      <c r="U50" s="137" t="s">
        <v>1058</v>
      </c>
      <c r="V50" s="123" t="s">
        <v>1059</v>
      </c>
      <c r="W50" s="138" t="s">
        <v>1060</v>
      </c>
      <c r="X50" s="159" t="s">
        <v>1061</v>
      </c>
      <c r="Y50" s="134" t="s">
        <v>1062</v>
      </c>
      <c r="Z50" s="131" t="s">
        <v>1063</v>
      </c>
      <c r="AA50" s="155" t="s">
        <v>1050</v>
      </c>
      <c r="AB50" s="131"/>
      <c r="AC50" s="155" t="s">
        <v>1064</v>
      </c>
      <c r="AD50" s="131" t="s">
        <v>642</v>
      </c>
      <c r="AE50" s="131"/>
      <c r="AF50" s="1"/>
      <c r="AG50" s="131" t="s">
        <v>1065</v>
      </c>
      <c r="AH50" s="131" t="s">
        <v>1005</v>
      </c>
      <c r="AI50" s="237" t="s">
        <v>694</v>
      </c>
      <c r="AJ50" s="242" t="s">
        <v>645</v>
      </c>
      <c r="AK50" s="245" t="str">
        <f t="shared" si="0"/>
        <v>✅ ملتزم</v>
      </c>
      <c r="AL50" s="249"/>
      <c r="AM50" s="241" t="s">
        <v>846</v>
      </c>
      <c r="AN50" s="255" t="s">
        <v>645</v>
      </c>
      <c r="AO50" s="260"/>
      <c r="AP50" s="261"/>
      <c r="AQ50" s="261"/>
      <c r="AR50" s="265" t="s">
        <v>846</v>
      </c>
      <c r="AS50" s="275" t="str">
        <f>IF(AR50="","",IF(ISNUMBER(SEARCH("جازان",AR50)),"مستشفى جازان العام",IF(ISNUMBER(SEARCH("صبيا",AR50)),"مستشفى صبيا العام",IF(ISNUMBER(SEARCH("عريش",AR50)),"مستشفى أبو عريش العام",IF(ISNUMBER(SEARCH("صامط",AR50)),"مستشفى صامطة العام",IF(ISNUMBER(SEARCH("بيش",AR50)),"مستشفى بيش العام",IF(ISNUMBER(SEARCH("فهد",AR50)),"مستشفى الملك فهد المركزي",AR50)))))))</f>
        <v>مستشفى أبو عريش العام</v>
      </c>
      <c r="AT50" s="275">
        <f>ROW()-1</f>
        <v>49</v>
      </c>
      <c r="AU50" s="275"/>
      <c r="AV50" s="275">
        <f>IFERROR(NETWORKDAYS.INTL(P50,IF(ISNUMBER(AI50),AI50,DATEVALUE(AI50)),"0000011")-1,"N/A")</f>
        <v>2</v>
      </c>
      <c r="AW50" s="275"/>
      <c r="AX50" s="275"/>
    </row>
    <row r="51" spans="1:51" s="30" customFormat="1" ht="22.5">
      <c r="A51" s="127">
        <v>123</v>
      </c>
      <c r="B51" s="128">
        <v>46095.663310185198</v>
      </c>
      <c r="C51" s="128">
        <v>46095.667974536998</v>
      </c>
      <c r="D51" s="130" t="s">
        <v>662</v>
      </c>
      <c r="E51" s="130"/>
      <c r="F51" s="130" t="s">
        <v>943</v>
      </c>
      <c r="G51" s="130"/>
      <c r="H51" s="130"/>
      <c r="I51" s="130" t="s">
        <v>1066</v>
      </c>
      <c r="J51" s="130"/>
      <c r="K51" s="130"/>
      <c r="L51" s="130"/>
      <c r="M51" s="130"/>
      <c r="N51" s="130"/>
      <c r="O51" s="1" t="str">
        <f>_xlfn.CONCAT(OfficeForms.Table3[[#This Row],[القطاع الغربي (Western Sector)]:[القطاع فرسان (Farasan Sector)]])</f>
        <v>حاكمة ابي عريش</v>
      </c>
      <c r="P51" s="133">
        <v>46095</v>
      </c>
      <c r="Q51" s="133">
        <v>46002</v>
      </c>
      <c r="R51" s="135" t="s">
        <v>1067</v>
      </c>
      <c r="S51" s="147" t="s">
        <v>1068</v>
      </c>
      <c r="T51" s="1"/>
      <c r="U51" s="136" t="s">
        <v>1069</v>
      </c>
      <c r="V51" s="149">
        <v>1065360172</v>
      </c>
      <c r="W51" s="139" t="s">
        <v>1070</v>
      </c>
      <c r="X51" s="129">
        <v>582889202</v>
      </c>
      <c r="Y51" s="135" t="s">
        <v>1071</v>
      </c>
      <c r="Z51" s="130"/>
      <c r="AA51" s="154" t="s">
        <v>736</v>
      </c>
      <c r="AB51" s="130"/>
      <c r="AC51" s="154"/>
      <c r="AD51" s="130" t="s">
        <v>642</v>
      </c>
      <c r="AE51" s="130"/>
      <c r="AF51" s="1"/>
      <c r="AG51" s="130" t="s">
        <v>1072</v>
      </c>
      <c r="AH51" s="130" t="s">
        <v>1073</v>
      </c>
      <c r="AI51" s="237" t="s">
        <v>762</v>
      </c>
      <c r="AJ51" s="242" t="s">
        <v>695</v>
      </c>
      <c r="AK51" s="245" t="str">
        <f t="shared" si="0"/>
        <v>✅ ملتزم</v>
      </c>
      <c r="AL51" s="249"/>
      <c r="AM51" s="241" t="s">
        <v>1074</v>
      </c>
      <c r="AN51" s="255" t="s">
        <v>645</v>
      </c>
      <c r="AO51" s="260"/>
      <c r="AP51" s="261"/>
      <c r="AQ51" s="261"/>
      <c r="AR51" s="270" t="s">
        <v>1074</v>
      </c>
      <c r="AS51" s="275" t="str">
        <f>IF(AR51="","",IF(ISNUMBER(SEARCH("جازان",AR51)),"مستشفى جازان العام",IF(ISNUMBER(SEARCH("صبيا",AR51)),"مستشفى صبيا العام",IF(ISNUMBER(SEARCH("عريش",AR51)),"مستشفى أبو عريش العام",IF(ISNUMBER(SEARCH("صامط",AR51)),"مستشفى صامطة العام",IF(ISNUMBER(SEARCH("بيش",AR51)),"مستشفى بيش العام",IF(ISNUMBER(SEARCH("فهد",AR51)),"مستشفى الملك فهد المركزي",AR51)))))))</f>
        <v>مستشفى أبو عريش العام</v>
      </c>
      <c r="AT51" s="275">
        <f>ROW()-1</f>
        <v>50</v>
      </c>
      <c r="AU51" s="275"/>
      <c r="AV51" s="275">
        <f>IFERROR(NETWORKDAYS.INTL(P51,IF(ISNUMBER(AI51),AI51,DATEVALUE(AI51)),"0000011")-1,"N/A")</f>
        <v>2</v>
      </c>
      <c r="AW51" s="275"/>
      <c r="AX51" s="275"/>
    </row>
    <row r="52" spans="1:51" s="30" customFormat="1" ht="26.25">
      <c r="A52" s="124">
        <v>124</v>
      </c>
      <c r="B52" s="125">
        <v>46096.481493055602</v>
      </c>
      <c r="C52" s="125">
        <v>46096.4842824074</v>
      </c>
      <c r="D52" s="131" t="s">
        <v>662</v>
      </c>
      <c r="E52" s="131"/>
      <c r="F52" s="131" t="s">
        <v>275</v>
      </c>
      <c r="G52" s="131" t="s">
        <v>802</v>
      </c>
      <c r="H52" s="131"/>
      <c r="I52" s="131"/>
      <c r="J52" s="131"/>
      <c r="K52" s="131"/>
      <c r="L52" s="131"/>
      <c r="M52" s="131"/>
      <c r="N52" s="131"/>
      <c r="O52" s="1" t="str">
        <f>_xlfn.CONCAT(OfficeForms.Table3[[#This Row],[القطاع الغربي (Western Sector)]:[القطاع فرسان (Farasan Sector)]])</f>
        <v>مركز الصهاليل</v>
      </c>
      <c r="P52" s="132">
        <v>46096</v>
      </c>
      <c r="Q52" s="132">
        <v>45852</v>
      </c>
      <c r="R52" s="134" t="s">
        <v>1075</v>
      </c>
      <c r="S52" s="146" t="s">
        <v>1076</v>
      </c>
      <c r="T52" s="1"/>
      <c r="U52" s="150" t="s">
        <v>1077</v>
      </c>
      <c r="V52" s="123" t="s">
        <v>1078</v>
      </c>
      <c r="W52" s="138" t="s">
        <v>973</v>
      </c>
      <c r="X52" s="159" t="s">
        <v>808</v>
      </c>
      <c r="Y52" s="134" t="s">
        <v>1079</v>
      </c>
      <c r="Z52" s="131"/>
      <c r="AA52" s="155"/>
      <c r="AB52" s="131" t="s">
        <v>821</v>
      </c>
      <c r="AC52" s="155"/>
      <c r="AD52" s="131" t="s">
        <v>642</v>
      </c>
      <c r="AE52" s="131"/>
      <c r="AF52" s="1"/>
      <c r="AG52" s="131" t="s">
        <v>810</v>
      </c>
      <c r="AH52" s="131" t="s">
        <v>1080</v>
      </c>
      <c r="AI52" s="237" t="s">
        <v>787</v>
      </c>
      <c r="AJ52" s="242" t="s">
        <v>695</v>
      </c>
      <c r="AK52" s="245" t="str">
        <f t="shared" si="0"/>
        <v>❌ غير ملتزم</v>
      </c>
      <c r="AL52" s="249"/>
      <c r="AM52" s="241" t="s">
        <v>57</v>
      </c>
      <c r="AN52" s="255" t="s">
        <v>695</v>
      </c>
      <c r="AO52" s="260"/>
      <c r="AP52" s="261"/>
      <c r="AQ52" s="261"/>
      <c r="AR52" s="265" t="s">
        <v>57</v>
      </c>
      <c r="AS52" s="275" t="str">
        <f>IF(AR52="","",IF(ISNUMBER(SEARCH("جازان",AR52)),"مستشفى جازان العام",IF(ISNUMBER(SEARCH("صبيا",AR52)),"مستشفى صبيا العام",IF(ISNUMBER(SEARCH("عريش",AR52)),"مستشفى أبو عريش العام",IF(ISNUMBER(SEARCH("صامط",AR52)),"مستشفى صامطة العام",IF(ISNUMBER(SEARCH("بيش",AR52)),"مستشفى بيش العام",IF(ISNUMBER(SEARCH("فهد",AR52)),"مستشفى الملك فهد المركزي",AR52)))))))</f>
        <v>مستشفى صبيا العام</v>
      </c>
      <c r="AT52" s="275">
        <f>ROW()-1</f>
        <v>51</v>
      </c>
      <c r="AU52" s="275"/>
      <c r="AV52" s="275">
        <f>IFERROR(NETWORKDAYS.INTL(P52,IF(ISNUMBER(AI52),AI52,DATEVALUE(AI52)),"0000011")-1,"N/A")</f>
        <v>3</v>
      </c>
      <c r="AW52" s="275"/>
      <c r="AX52" s="275"/>
    </row>
    <row r="53" spans="1:51" s="30" customFormat="1" ht="26.25">
      <c r="A53" s="127">
        <v>126</v>
      </c>
      <c r="B53" s="128">
        <v>46096.489918981497</v>
      </c>
      <c r="C53" s="128">
        <v>46096.493194444403</v>
      </c>
      <c r="D53" s="130" t="s">
        <v>662</v>
      </c>
      <c r="E53" s="130"/>
      <c r="F53" s="130" t="s">
        <v>271</v>
      </c>
      <c r="G53" s="130"/>
      <c r="H53" s="130"/>
      <c r="I53" s="130"/>
      <c r="J53" s="130"/>
      <c r="K53" s="130" t="s">
        <v>880</v>
      </c>
      <c r="L53" s="130"/>
      <c r="M53" s="130"/>
      <c r="N53" s="130"/>
      <c r="O53" s="1" t="str">
        <f>_xlfn.CONCAT(OfficeForms.Table3[[#This Row],[القطاع الغربي (Western Sector)]:[القطاع فرسان (Farasan Sector)]])</f>
        <v>مركز مخطط 5</v>
      </c>
      <c r="P53" s="133">
        <v>46096</v>
      </c>
      <c r="Q53" s="133">
        <v>46051</v>
      </c>
      <c r="R53" s="135" t="s">
        <v>945</v>
      </c>
      <c r="S53" s="147" t="s">
        <v>1081</v>
      </c>
      <c r="T53" s="1"/>
      <c r="U53" s="136" t="s">
        <v>1082</v>
      </c>
      <c r="V53" s="148" t="s">
        <v>1083</v>
      </c>
      <c r="W53" s="139" t="s">
        <v>1002</v>
      </c>
      <c r="X53" s="160" t="s">
        <v>901</v>
      </c>
      <c r="Y53" s="135" t="s">
        <v>1084</v>
      </c>
      <c r="Z53" s="130" t="s">
        <v>984</v>
      </c>
      <c r="AA53" s="154" t="s">
        <v>903</v>
      </c>
      <c r="AB53" s="130"/>
      <c r="AC53" s="154"/>
      <c r="AD53" s="130" t="s">
        <v>642</v>
      </c>
      <c r="AE53" s="130"/>
      <c r="AF53" s="1"/>
      <c r="AG53" s="130" t="s">
        <v>905</v>
      </c>
      <c r="AH53" s="130"/>
      <c r="AI53" s="237" t="s">
        <v>762</v>
      </c>
      <c r="AJ53" s="242" t="s">
        <v>645</v>
      </c>
      <c r="AK53" s="245" t="str">
        <f t="shared" si="0"/>
        <v>✅ ملتزم</v>
      </c>
      <c r="AL53" s="249"/>
      <c r="AM53" s="241" t="s">
        <v>53</v>
      </c>
      <c r="AN53" s="255" t="s">
        <v>695</v>
      </c>
      <c r="AO53" s="260"/>
      <c r="AP53" s="261"/>
      <c r="AQ53" s="261"/>
      <c r="AR53" s="266" t="s">
        <v>53</v>
      </c>
      <c r="AS53" s="275" t="str">
        <f>IF(AR53="","",IF(ISNUMBER(SEARCH("جازان",AR53)),"مستشفى جازان العام",IF(ISNUMBER(SEARCH("صبيا",AR53)),"مستشفى صبيا العام",IF(ISNUMBER(SEARCH("عريش",AR53)),"مستشفى أبو عريش العام",IF(ISNUMBER(SEARCH("صامط",AR53)),"مستشفى صامطة العام",IF(ISNUMBER(SEARCH("بيش",AR53)),"مستشفى بيش العام",IF(ISNUMBER(SEARCH("فهد",AR53)),"مستشفى الملك فهد المركزي",AR53)))))))</f>
        <v>مستشفى جازان العام</v>
      </c>
      <c r="AT53" s="275">
        <f>ROW()-1</f>
        <v>52</v>
      </c>
      <c r="AU53" s="275"/>
      <c r="AV53" s="275">
        <f>IFERROR(NETWORKDAYS.INTL(P53,IF(ISNUMBER(AI53),AI53,DATEVALUE(AI53)),"0000011")-1,"N/A")</f>
        <v>2</v>
      </c>
      <c r="AW53" s="275"/>
      <c r="AX53" s="275"/>
    </row>
    <row r="54" spans="1:51" s="30" customFormat="1" ht="22.5">
      <c r="A54" s="124">
        <v>127</v>
      </c>
      <c r="B54" s="125">
        <v>46096.489363425899</v>
      </c>
      <c r="C54" s="125">
        <v>46096.494085648097</v>
      </c>
      <c r="D54" s="131" t="s">
        <v>662</v>
      </c>
      <c r="E54" s="131"/>
      <c r="F54" s="131" t="s">
        <v>280</v>
      </c>
      <c r="G54" s="131"/>
      <c r="H54" s="131"/>
      <c r="I54" s="131"/>
      <c r="J54" s="131"/>
      <c r="K54" s="131"/>
      <c r="L54" s="131" t="s">
        <v>1085</v>
      </c>
      <c r="M54" s="131"/>
      <c r="N54" s="131"/>
      <c r="O54" s="1" t="str">
        <f>_xlfn.CONCAT(OfficeForms.Table3[[#This Row],[القطاع الغربي (Western Sector)]:[القطاع فرسان (Farasan Sector)]])</f>
        <v>مركز بلغازي</v>
      </c>
      <c r="P54" s="132">
        <v>46096</v>
      </c>
      <c r="Q54" s="132">
        <v>45839</v>
      </c>
      <c r="R54" s="134" t="s">
        <v>1086</v>
      </c>
      <c r="S54" s="144">
        <v>37135</v>
      </c>
      <c r="T54" s="1"/>
      <c r="U54" s="137" t="s">
        <v>1087</v>
      </c>
      <c r="V54" s="123" t="s">
        <v>1088</v>
      </c>
      <c r="W54" s="138" t="s">
        <v>1089</v>
      </c>
      <c r="X54" s="159" t="s">
        <v>1090</v>
      </c>
      <c r="Y54" s="134" t="s">
        <v>1091</v>
      </c>
      <c r="Z54" s="131"/>
      <c r="AA54" s="155" t="s">
        <v>736</v>
      </c>
      <c r="AB54" s="131"/>
      <c r="AC54" s="155" t="s">
        <v>642</v>
      </c>
      <c r="AD54" s="131" t="s">
        <v>642</v>
      </c>
      <c r="AE54" s="131"/>
      <c r="AF54" s="1"/>
      <c r="AG54" s="131" t="s">
        <v>1092</v>
      </c>
      <c r="AH54" s="131" t="s">
        <v>1093</v>
      </c>
      <c r="AI54" s="237" t="s">
        <v>787</v>
      </c>
      <c r="AJ54" s="242" t="s">
        <v>1094</v>
      </c>
      <c r="AK54" s="245" t="str">
        <f t="shared" si="0"/>
        <v>❌ غير ملتزم</v>
      </c>
      <c r="AL54" s="249"/>
      <c r="AM54" s="241" t="s">
        <v>57</v>
      </c>
      <c r="AN54" s="255" t="s">
        <v>645</v>
      </c>
      <c r="AO54" s="260"/>
      <c r="AP54" s="261"/>
      <c r="AQ54" s="261"/>
      <c r="AR54" s="265" t="s">
        <v>57</v>
      </c>
      <c r="AS54" s="275" t="str">
        <f>IF(AR54="","",IF(ISNUMBER(SEARCH("جازان",AR54)),"مستشفى جازان العام",IF(ISNUMBER(SEARCH("صبيا",AR54)),"مستشفى صبيا العام",IF(ISNUMBER(SEARCH("عريش",AR54)),"مستشفى أبو عريش العام",IF(ISNUMBER(SEARCH("صامط",AR54)),"مستشفى صامطة العام",IF(ISNUMBER(SEARCH("بيش",AR54)),"مستشفى بيش العام",IF(ISNUMBER(SEARCH("فهد",AR54)),"مستشفى الملك فهد المركزي",AR54)))))))</f>
        <v>مستشفى صبيا العام</v>
      </c>
      <c r="AT54" s="275">
        <f>ROW()-1</f>
        <v>53</v>
      </c>
      <c r="AU54" s="275"/>
      <c r="AV54" s="275">
        <f>IFERROR(NETWORKDAYS.INTL(P54,IF(ISNUMBER(AI54),AI54,DATEVALUE(AI54)),"0000011")-1,"N/A")</f>
        <v>3</v>
      </c>
      <c r="AW54" s="275"/>
      <c r="AX54" s="275"/>
    </row>
    <row r="55" spans="1:51" s="30" customFormat="1" ht="26.25">
      <c r="A55" s="127">
        <v>128</v>
      </c>
      <c r="B55" s="128">
        <v>46096.597708333298</v>
      </c>
      <c r="C55" s="128">
        <v>46096.603750000002</v>
      </c>
      <c r="D55" s="130" t="s">
        <v>662</v>
      </c>
      <c r="E55" s="130"/>
      <c r="F55" s="130" t="s">
        <v>271</v>
      </c>
      <c r="G55" s="130"/>
      <c r="H55" s="130"/>
      <c r="I55" s="130"/>
      <c r="J55" s="130"/>
      <c r="K55" s="130" t="s">
        <v>663</v>
      </c>
      <c r="L55" s="130"/>
      <c r="M55" s="130"/>
      <c r="N55" s="130"/>
      <c r="O55" s="1" t="str">
        <f>_xlfn.CONCAT(OfficeForms.Table3[[#This Row],[القطاع الغربي (Western Sector)]:[القطاع فرسان (Farasan Sector)]])</f>
        <v>مركز الشاطىء</v>
      </c>
      <c r="P55" s="133">
        <v>46096</v>
      </c>
      <c r="Q55" s="133">
        <v>45842</v>
      </c>
      <c r="R55" s="135" t="s">
        <v>1095</v>
      </c>
      <c r="S55" s="145">
        <v>46330</v>
      </c>
      <c r="T55" s="1"/>
      <c r="U55" s="136" t="s">
        <v>1096</v>
      </c>
      <c r="V55" s="148" t="s">
        <v>1097</v>
      </c>
      <c r="W55" s="139" t="s">
        <v>1098</v>
      </c>
      <c r="X55" s="160" t="s">
        <v>1099</v>
      </c>
      <c r="Y55" s="135" t="s">
        <v>1100</v>
      </c>
      <c r="Z55" s="130"/>
      <c r="AA55" s="154" t="s">
        <v>903</v>
      </c>
      <c r="AB55" s="130"/>
      <c r="AC55" s="154"/>
      <c r="AD55" s="130" t="s">
        <v>642</v>
      </c>
      <c r="AE55" s="130"/>
      <c r="AF55" s="1"/>
      <c r="AG55" s="130" t="s">
        <v>1101</v>
      </c>
      <c r="AH55" s="130"/>
      <c r="AI55" s="237" t="s">
        <v>787</v>
      </c>
      <c r="AJ55" s="242" t="s">
        <v>645</v>
      </c>
      <c r="AK55" s="245" t="str">
        <f t="shared" si="0"/>
        <v>❌ غير ملتزم</v>
      </c>
      <c r="AL55" s="249"/>
      <c r="AM55" s="241" t="s">
        <v>53</v>
      </c>
      <c r="AN55" s="257" t="s">
        <v>1094</v>
      </c>
      <c r="AO55" s="260"/>
      <c r="AP55" s="261"/>
      <c r="AQ55" s="261"/>
      <c r="AR55" s="266" t="s">
        <v>53</v>
      </c>
      <c r="AS55" s="275" t="str">
        <f>IF(AR55="","",IF(ISNUMBER(SEARCH("جازان",AR55)),"مستشفى جازان العام",IF(ISNUMBER(SEARCH("صبيا",AR55)),"مستشفى صبيا العام",IF(ISNUMBER(SEARCH("عريش",AR55)),"مستشفى أبو عريش العام",IF(ISNUMBER(SEARCH("صامط",AR55)),"مستشفى صامطة العام",IF(ISNUMBER(SEARCH("بيش",AR55)),"مستشفى بيش العام",IF(ISNUMBER(SEARCH("فهد",AR55)),"مستشفى الملك فهد المركزي",AR55)))))))</f>
        <v>مستشفى جازان العام</v>
      </c>
      <c r="AT55" s="275">
        <f>ROW()-1</f>
        <v>54</v>
      </c>
      <c r="AU55" s="275"/>
      <c r="AV55" s="275">
        <f>IFERROR(NETWORKDAYS.INTL(P55,IF(ISNUMBER(AI55),AI55,DATEVALUE(AI55)),"0000011")-1,"N/A")</f>
        <v>3</v>
      </c>
      <c r="AW55" s="275"/>
      <c r="AX55" s="275"/>
    </row>
    <row r="56" spans="1:51" s="30" customFormat="1" ht="22.5">
      <c r="A56" s="124">
        <v>129</v>
      </c>
      <c r="B56" s="125">
        <v>46096.6250462963</v>
      </c>
      <c r="C56" s="125">
        <v>46096.629722222198</v>
      </c>
      <c r="D56" s="131" t="s">
        <v>662</v>
      </c>
      <c r="E56" s="131"/>
      <c r="F56" s="131" t="s">
        <v>277</v>
      </c>
      <c r="G56" s="131"/>
      <c r="H56" s="131" t="s">
        <v>738</v>
      </c>
      <c r="I56" s="131"/>
      <c r="J56" s="131"/>
      <c r="K56" s="131"/>
      <c r="L56" s="131"/>
      <c r="M56" s="131"/>
      <c r="N56" s="131"/>
      <c r="O56" s="1" t="str">
        <f>_xlfn.CONCAT(OfficeForms.Table3[[#This Row],[القطاع الغربي (Western Sector)]:[القطاع فرسان (Farasan Sector)]])</f>
        <v>مركز الخارش</v>
      </c>
      <c r="P56" s="132">
        <v>46096</v>
      </c>
      <c r="Q56" s="132">
        <v>46048</v>
      </c>
      <c r="R56" s="134" t="s">
        <v>1102</v>
      </c>
      <c r="S56" s="144">
        <v>32143</v>
      </c>
      <c r="T56" s="1"/>
      <c r="U56" s="137" t="s">
        <v>1103</v>
      </c>
      <c r="V56" s="123" t="s">
        <v>1104</v>
      </c>
      <c r="W56" s="138" t="s">
        <v>1105</v>
      </c>
      <c r="X56" s="159" t="s">
        <v>744</v>
      </c>
      <c r="Y56" s="134" t="s">
        <v>1106</v>
      </c>
      <c r="Z56" s="131" t="s">
        <v>984</v>
      </c>
      <c r="AA56" s="155"/>
      <c r="AB56" s="131"/>
      <c r="AC56" s="155" t="s">
        <v>747</v>
      </c>
      <c r="AD56" s="131" t="s">
        <v>642</v>
      </c>
      <c r="AE56" s="131"/>
      <c r="AF56" s="1"/>
      <c r="AG56" s="131" t="s">
        <v>1107</v>
      </c>
      <c r="AH56" s="131" t="s">
        <v>1108</v>
      </c>
      <c r="AI56" s="237" t="s">
        <v>762</v>
      </c>
      <c r="AJ56" s="242" t="s">
        <v>645</v>
      </c>
      <c r="AK56" s="245" t="str">
        <f t="shared" si="0"/>
        <v>✅ ملتزم</v>
      </c>
      <c r="AL56" s="249"/>
      <c r="AM56" s="241" t="s">
        <v>65</v>
      </c>
      <c r="AN56" s="255" t="s">
        <v>645</v>
      </c>
      <c r="AO56" s="260"/>
      <c r="AP56" s="261"/>
      <c r="AQ56" s="261"/>
      <c r="AR56" s="265" t="s">
        <v>65</v>
      </c>
      <c r="AS56" s="275" t="str">
        <f>IF(AR56="","",IF(ISNUMBER(SEARCH("جازان",AR56)),"مستشفى جازان العام",IF(ISNUMBER(SEARCH("صبيا",AR56)),"مستشفى صبيا العام",IF(ISNUMBER(SEARCH("عريش",AR56)),"مستشفى أبو عريش العام",IF(ISNUMBER(SEARCH("صامط",AR56)),"مستشفى صامطة العام",IF(ISNUMBER(SEARCH("بيش",AR56)),"مستشفى بيش العام",IF(ISNUMBER(SEARCH("فهد",AR56)),"مستشفى الملك فهد المركزي",AR56)))))))</f>
        <v>مستشفى صامطة العام</v>
      </c>
      <c r="AT56" s="275">
        <f>ROW()-1</f>
        <v>55</v>
      </c>
      <c r="AU56" s="275"/>
      <c r="AV56" s="275">
        <f>IFERROR(NETWORKDAYS.INTL(P56,IF(ISNUMBER(AI56),AI56,DATEVALUE(AI56)),"0000011")-1,"N/A")</f>
        <v>2</v>
      </c>
      <c r="AW56" s="275"/>
      <c r="AX56" s="275"/>
    </row>
    <row r="57" spans="1:51" s="30" customFormat="1" ht="22.5">
      <c r="A57" s="127">
        <v>130</v>
      </c>
      <c r="B57" s="128">
        <v>46097.433310185203</v>
      </c>
      <c r="C57" s="128">
        <v>46097.439212963</v>
      </c>
      <c r="D57" s="130" t="s">
        <v>662</v>
      </c>
      <c r="E57" s="130"/>
      <c r="F57" s="130" t="s">
        <v>271</v>
      </c>
      <c r="G57" s="130"/>
      <c r="H57" s="130"/>
      <c r="I57" s="130"/>
      <c r="J57" s="130"/>
      <c r="K57" s="130" t="s">
        <v>752</v>
      </c>
      <c r="L57" s="130"/>
      <c r="M57" s="130"/>
      <c r="N57" s="130"/>
      <c r="O57" s="1" t="str">
        <f>_xlfn.CONCAT(OfficeForms.Table3[[#This Row],[القطاع الغربي (Western Sector)]:[القطاع فرسان (Farasan Sector)]])</f>
        <v>مركز محلية</v>
      </c>
      <c r="P57" s="133">
        <v>46097</v>
      </c>
      <c r="Q57" s="133">
        <v>45849</v>
      </c>
      <c r="R57" s="135" t="s">
        <v>1109</v>
      </c>
      <c r="S57" s="145">
        <v>37673</v>
      </c>
      <c r="T57" s="1"/>
      <c r="U57" s="136" t="s">
        <v>1110</v>
      </c>
      <c r="V57" s="148" t="s">
        <v>1111</v>
      </c>
      <c r="W57" s="139" t="s">
        <v>1112</v>
      </c>
      <c r="X57" s="160" t="s">
        <v>1113</v>
      </c>
      <c r="Y57" s="135" t="s">
        <v>1114</v>
      </c>
      <c r="Z57" s="130"/>
      <c r="AA57" s="154"/>
      <c r="AB57" s="130" t="s">
        <v>861</v>
      </c>
      <c r="AC57" s="154" t="s">
        <v>693</v>
      </c>
      <c r="AD57" s="130" t="s">
        <v>642</v>
      </c>
      <c r="AE57" s="130"/>
      <c r="AF57" s="1"/>
      <c r="AG57" s="130" t="s">
        <v>1115</v>
      </c>
      <c r="AH57" s="130" t="s">
        <v>1116</v>
      </c>
      <c r="AI57" s="313" t="s">
        <v>762</v>
      </c>
      <c r="AJ57" s="242" t="s">
        <v>645</v>
      </c>
      <c r="AK57" s="245" t="str">
        <f t="shared" si="0"/>
        <v>✅ ملتزم</v>
      </c>
      <c r="AL57" s="249"/>
      <c r="AM57" s="241" t="s">
        <v>53</v>
      </c>
      <c r="AN57" s="255" t="s">
        <v>645</v>
      </c>
      <c r="AO57" s="260"/>
      <c r="AP57" s="261"/>
      <c r="AQ57" s="261"/>
      <c r="AR57" s="266" t="s">
        <v>53</v>
      </c>
      <c r="AS57" s="275" t="str">
        <f>IF(AR57="","",IF(ISNUMBER(SEARCH("جازان",AR57)),"مستشفى جازان العام",IF(ISNUMBER(SEARCH("صبيا",AR57)),"مستشفى صبيا العام",IF(ISNUMBER(SEARCH("عريش",AR57)),"مستشفى أبو عريش العام",IF(ISNUMBER(SEARCH("صامط",AR57)),"مستشفى صامطة العام",IF(ISNUMBER(SEARCH("بيش",AR57)),"مستشفى بيش العام",IF(ISNUMBER(SEARCH("فهد",AR57)),"مستشفى الملك فهد المركزي",AR57)))))))</f>
        <v>مستشفى جازان العام</v>
      </c>
      <c r="AT57" s="275">
        <f>ROW()-1</f>
        <v>56</v>
      </c>
      <c r="AU57" s="275"/>
      <c r="AV57" s="275">
        <f>IFERROR(NETWORKDAYS.INTL(P57,IF(ISNUMBER(AI57),AI57,DATEVALUE(AI57)),"0000011")-1,"N/A")</f>
        <v>2</v>
      </c>
      <c r="AW57" s="275"/>
      <c r="AX57" s="275"/>
      <c r="AY57" s="30" t="s">
        <v>1117</v>
      </c>
    </row>
    <row r="58" spans="1:51" s="30" customFormat="1" ht="22.5">
      <c r="A58" s="124">
        <v>131</v>
      </c>
      <c r="B58" s="125">
        <v>46097.491481481498</v>
      </c>
      <c r="C58" s="125">
        <v>46097.4949768519</v>
      </c>
      <c r="D58" s="131" t="s">
        <v>662</v>
      </c>
      <c r="E58" s="131"/>
      <c r="F58" s="131" t="s">
        <v>271</v>
      </c>
      <c r="G58" s="131"/>
      <c r="H58" s="131"/>
      <c r="I58" s="131"/>
      <c r="J58" s="131"/>
      <c r="K58" s="131" t="s">
        <v>870</v>
      </c>
      <c r="L58" s="131"/>
      <c r="M58" s="131"/>
      <c r="N58" s="131"/>
      <c r="O58" s="1" t="str">
        <f>_xlfn.CONCAT(OfficeForms.Table3[[#This Row],[القطاع الغربي (Western Sector)]:[القطاع فرسان (Farasan Sector)]])</f>
        <v>مركز مخطط 6</v>
      </c>
      <c r="P58" s="132">
        <v>46097</v>
      </c>
      <c r="Q58" s="132">
        <v>45894</v>
      </c>
      <c r="R58" s="134" t="s">
        <v>1118</v>
      </c>
      <c r="S58" s="146" t="s">
        <v>1033</v>
      </c>
      <c r="T58" s="1"/>
      <c r="U58" s="137" t="s">
        <v>1119</v>
      </c>
      <c r="V58" s="123" t="s">
        <v>1120</v>
      </c>
      <c r="W58" s="138" t="s">
        <v>667</v>
      </c>
      <c r="X58" s="159" t="s">
        <v>876</v>
      </c>
      <c r="Y58" s="134" t="s">
        <v>1036</v>
      </c>
      <c r="Z58" s="131" t="s">
        <v>984</v>
      </c>
      <c r="AA58" s="155"/>
      <c r="AB58" s="131"/>
      <c r="AC58" s="155"/>
      <c r="AD58" s="131" t="s">
        <v>642</v>
      </c>
      <c r="AE58" s="131"/>
      <c r="AF58" s="1"/>
      <c r="AG58" s="131" t="s">
        <v>1037</v>
      </c>
      <c r="AH58" s="131"/>
      <c r="AI58" s="237" t="s">
        <v>762</v>
      </c>
      <c r="AJ58" s="242" t="s">
        <v>645</v>
      </c>
      <c r="AK58" s="245" t="str">
        <f t="shared" si="0"/>
        <v>✅ ملتزم</v>
      </c>
      <c r="AL58" s="249"/>
      <c r="AM58" s="241" t="s">
        <v>53</v>
      </c>
      <c r="AN58" s="255" t="s">
        <v>645</v>
      </c>
      <c r="AO58" s="260"/>
      <c r="AP58" s="261"/>
      <c r="AQ58" s="261"/>
      <c r="AR58" s="265" t="s">
        <v>53</v>
      </c>
      <c r="AS58" s="275" t="str">
        <f>IF(AR58="","",IF(ISNUMBER(SEARCH("جازان",AR58)),"مستشفى جازان العام",IF(ISNUMBER(SEARCH("صبيا",AR58)),"مستشفى صبيا العام",IF(ISNUMBER(SEARCH("عريش",AR58)),"مستشفى أبو عريش العام",IF(ISNUMBER(SEARCH("صامط",AR58)),"مستشفى صامطة العام",IF(ISNUMBER(SEARCH("بيش",AR58)),"مستشفى بيش العام",IF(ISNUMBER(SEARCH("فهد",AR58)),"مستشفى الملك فهد المركزي",AR58)))))))</f>
        <v>مستشفى جازان العام</v>
      </c>
      <c r="AT58" s="275">
        <f>ROW()-1</f>
        <v>57</v>
      </c>
      <c r="AU58" s="275"/>
      <c r="AV58" s="275">
        <f>IFERROR(NETWORKDAYS.INTL(P58,IF(ISNUMBER(AI58),AI58,DATEVALUE(AI58)),"0000011")-1,"N/A")</f>
        <v>2</v>
      </c>
      <c r="AW58" s="275"/>
      <c r="AX58" s="275"/>
    </row>
    <row r="59" spans="1:51" s="30" customFormat="1" ht="51">
      <c r="A59" s="127">
        <v>132</v>
      </c>
      <c r="B59" s="128">
        <v>46097.511898148201</v>
      </c>
      <c r="C59" s="128">
        <v>46097.520046296297</v>
      </c>
      <c r="D59" s="130" t="s">
        <v>662</v>
      </c>
      <c r="E59" s="130"/>
      <c r="F59" s="130" t="s">
        <v>271</v>
      </c>
      <c r="G59" s="130"/>
      <c r="H59" s="130"/>
      <c r="I59" s="130"/>
      <c r="J59" s="130"/>
      <c r="K59" s="130" t="s">
        <v>752</v>
      </c>
      <c r="L59" s="130"/>
      <c r="M59" s="130"/>
      <c r="N59" s="130"/>
      <c r="O59" s="1" t="str">
        <f>_xlfn.CONCAT(OfficeForms.Table3[[#This Row],[القطاع الغربي (Western Sector)]:[القطاع فرسان (Farasan Sector)]])</f>
        <v>مركز محلية</v>
      </c>
      <c r="P59" s="133">
        <v>46097</v>
      </c>
      <c r="Q59" s="133">
        <v>46021</v>
      </c>
      <c r="R59" s="135" t="s">
        <v>1121</v>
      </c>
      <c r="S59" s="145">
        <v>34367</v>
      </c>
      <c r="T59" s="1"/>
      <c r="U59" s="136" t="s">
        <v>1122</v>
      </c>
      <c r="V59" s="148" t="s">
        <v>1123</v>
      </c>
      <c r="W59" s="139" t="s">
        <v>1112</v>
      </c>
      <c r="X59" s="160" t="s">
        <v>1113</v>
      </c>
      <c r="Y59" s="135" t="s">
        <v>1124</v>
      </c>
      <c r="Z59" s="130"/>
      <c r="AA59" s="154" t="s">
        <v>1125</v>
      </c>
      <c r="AB59" s="130"/>
      <c r="AC59" s="154"/>
      <c r="AD59" s="130" t="s">
        <v>642</v>
      </c>
      <c r="AE59" s="130"/>
      <c r="AF59" s="1"/>
      <c r="AG59" s="130" t="s">
        <v>1115</v>
      </c>
      <c r="AH59" s="130" t="s">
        <v>1126</v>
      </c>
      <c r="AI59" s="237" t="s">
        <v>762</v>
      </c>
      <c r="AJ59" s="242" t="s">
        <v>645</v>
      </c>
      <c r="AK59" s="245" t="str">
        <f t="shared" si="0"/>
        <v>✅ ملتزم</v>
      </c>
      <c r="AL59" s="249"/>
      <c r="AM59" s="241" t="s">
        <v>646</v>
      </c>
      <c r="AN59" s="255" t="s">
        <v>645</v>
      </c>
      <c r="AO59" s="260"/>
      <c r="AP59" s="261"/>
      <c r="AQ59" s="261"/>
      <c r="AR59" s="266" t="s">
        <v>646</v>
      </c>
      <c r="AS59" s="275" t="str">
        <f>IF(AR59="","",IF(ISNUMBER(SEARCH("جازان",AR59)),"مستشفى جازان العام",IF(ISNUMBER(SEARCH("صبيا",AR59)),"مستشفى صبيا العام",IF(ISNUMBER(SEARCH("عريش",AR59)),"مستشفى أبو عريش العام",IF(ISNUMBER(SEARCH("صامط",AR59)),"مستشفى صامطة العام",IF(ISNUMBER(SEARCH("بيش",AR59)),"مستشفى بيش العام",IF(ISNUMBER(SEARCH("فهد",AR59)),"مستشفى الملك فهد المركزي",AR59)))))))</f>
        <v>مستشفى جازان العام</v>
      </c>
      <c r="AT59" s="275">
        <f>ROW()-1</f>
        <v>58</v>
      </c>
      <c r="AU59" s="275"/>
      <c r="AV59" s="275">
        <f>IFERROR(NETWORKDAYS.INTL(P59,IF(ISNUMBER(AI59),AI59,DATEVALUE(AI59)),"0000011")-1,"N/A")</f>
        <v>2</v>
      </c>
      <c r="AW59" s="275"/>
      <c r="AX59" s="275"/>
    </row>
    <row r="60" spans="1:51" s="30" customFormat="1" ht="22.5">
      <c r="A60" s="124">
        <v>133</v>
      </c>
      <c r="B60" s="125">
        <v>46098.443055555603</v>
      </c>
      <c r="C60" s="125">
        <v>46098.445590277799</v>
      </c>
      <c r="D60" s="131" t="s">
        <v>662</v>
      </c>
      <c r="E60" s="131"/>
      <c r="F60" s="131" t="s">
        <v>275</v>
      </c>
      <c r="G60" s="131" t="s">
        <v>802</v>
      </c>
      <c r="H60" s="131"/>
      <c r="I60" s="131"/>
      <c r="J60" s="131"/>
      <c r="K60" s="131"/>
      <c r="L60" s="131"/>
      <c r="M60" s="131"/>
      <c r="N60" s="131"/>
      <c r="O60" s="1" t="str">
        <f>_xlfn.CONCAT(OfficeForms.Table3[[#This Row],[القطاع الغربي (Western Sector)]:[القطاع فرسان (Farasan Sector)]])</f>
        <v>مركز الصهاليل</v>
      </c>
      <c r="P60" s="132">
        <v>46098</v>
      </c>
      <c r="Q60" s="132">
        <v>45855</v>
      </c>
      <c r="R60" s="134" t="s">
        <v>1127</v>
      </c>
      <c r="S60" s="146" t="s">
        <v>1128</v>
      </c>
      <c r="T60" s="1"/>
      <c r="U60" s="137" t="s">
        <v>1129</v>
      </c>
      <c r="V60" s="123" t="s">
        <v>1123</v>
      </c>
      <c r="W60" s="138" t="s">
        <v>973</v>
      </c>
      <c r="X60" s="159" t="s">
        <v>808</v>
      </c>
      <c r="Y60" s="134">
        <v>533466343</v>
      </c>
      <c r="Z60" s="131"/>
      <c r="AA60" s="155"/>
      <c r="AB60" s="131" t="s">
        <v>832</v>
      </c>
      <c r="AC60" s="155"/>
      <c r="AD60" s="131" t="s">
        <v>642</v>
      </c>
      <c r="AE60" s="131"/>
      <c r="AF60" s="1"/>
      <c r="AG60" s="131" t="s">
        <v>810</v>
      </c>
      <c r="AH60" s="131" t="s">
        <v>1130</v>
      </c>
      <c r="AI60" s="237" t="s">
        <v>1043</v>
      </c>
      <c r="AJ60" s="242" t="s">
        <v>1131</v>
      </c>
      <c r="AK60" s="245" t="str">
        <f t="shared" si="0"/>
        <v>❌ غير ملتزم</v>
      </c>
      <c r="AL60" s="249"/>
      <c r="AM60" s="241" t="s">
        <v>57</v>
      </c>
      <c r="AN60" s="255" t="s">
        <v>645</v>
      </c>
      <c r="AO60" s="260"/>
      <c r="AP60" s="261"/>
      <c r="AQ60" s="261"/>
      <c r="AR60" s="265" t="s">
        <v>57</v>
      </c>
      <c r="AS60" s="275" t="str">
        <f>IF(AR60="","",IF(ISNUMBER(SEARCH("جازان",AR60)),"مستشفى جازان العام",IF(ISNUMBER(SEARCH("صبيا",AR60)),"مستشفى صبيا العام",IF(ISNUMBER(SEARCH("عريش",AR60)),"مستشفى أبو عريش العام",IF(ISNUMBER(SEARCH("صامط",AR60)),"مستشفى صامطة العام",IF(ISNUMBER(SEARCH("بيش",AR60)),"مستشفى بيش العام",IF(ISNUMBER(SEARCH("فهد",AR60)),"مستشفى الملك فهد المركزي",AR60)))))))</f>
        <v>مستشفى صبيا العام</v>
      </c>
      <c r="AT60" s="275">
        <f>ROW()-1</f>
        <v>59</v>
      </c>
      <c r="AU60" s="275"/>
      <c r="AV60" s="275">
        <f>IFERROR(NETWORKDAYS.INTL(P60,IF(ISNUMBER(AI60),AI60,DATEVALUE(AI60)),"0000011")-1,"N/A")</f>
        <v>7</v>
      </c>
      <c r="AW60" s="275"/>
      <c r="AX60" s="275"/>
    </row>
    <row r="61" spans="1:51" s="30" customFormat="1" ht="127.5">
      <c r="A61" s="127">
        <v>134</v>
      </c>
      <c r="B61" s="128">
        <v>46098.443668981497</v>
      </c>
      <c r="C61" s="128">
        <v>46098.449050925898</v>
      </c>
      <c r="D61" s="130" t="s">
        <v>662</v>
      </c>
      <c r="E61" s="130"/>
      <c r="F61" s="130" t="s">
        <v>277</v>
      </c>
      <c r="G61" s="130"/>
      <c r="H61" s="130" t="s">
        <v>1132</v>
      </c>
      <c r="I61" s="130"/>
      <c r="J61" s="130"/>
      <c r="K61" s="130"/>
      <c r="L61" s="130"/>
      <c r="M61" s="130"/>
      <c r="N61" s="130"/>
      <c r="O61" s="1" t="str">
        <f>_xlfn.CONCAT(OfficeForms.Table3[[#This Row],[القطاع الغربي (Western Sector)]:[القطاع فرسان (Farasan Sector)]])</f>
        <v>مركز الدريعية</v>
      </c>
      <c r="P61" s="133">
        <v>46098</v>
      </c>
      <c r="Q61" s="133">
        <v>46054</v>
      </c>
      <c r="R61" s="135" t="s">
        <v>1133</v>
      </c>
      <c r="S61" s="145">
        <v>46245</v>
      </c>
      <c r="T61" s="1"/>
      <c r="U61" s="136" t="s">
        <v>1134</v>
      </c>
      <c r="V61" s="148" t="s">
        <v>1135</v>
      </c>
      <c r="W61" s="139" t="s">
        <v>1136</v>
      </c>
      <c r="X61" s="160" t="s">
        <v>1137</v>
      </c>
      <c r="Y61" s="135" t="s">
        <v>1138</v>
      </c>
      <c r="Z61" s="130" t="s">
        <v>1139</v>
      </c>
      <c r="AA61" s="154" t="s">
        <v>1140</v>
      </c>
      <c r="AB61" s="130" t="s">
        <v>832</v>
      </c>
      <c r="AC61" s="154" t="s">
        <v>1141</v>
      </c>
      <c r="AD61" s="130" t="s">
        <v>642</v>
      </c>
      <c r="AE61" s="130"/>
      <c r="AF61" s="1"/>
      <c r="AG61" s="130" t="s">
        <v>1142</v>
      </c>
      <c r="AH61" s="130" t="s">
        <v>693</v>
      </c>
      <c r="AI61" s="237" t="s">
        <v>1143</v>
      </c>
      <c r="AJ61" s="242" t="s">
        <v>645</v>
      </c>
      <c r="AK61" s="245" t="str">
        <f t="shared" si="0"/>
        <v>⏳ بانتظار</v>
      </c>
      <c r="AL61" s="249"/>
      <c r="AM61" s="241" t="s">
        <v>65</v>
      </c>
      <c r="AN61" s="257" t="s">
        <v>1131</v>
      </c>
      <c r="AO61" s="260"/>
      <c r="AP61" s="261"/>
      <c r="AQ61" s="261"/>
      <c r="AR61" s="266" t="s">
        <v>65</v>
      </c>
      <c r="AS61" s="275" t="str">
        <f>IF(AR61="","",IF(ISNUMBER(SEARCH("جازان",AR61)),"مستشفى جازان العام",IF(ISNUMBER(SEARCH("صبيا",AR61)),"مستشفى صبيا العام",IF(ISNUMBER(SEARCH("عريش",AR61)),"مستشفى أبو عريش العام",IF(ISNUMBER(SEARCH("صامط",AR61)),"مستشفى صامطة العام",IF(ISNUMBER(SEARCH("بيش",AR61)),"مستشفى بيش العام",IF(ISNUMBER(SEARCH("فهد",AR61)),"مستشفى الملك فهد المركزي",AR61)))))))</f>
        <v>مستشفى صامطة العام</v>
      </c>
      <c r="AT61" s="275">
        <f>ROW()-1</f>
        <v>60</v>
      </c>
      <c r="AU61" s="275"/>
      <c r="AV61" s="275" t="str">
        <f>IFERROR(NETWORKDAYS.INTL(P61,IF(ISNUMBER(AI61),AI61,DATEVALUE(AI61)),"0000011")-1,"N/A")</f>
        <v>N/A</v>
      </c>
      <c r="AW61" s="275"/>
      <c r="AX61" s="275"/>
    </row>
    <row r="62" spans="1:51" s="30" customFormat="1" ht="22.5">
      <c r="A62" s="124">
        <v>135</v>
      </c>
      <c r="B62" s="125">
        <v>46098.453252314801</v>
      </c>
      <c r="C62" s="125">
        <v>46098.456284722197</v>
      </c>
      <c r="D62" s="131" t="s">
        <v>662</v>
      </c>
      <c r="E62" s="131"/>
      <c r="F62" s="131" t="s">
        <v>271</v>
      </c>
      <c r="G62" s="131"/>
      <c r="H62" s="131"/>
      <c r="I62" s="131"/>
      <c r="J62" s="131"/>
      <c r="K62" s="131" t="s">
        <v>880</v>
      </c>
      <c r="L62" s="131"/>
      <c r="M62" s="131"/>
      <c r="N62" s="131"/>
      <c r="O62" s="1" t="str">
        <f>_xlfn.CONCAT(OfficeForms.Table3[[#This Row],[القطاع الغربي (Western Sector)]:[القطاع فرسان (Farasan Sector)]])</f>
        <v>مركز مخطط 5</v>
      </c>
      <c r="P62" s="132">
        <v>46098</v>
      </c>
      <c r="Q62" s="132">
        <v>46026</v>
      </c>
      <c r="R62" s="134" t="s">
        <v>1144</v>
      </c>
      <c r="S62" s="144">
        <v>32754</v>
      </c>
      <c r="T62" s="1"/>
      <c r="U62" s="137" t="s">
        <v>1145</v>
      </c>
      <c r="V62" s="123" t="s">
        <v>1146</v>
      </c>
      <c r="W62" s="138" t="s">
        <v>1147</v>
      </c>
      <c r="X62" s="159" t="s">
        <v>901</v>
      </c>
      <c r="Y62" s="134" t="s">
        <v>1148</v>
      </c>
      <c r="Z62" s="131" t="s">
        <v>984</v>
      </c>
      <c r="AA62" s="155"/>
      <c r="AB62" s="131" t="s">
        <v>832</v>
      </c>
      <c r="AC62" s="155"/>
      <c r="AD62" s="131" t="s">
        <v>642</v>
      </c>
      <c r="AE62" s="131"/>
      <c r="AF62" s="1"/>
      <c r="AG62" s="131" t="s">
        <v>905</v>
      </c>
      <c r="AH62" s="131"/>
      <c r="AI62" s="237" t="s">
        <v>762</v>
      </c>
      <c r="AJ62" s="242" t="s">
        <v>645</v>
      </c>
      <c r="AK62" s="245" t="str">
        <f t="shared" si="0"/>
        <v>✅ ملتزم</v>
      </c>
      <c r="AL62" s="249"/>
      <c r="AM62" s="241" t="s">
        <v>53</v>
      </c>
      <c r="AN62" s="255" t="s">
        <v>645</v>
      </c>
      <c r="AO62" s="260"/>
      <c r="AP62" s="261"/>
      <c r="AQ62" s="261"/>
      <c r="AR62" s="265" t="s">
        <v>53</v>
      </c>
      <c r="AS62" s="275" t="str">
        <f>IF(AR62="","",IF(ISNUMBER(SEARCH("جازان",AR62)),"مستشفى جازان العام",IF(ISNUMBER(SEARCH("صبيا",AR62)),"مستشفى صبيا العام",IF(ISNUMBER(SEARCH("عريش",AR62)),"مستشفى أبو عريش العام",IF(ISNUMBER(SEARCH("صامط",AR62)),"مستشفى صامطة العام",IF(ISNUMBER(SEARCH("بيش",AR62)),"مستشفى بيش العام",IF(ISNUMBER(SEARCH("فهد",AR62)),"مستشفى الملك فهد المركزي",AR62)))))))</f>
        <v>مستشفى جازان العام</v>
      </c>
      <c r="AT62" s="275">
        <f>ROW()-1</f>
        <v>61</v>
      </c>
      <c r="AU62" s="275"/>
      <c r="AV62" s="275">
        <f>IFERROR(NETWORKDAYS.INTL(P62,IF(ISNUMBER(AI62),AI62,DATEVALUE(AI62)),"0000011")-1,"N/A")</f>
        <v>1</v>
      </c>
      <c r="AW62" s="275"/>
      <c r="AX62" s="275"/>
    </row>
    <row r="63" spans="1:51" s="30" customFormat="1" ht="22.5">
      <c r="A63" s="127">
        <v>136</v>
      </c>
      <c r="B63" s="128">
        <v>46098.485000000001</v>
      </c>
      <c r="C63" s="128">
        <v>46098.494201388901</v>
      </c>
      <c r="D63" s="130" t="s">
        <v>662</v>
      </c>
      <c r="E63" s="130"/>
      <c r="F63" s="130" t="s">
        <v>275</v>
      </c>
      <c r="G63" s="130" t="s">
        <v>802</v>
      </c>
      <c r="H63" s="130"/>
      <c r="I63" s="130"/>
      <c r="J63" s="130"/>
      <c r="K63" s="130"/>
      <c r="L63" s="130"/>
      <c r="M63" s="130"/>
      <c r="N63" s="130"/>
      <c r="O63" s="1" t="str">
        <f>_xlfn.CONCAT(OfficeForms.Table3[[#This Row],[القطاع الغربي (Western Sector)]:[القطاع فرسان (Farasan Sector)]])</f>
        <v>مركز الصهاليل</v>
      </c>
      <c r="P63" s="133">
        <v>46098</v>
      </c>
      <c r="Q63" s="133">
        <v>45949</v>
      </c>
      <c r="R63" s="135" t="s">
        <v>1149</v>
      </c>
      <c r="S63" s="147" t="s">
        <v>1150</v>
      </c>
      <c r="T63" s="1"/>
      <c r="U63" s="136" t="s">
        <v>1151</v>
      </c>
      <c r="V63" s="148" t="s">
        <v>1152</v>
      </c>
      <c r="W63" s="139" t="s">
        <v>973</v>
      </c>
      <c r="X63" s="160" t="s">
        <v>808</v>
      </c>
      <c r="Y63" s="135" t="s">
        <v>1153</v>
      </c>
      <c r="Z63" s="130" t="s">
        <v>704</v>
      </c>
      <c r="AA63" s="154"/>
      <c r="AB63" s="130"/>
      <c r="AC63" s="154"/>
      <c r="AD63" s="130" t="s">
        <v>642</v>
      </c>
      <c r="AE63" s="130"/>
      <c r="AF63" s="1"/>
      <c r="AG63" s="130" t="s">
        <v>810</v>
      </c>
      <c r="AH63" s="130" t="s">
        <v>1154</v>
      </c>
      <c r="AI63" s="237" t="s">
        <v>1155</v>
      </c>
      <c r="AJ63" s="242" t="s">
        <v>645</v>
      </c>
      <c r="AK63" s="245" t="str">
        <f t="shared" si="0"/>
        <v>⏳ بانتظار</v>
      </c>
      <c r="AL63" s="249"/>
      <c r="AM63" s="241" t="s">
        <v>57</v>
      </c>
      <c r="AN63" s="255" t="s">
        <v>645</v>
      </c>
      <c r="AO63" s="260"/>
      <c r="AP63" s="261"/>
      <c r="AQ63" s="261"/>
      <c r="AR63" s="266" t="s">
        <v>57</v>
      </c>
      <c r="AS63" s="275" t="str">
        <f>IF(AR63="","",IF(ISNUMBER(SEARCH("جازان",AR63)),"مستشفى جازان العام",IF(ISNUMBER(SEARCH("صبيا",AR63)),"مستشفى صبيا العام",IF(ISNUMBER(SEARCH("عريش",AR63)),"مستشفى أبو عريش العام",IF(ISNUMBER(SEARCH("صامط",AR63)),"مستشفى صامطة العام",IF(ISNUMBER(SEARCH("بيش",AR63)),"مستشفى بيش العام",IF(ISNUMBER(SEARCH("فهد",AR63)),"مستشفى الملك فهد المركزي",AR63)))))))</f>
        <v>مستشفى صبيا العام</v>
      </c>
      <c r="AT63" s="275">
        <f>ROW()-1</f>
        <v>62</v>
      </c>
      <c r="AU63" s="275"/>
      <c r="AV63" s="275" t="str">
        <f>IFERROR(NETWORKDAYS.INTL(P63,IF(ISNUMBER(AI63),AI63,DATEVALUE(AI63)),"0000011")-1,"N/A")</f>
        <v>N/A</v>
      </c>
      <c r="AW63" s="275"/>
      <c r="AX63" s="275"/>
    </row>
    <row r="64" spans="1:51" s="30" customFormat="1" ht="22.5">
      <c r="A64" s="124">
        <v>137</v>
      </c>
      <c r="B64" s="125">
        <v>46098.568854166697</v>
      </c>
      <c r="C64" s="125">
        <v>46098.572569444397</v>
      </c>
      <c r="D64" s="131" t="s">
        <v>662</v>
      </c>
      <c r="E64" s="131"/>
      <c r="F64" s="131" t="s">
        <v>271</v>
      </c>
      <c r="G64" s="131"/>
      <c r="H64" s="131"/>
      <c r="I64" s="131"/>
      <c r="J64" s="131"/>
      <c r="K64" s="131" t="s">
        <v>870</v>
      </c>
      <c r="L64" s="131"/>
      <c r="M64" s="131"/>
      <c r="N64" s="131"/>
      <c r="O64" s="1" t="str">
        <f>_xlfn.CONCAT(OfficeForms.Table3[[#This Row],[القطاع الغربي (Western Sector)]:[القطاع فرسان (Farasan Sector)]])</f>
        <v>مركز مخطط 6</v>
      </c>
      <c r="P64" s="132">
        <v>46098</v>
      </c>
      <c r="Q64" s="132">
        <v>45952</v>
      </c>
      <c r="R64" s="134" t="s">
        <v>1156</v>
      </c>
      <c r="S64" s="146" t="s">
        <v>1157</v>
      </c>
      <c r="T64" s="1"/>
      <c r="U64" s="137" t="s">
        <v>1158</v>
      </c>
      <c r="V64" s="123" t="s">
        <v>1159</v>
      </c>
      <c r="W64" s="138" t="s">
        <v>875</v>
      </c>
      <c r="X64" s="159" t="s">
        <v>876</v>
      </c>
      <c r="Y64" s="134" t="s">
        <v>1160</v>
      </c>
      <c r="Z64" s="131"/>
      <c r="AA64" s="155"/>
      <c r="AB64" s="131" t="s">
        <v>1161</v>
      </c>
      <c r="AC64" s="155"/>
      <c r="AD64" s="131" t="s">
        <v>642</v>
      </c>
      <c r="AE64" s="131"/>
      <c r="AF64" s="1"/>
      <c r="AG64" s="131" t="s">
        <v>879</v>
      </c>
      <c r="AH64" s="131" t="s">
        <v>1162</v>
      </c>
      <c r="AI64" s="237" t="s">
        <v>787</v>
      </c>
      <c r="AJ64" s="242" t="s">
        <v>645</v>
      </c>
      <c r="AK64" s="245" t="str">
        <f t="shared" si="0"/>
        <v>✅ ملتزم</v>
      </c>
      <c r="AL64" s="249"/>
      <c r="AM64" s="241" t="s">
        <v>53</v>
      </c>
      <c r="AN64" s="255" t="s">
        <v>645</v>
      </c>
      <c r="AO64" s="260"/>
      <c r="AP64" s="261"/>
      <c r="AQ64" s="261"/>
      <c r="AR64" s="265" t="s">
        <v>53</v>
      </c>
      <c r="AS64" s="275" t="str">
        <f>IF(AR64="","",IF(ISNUMBER(SEARCH("جازان",AR64)),"مستشفى جازان العام",IF(ISNUMBER(SEARCH("صبيا",AR64)),"مستشفى صبيا العام",IF(ISNUMBER(SEARCH("عريش",AR64)),"مستشفى أبو عريش العام",IF(ISNUMBER(SEARCH("صامط",AR64)),"مستشفى صامطة العام",IF(ISNUMBER(SEARCH("بيش",AR64)),"مستشفى بيش العام",IF(ISNUMBER(SEARCH("فهد",AR64)),"مستشفى الملك فهد المركزي",AR64)))))))</f>
        <v>مستشفى جازان العام</v>
      </c>
      <c r="AT64" s="275">
        <f>ROW()-1</f>
        <v>63</v>
      </c>
      <c r="AU64" s="275"/>
      <c r="AV64" s="275">
        <f>IFERROR(NETWORKDAYS.INTL(P64,IF(ISNUMBER(AI64),AI64,DATEVALUE(AI64)),"0000011")-1,"N/A")</f>
        <v>2</v>
      </c>
      <c r="AW64" s="275"/>
      <c r="AX64" s="275"/>
    </row>
    <row r="65" spans="1:50" s="30" customFormat="1" ht="22.5">
      <c r="A65" s="127">
        <v>138</v>
      </c>
      <c r="B65" s="128">
        <v>46099.452974537002</v>
      </c>
      <c r="C65" s="128">
        <v>46099.455335648097</v>
      </c>
      <c r="D65" s="130" t="s">
        <v>662</v>
      </c>
      <c r="E65" s="130"/>
      <c r="F65" s="130" t="s">
        <v>271</v>
      </c>
      <c r="G65" s="130"/>
      <c r="H65" s="130"/>
      <c r="I65" s="130"/>
      <c r="J65" s="130"/>
      <c r="K65" s="130" t="s">
        <v>870</v>
      </c>
      <c r="L65" s="130"/>
      <c r="M65" s="130"/>
      <c r="N65" s="130"/>
      <c r="O65" s="1" t="str">
        <f>_xlfn.CONCAT(OfficeForms.Table3[[#This Row],[القطاع الغربي (Western Sector)]:[القطاع فرسان (Farasan Sector)]])</f>
        <v>مركز مخطط 6</v>
      </c>
      <c r="P65" s="133">
        <v>46099</v>
      </c>
      <c r="Q65" s="133">
        <v>46045</v>
      </c>
      <c r="R65" s="135" t="s">
        <v>924</v>
      </c>
      <c r="S65" s="145">
        <v>35674</v>
      </c>
      <c r="T65" s="1"/>
      <c r="U65" s="136" t="s">
        <v>1163</v>
      </c>
      <c r="V65" s="148" t="s">
        <v>1164</v>
      </c>
      <c r="W65" s="139" t="s">
        <v>1165</v>
      </c>
      <c r="X65" s="160" t="s">
        <v>876</v>
      </c>
      <c r="Y65" s="135" t="s">
        <v>1166</v>
      </c>
      <c r="Z65" s="130" t="s">
        <v>1167</v>
      </c>
      <c r="AA65" s="154"/>
      <c r="AB65" s="130"/>
      <c r="AC65" s="154"/>
      <c r="AD65" s="130" t="s">
        <v>642</v>
      </c>
      <c r="AE65" s="130"/>
      <c r="AF65" s="1"/>
      <c r="AG65" s="130" t="s">
        <v>1037</v>
      </c>
      <c r="AH65" s="130"/>
      <c r="AI65" s="237" t="s">
        <v>1168</v>
      </c>
      <c r="AJ65" s="242" t="s">
        <v>645</v>
      </c>
      <c r="AK65" s="245" t="str">
        <f t="shared" si="0"/>
        <v>❌ غير ملتزم</v>
      </c>
      <c r="AL65" s="249"/>
      <c r="AM65" s="241" t="s">
        <v>53</v>
      </c>
      <c r="AN65" s="255" t="s">
        <v>645</v>
      </c>
      <c r="AO65" s="260"/>
      <c r="AP65" s="261"/>
      <c r="AQ65" s="261"/>
      <c r="AR65" s="266" t="s">
        <v>53</v>
      </c>
      <c r="AS65" s="275" t="str">
        <f>IF(AR65="","",IF(ISNUMBER(SEARCH("جازان",AR65)),"مستشفى جازان العام",IF(ISNUMBER(SEARCH("صبيا",AR65)),"مستشفى صبيا العام",IF(ISNUMBER(SEARCH("عريش",AR65)),"مستشفى أبو عريش العام",IF(ISNUMBER(SEARCH("صامط",AR65)),"مستشفى صامطة العام",IF(ISNUMBER(SEARCH("بيش",AR65)),"مستشفى بيش العام",IF(ISNUMBER(SEARCH("فهد",AR65)),"مستشفى الملك فهد المركزي",AR65)))))))</f>
        <v>مستشفى جازان العام</v>
      </c>
      <c r="AT65" s="275">
        <f>ROW()-1</f>
        <v>64</v>
      </c>
      <c r="AU65" s="275"/>
      <c r="AV65" s="275">
        <f>IFERROR(NETWORKDAYS.INTL(P65,IF(ISNUMBER(AI65),AI65,DATEVALUE(AI65)),"0000011")-1,"N/A")</f>
        <v>5</v>
      </c>
      <c r="AW65" s="275"/>
      <c r="AX65" s="275"/>
    </row>
    <row r="66" spans="1:50" s="30" customFormat="1" ht="26.25">
      <c r="A66" s="124">
        <v>141</v>
      </c>
      <c r="B66" s="125">
        <v>46099.604097222204</v>
      </c>
      <c r="C66" s="125">
        <v>46099.607719907399</v>
      </c>
      <c r="D66" s="131" t="s">
        <v>662</v>
      </c>
      <c r="E66" s="131"/>
      <c r="F66" s="131" t="s">
        <v>275</v>
      </c>
      <c r="G66" s="131" t="s">
        <v>802</v>
      </c>
      <c r="H66" s="131"/>
      <c r="I66" s="131"/>
      <c r="J66" s="131"/>
      <c r="K66" s="131"/>
      <c r="L66" s="131"/>
      <c r="M66" s="131"/>
      <c r="N66" s="131"/>
      <c r="O66" s="1" t="str">
        <f>_xlfn.CONCAT(OfficeForms.Table3[[#This Row],[القطاع الغربي (Western Sector)]:[القطاع فرسان (Farasan Sector)]])</f>
        <v>مركز الصهاليل</v>
      </c>
      <c r="P66" s="132">
        <v>46099</v>
      </c>
      <c r="Q66" s="132">
        <v>46008</v>
      </c>
      <c r="R66" s="134" t="s">
        <v>1169</v>
      </c>
      <c r="S66" s="146" t="s">
        <v>1170</v>
      </c>
      <c r="T66" s="1"/>
      <c r="U66" s="137" t="s">
        <v>1171</v>
      </c>
      <c r="V66" s="123" t="s">
        <v>1172</v>
      </c>
      <c r="W66" s="138" t="s">
        <v>973</v>
      </c>
      <c r="X66" s="159" t="s">
        <v>808</v>
      </c>
      <c r="Y66" s="134" t="s">
        <v>1173</v>
      </c>
      <c r="Z66" s="131" t="s">
        <v>962</v>
      </c>
      <c r="AA66" s="155" t="s">
        <v>736</v>
      </c>
      <c r="AB66" s="131"/>
      <c r="AC66" s="155"/>
      <c r="AD66" s="131" t="s">
        <v>642</v>
      </c>
      <c r="AE66" s="131"/>
      <c r="AF66" s="1"/>
      <c r="AG66" s="131" t="s">
        <v>810</v>
      </c>
      <c r="AH66" s="131" t="s">
        <v>1174</v>
      </c>
      <c r="AI66" s="237"/>
      <c r="AJ66" s="242" t="s">
        <v>1175</v>
      </c>
      <c r="AK66" s="245" t="str">
        <f t="shared" si="0"/>
        <v>⏳ بانتظار</v>
      </c>
      <c r="AL66" s="249"/>
      <c r="AM66" s="241"/>
      <c r="AN66" s="255" t="s">
        <v>645</v>
      </c>
      <c r="AO66" s="260"/>
      <c r="AP66" s="261"/>
      <c r="AQ66" s="261"/>
      <c r="AR66" s="265"/>
      <c r="AS66" s="275" t="str">
        <f>IF(AR66="","",IF(ISNUMBER(SEARCH("جازان",AR66)),"مستشفى جازان العام",IF(ISNUMBER(SEARCH("صبيا",AR66)),"مستشفى صبيا العام",IF(ISNUMBER(SEARCH("عريش",AR66)),"مستشفى أبو عريش العام",IF(ISNUMBER(SEARCH("صامط",AR66)),"مستشفى صامطة العام",IF(ISNUMBER(SEARCH("بيش",AR66)),"مستشفى بيش العام",IF(ISNUMBER(SEARCH("فهد",AR66)),"مستشفى الملك فهد المركزي",AR66)))))))</f>
        <v/>
      </c>
      <c r="AT66" s="275">
        <f>ROW()-1</f>
        <v>65</v>
      </c>
      <c r="AU66" s="275"/>
      <c r="AV66" s="275" t="str">
        <f>IFERROR(NETWORKDAYS.INTL(P66,IF(ISNUMBER(AI66),AI66,DATEVALUE(AI66)),"0000011")-1,"N/A")</f>
        <v>N/A</v>
      </c>
      <c r="AW66" s="275"/>
      <c r="AX66" s="275"/>
    </row>
    <row r="67" spans="1:50" s="30" customFormat="1" ht="22.5">
      <c r="A67" s="127">
        <v>142</v>
      </c>
      <c r="B67" s="128">
        <v>46103.395324074103</v>
      </c>
      <c r="C67" s="128">
        <v>46103.398564814801</v>
      </c>
      <c r="D67" s="130" t="s">
        <v>662</v>
      </c>
      <c r="E67" s="130"/>
      <c r="F67" s="130" t="s">
        <v>275</v>
      </c>
      <c r="G67" s="130" t="s">
        <v>790</v>
      </c>
      <c r="H67" s="130"/>
      <c r="I67" s="130"/>
      <c r="J67" s="130"/>
      <c r="K67" s="130"/>
      <c r="L67" s="130"/>
      <c r="M67" s="130"/>
      <c r="N67" s="130"/>
      <c r="O67" s="1" t="str">
        <f>_xlfn.CONCAT(OfficeForms.Table3[[#This Row],[القطاع الغربي (Western Sector)]:[القطاع فرسان (Farasan Sector)]])</f>
        <v>مركز ضمد الشمالي</v>
      </c>
      <c r="P67" s="133">
        <v>46103</v>
      </c>
      <c r="Q67" s="133">
        <v>45894</v>
      </c>
      <c r="R67" s="135" t="s">
        <v>1176</v>
      </c>
      <c r="S67" s="145">
        <v>34494</v>
      </c>
      <c r="T67" s="1"/>
      <c r="U67" s="136" t="s">
        <v>1177</v>
      </c>
      <c r="V67" s="148" t="s">
        <v>1178</v>
      </c>
      <c r="W67" s="139" t="s">
        <v>1179</v>
      </c>
      <c r="X67" s="160" t="s">
        <v>796</v>
      </c>
      <c r="Y67" s="135" t="s">
        <v>1180</v>
      </c>
      <c r="Z67" s="130" t="s">
        <v>772</v>
      </c>
      <c r="AA67" s="154"/>
      <c r="AB67" s="130"/>
      <c r="AC67" s="154" t="s">
        <v>773</v>
      </c>
      <c r="AD67" s="157" t="s">
        <v>680</v>
      </c>
      <c r="AE67" s="130" t="s">
        <v>642</v>
      </c>
      <c r="AF67" s="1"/>
      <c r="AG67" s="130" t="s">
        <v>800</v>
      </c>
      <c r="AH67" s="130" t="s">
        <v>1181</v>
      </c>
      <c r="AI67" s="237" t="s">
        <v>1043</v>
      </c>
      <c r="AJ67" s="242" t="s">
        <v>1131</v>
      </c>
      <c r="AK67" s="245" t="str">
        <f t="shared" ref="AK67:AK130" si="1">IF(OR(P67="",AI67=""),"⏳ بانتظار",IF(ISNUMBER(AI67),IF(NETWORKDAYS.INTL(P67,AI67,"0000011")-1&lt;=2,"✅ ملتزم","❌ غير ملتزم"),IFERROR(IF(NETWORKDAYS.INTL(P67,DATEVALUE(AI67),"0000011")-1&lt;=2,"✅ ملتزم","❌ غير ملتزم"),IFERROR(IF(NETWORKDAYS.INTL(P67,DATE(RIGHT(AI67,4),MID(AI67,FIND("/",AI67)+1,FIND("/",AI67,FIND("/",AI67)+1)-FIND("/",AI67)-1),LEFT(AI67,FIND("/",AI67)-1)),"0000011")-1&lt;=2,"✅ ملتزم","❌ غير ملتزم"),"⏳ بانتظار"))))</f>
        <v>❌ غير ملتزم</v>
      </c>
      <c r="AL67" s="249"/>
      <c r="AM67" s="241" t="s">
        <v>57</v>
      </c>
      <c r="AN67" s="255" t="s">
        <v>1175</v>
      </c>
      <c r="AO67" s="260"/>
      <c r="AP67" s="261"/>
      <c r="AQ67" s="261"/>
      <c r="AR67" s="266" t="s">
        <v>57</v>
      </c>
      <c r="AS67" s="275" t="str">
        <f>IF(AR67="","",IF(ISNUMBER(SEARCH("جازان",AR67)),"مستشفى جازان العام",IF(ISNUMBER(SEARCH("صبيا",AR67)),"مستشفى صبيا العام",IF(ISNUMBER(SEARCH("عريش",AR67)),"مستشفى أبو عريش العام",IF(ISNUMBER(SEARCH("صامط",AR67)),"مستشفى صامطة العام",IF(ISNUMBER(SEARCH("بيش",AR67)),"مستشفى بيش العام",IF(ISNUMBER(SEARCH("فهد",AR67)),"مستشفى الملك فهد المركزي",AR67)))))))</f>
        <v>مستشفى صبيا العام</v>
      </c>
      <c r="AT67" s="275">
        <f>ROW()-1</f>
        <v>66</v>
      </c>
      <c r="AU67" s="275"/>
      <c r="AV67" s="275">
        <f>IFERROR(NETWORKDAYS.INTL(P67,IF(ISNUMBER(AI67),AI67,DATEVALUE(AI67)),"0000011")-1,"N/A")</f>
        <v>3</v>
      </c>
      <c r="AW67" s="275"/>
      <c r="AX67" s="275"/>
    </row>
    <row r="68" spans="1:50" s="30" customFormat="1" ht="22.5">
      <c r="A68" s="124">
        <v>143</v>
      </c>
      <c r="B68" s="125">
        <v>46104.381574074097</v>
      </c>
      <c r="C68" s="125">
        <v>46104.4050347222</v>
      </c>
      <c r="D68" s="131" t="s">
        <v>662</v>
      </c>
      <c r="E68" s="131"/>
      <c r="F68" s="131" t="s">
        <v>277</v>
      </c>
      <c r="G68" s="131"/>
      <c r="H68" s="131" t="s">
        <v>1182</v>
      </c>
      <c r="I68" s="131"/>
      <c r="J68" s="131"/>
      <c r="K68" s="131"/>
      <c r="L68" s="131"/>
      <c r="M68" s="131"/>
      <c r="N68" s="131"/>
      <c r="O68" s="1" t="str">
        <f>_xlfn.CONCAT(OfficeForms.Table3[[#This Row],[القطاع الغربي (Western Sector)]:[القطاع فرسان (Farasan Sector)]])</f>
        <v>مركز صامطة</v>
      </c>
      <c r="P68" s="132">
        <v>46104</v>
      </c>
      <c r="Q68" s="132">
        <v>45914</v>
      </c>
      <c r="R68" s="134" t="s">
        <v>999</v>
      </c>
      <c r="S68" s="144">
        <v>32144</v>
      </c>
      <c r="T68" s="1"/>
      <c r="U68" s="137" t="s">
        <v>1183</v>
      </c>
      <c r="V68" s="123" t="s">
        <v>1184</v>
      </c>
      <c r="W68" s="138" t="s">
        <v>1185</v>
      </c>
      <c r="X68" s="159" t="s">
        <v>1186</v>
      </c>
      <c r="Y68" s="134" t="s">
        <v>1187</v>
      </c>
      <c r="Z68" s="131" t="s">
        <v>1188</v>
      </c>
      <c r="AA68" s="155"/>
      <c r="AB68" s="131"/>
      <c r="AC68" s="155"/>
      <c r="AD68" s="157" t="s">
        <v>680</v>
      </c>
      <c r="AE68" s="131" t="s">
        <v>680</v>
      </c>
      <c r="AF68" s="1"/>
      <c r="AG68" s="131" t="s">
        <v>1189</v>
      </c>
      <c r="AH68" s="131"/>
      <c r="AI68" s="237" t="s">
        <v>1168</v>
      </c>
      <c r="AJ68" s="242" t="s">
        <v>1190</v>
      </c>
      <c r="AK68" s="245" t="str">
        <f t="shared" si="1"/>
        <v>✅ ملتزم</v>
      </c>
      <c r="AL68" s="249"/>
      <c r="AM68" s="241" t="s">
        <v>65</v>
      </c>
      <c r="AN68" s="257" t="s">
        <v>1131</v>
      </c>
      <c r="AO68" s="260"/>
      <c r="AP68" s="261"/>
      <c r="AQ68" s="261"/>
      <c r="AR68" s="265" t="s">
        <v>65</v>
      </c>
      <c r="AS68" s="275" t="str">
        <f>IF(AR68="","",IF(ISNUMBER(SEARCH("جازان",AR68)),"مستشفى جازان العام",IF(ISNUMBER(SEARCH("صبيا",AR68)),"مستشفى صبيا العام",IF(ISNUMBER(SEARCH("عريش",AR68)),"مستشفى أبو عريش العام",IF(ISNUMBER(SEARCH("صامط",AR68)),"مستشفى صامطة العام",IF(ISNUMBER(SEARCH("بيش",AR68)),"مستشفى بيش العام",IF(ISNUMBER(SEARCH("فهد",AR68)),"مستشفى الملك فهد المركزي",AR68)))))))</f>
        <v>مستشفى صامطة العام</v>
      </c>
      <c r="AT68" s="275">
        <f>ROW()-1</f>
        <v>67</v>
      </c>
      <c r="AU68" s="275"/>
      <c r="AV68" s="275">
        <f>IFERROR(NETWORKDAYS.INTL(P68,IF(ISNUMBER(AI68),AI68,DATEVALUE(AI68)),"0000011")-1,"N/A")</f>
        <v>2</v>
      </c>
      <c r="AW68" s="275"/>
      <c r="AX68" s="275"/>
    </row>
    <row r="69" spans="1:50" s="30" customFormat="1" ht="22.5">
      <c r="A69" s="127">
        <v>144</v>
      </c>
      <c r="B69" s="128">
        <v>46105.368842592601</v>
      </c>
      <c r="C69" s="128">
        <v>46105.371377314797</v>
      </c>
      <c r="D69" s="130" t="s">
        <v>662</v>
      </c>
      <c r="E69" s="130"/>
      <c r="F69" s="130" t="s">
        <v>275</v>
      </c>
      <c r="G69" s="130" t="s">
        <v>802</v>
      </c>
      <c r="H69" s="130"/>
      <c r="I69" s="130"/>
      <c r="J69" s="130"/>
      <c r="K69" s="130"/>
      <c r="L69" s="130"/>
      <c r="M69" s="130"/>
      <c r="N69" s="130"/>
      <c r="O69" s="1" t="str">
        <f>_xlfn.CONCAT(OfficeForms.Table3[[#This Row],[القطاع الغربي (Western Sector)]:[القطاع فرسان (Farasan Sector)]])</f>
        <v>مركز الصهاليل</v>
      </c>
      <c r="P69" s="133">
        <v>46105</v>
      </c>
      <c r="Q69" s="133">
        <v>45873</v>
      </c>
      <c r="R69" s="135" t="s">
        <v>1191</v>
      </c>
      <c r="S69" s="147" t="s">
        <v>1192</v>
      </c>
      <c r="T69" s="1"/>
      <c r="U69" s="136" t="s">
        <v>1193</v>
      </c>
      <c r="V69" s="148" t="s">
        <v>1194</v>
      </c>
      <c r="W69" s="139" t="s">
        <v>807</v>
      </c>
      <c r="X69" s="160" t="s">
        <v>808</v>
      </c>
      <c r="Y69" s="136">
        <v>508349069</v>
      </c>
      <c r="Z69" s="130" t="s">
        <v>704</v>
      </c>
      <c r="AA69" s="154" t="s">
        <v>736</v>
      </c>
      <c r="AB69" s="130"/>
      <c r="AC69" s="154"/>
      <c r="AD69" s="130" t="s">
        <v>642</v>
      </c>
      <c r="AE69" s="130"/>
      <c r="AF69" s="1"/>
      <c r="AG69" s="130" t="s">
        <v>810</v>
      </c>
      <c r="AH69" s="130"/>
      <c r="AI69" s="237"/>
      <c r="AJ69" s="242" t="s">
        <v>1195</v>
      </c>
      <c r="AK69" s="245" t="str">
        <f t="shared" si="1"/>
        <v>⏳ بانتظار</v>
      </c>
      <c r="AL69" s="249"/>
      <c r="AM69" s="241"/>
      <c r="AN69" s="257" t="s">
        <v>1190</v>
      </c>
      <c r="AO69" s="260"/>
      <c r="AP69" s="261"/>
      <c r="AQ69" s="261"/>
      <c r="AR69" s="266"/>
      <c r="AS69" s="275" t="str">
        <f>IF(AR69="","",IF(ISNUMBER(SEARCH("جازان",AR69)),"مستشفى جازان العام",IF(ISNUMBER(SEARCH("صبيا",AR69)),"مستشفى صبيا العام",IF(ISNUMBER(SEARCH("عريش",AR69)),"مستشفى أبو عريش العام",IF(ISNUMBER(SEARCH("صامط",AR69)),"مستشفى صامطة العام",IF(ISNUMBER(SEARCH("بيش",AR69)),"مستشفى بيش العام",IF(ISNUMBER(SEARCH("فهد",AR69)),"مستشفى الملك فهد المركزي",AR69)))))))</f>
        <v/>
      </c>
      <c r="AT69" s="275">
        <f>ROW()-1</f>
        <v>68</v>
      </c>
      <c r="AU69" s="275"/>
      <c r="AV69" s="275" t="str">
        <f>IFERROR(NETWORKDAYS.INTL(P69,IF(ISNUMBER(AI69),AI69,DATEVALUE(AI69)),"0000011")-1,"N/A")</f>
        <v>N/A</v>
      </c>
      <c r="AW69" s="275"/>
      <c r="AX69" s="275"/>
    </row>
    <row r="70" spans="1:50" s="30" customFormat="1" ht="22.5">
      <c r="A70" s="124">
        <v>145</v>
      </c>
      <c r="B70" s="125">
        <v>46105.3727546296</v>
      </c>
      <c r="C70" s="125">
        <v>46105.378379629597</v>
      </c>
      <c r="D70" s="131" t="s">
        <v>662</v>
      </c>
      <c r="E70" s="131"/>
      <c r="F70" s="131" t="s">
        <v>277</v>
      </c>
      <c r="G70" s="131"/>
      <c r="H70" s="131" t="s">
        <v>986</v>
      </c>
      <c r="I70" s="131"/>
      <c r="J70" s="131"/>
      <c r="K70" s="131"/>
      <c r="L70" s="131"/>
      <c r="M70" s="131"/>
      <c r="N70" s="131"/>
      <c r="O70" s="1" t="str">
        <f>_xlfn.CONCAT(OfficeForms.Table3[[#This Row],[القطاع الغربي (Western Sector)]:[القطاع فرسان (Farasan Sector)]])</f>
        <v>مركز الأحد</v>
      </c>
      <c r="P70" s="132">
        <v>46105</v>
      </c>
      <c r="Q70" s="132">
        <v>45950</v>
      </c>
      <c r="R70" s="134" t="s">
        <v>1196</v>
      </c>
      <c r="S70" s="146" t="s">
        <v>1197</v>
      </c>
      <c r="T70" s="1"/>
      <c r="U70" s="137" t="s">
        <v>1198</v>
      </c>
      <c r="V70" s="123" t="s">
        <v>1199</v>
      </c>
      <c r="W70" s="138" t="s">
        <v>1200</v>
      </c>
      <c r="X70" s="159" t="s">
        <v>1201</v>
      </c>
      <c r="Y70" s="134" t="s">
        <v>1202</v>
      </c>
      <c r="Z70" s="131" t="s">
        <v>704</v>
      </c>
      <c r="AA70" s="155"/>
      <c r="AB70" s="131"/>
      <c r="AC70" s="155"/>
      <c r="AD70" s="131" t="s">
        <v>642</v>
      </c>
      <c r="AE70" s="131"/>
      <c r="AF70" s="1"/>
      <c r="AG70" s="131" t="s">
        <v>1203</v>
      </c>
      <c r="AH70" s="131" t="s">
        <v>1204</v>
      </c>
      <c r="AI70" s="237" t="s">
        <v>1043</v>
      </c>
      <c r="AJ70" s="242" t="s">
        <v>695</v>
      </c>
      <c r="AK70" s="245" t="str">
        <f t="shared" si="1"/>
        <v>✅ ملتزم</v>
      </c>
      <c r="AL70" s="249"/>
      <c r="AM70" s="241" t="s">
        <v>1074</v>
      </c>
      <c r="AN70" s="255" t="s">
        <v>1195</v>
      </c>
      <c r="AO70" s="260"/>
      <c r="AP70" s="261"/>
      <c r="AQ70" s="261"/>
      <c r="AR70" s="265" t="s">
        <v>1074</v>
      </c>
      <c r="AS70" s="275" t="str">
        <f>IF(AR70="","",IF(ISNUMBER(SEARCH("جازان",AR70)),"مستشفى جازان العام",IF(ISNUMBER(SEARCH("صبيا",AR70)),"مستشفى صبيا العام",IF(ISNUMBER(SEARCH("عريش",AR70)),"مستشفى أبو عريش العام",IF(ISNUMBER(SEARCH("صامط",AR70)),"مستشفى صامطة العام",IF(ISNUMBER(SEARCH("بيش",AR70)),"مستشفى بيش العام",IF(ISNUMBER(SEARCH("فهد",AR70)),"مستشفى الملك فهد المركزي",AR70)))))))</f>
        <v>مستشفى أبو عريش العام</v>
      </c>
      <c r="AT70" s="275">
        <f>ROW()-1</f>
        <v>69</v>
      </c>
      <c r="AU70" s="275"/>
      <c r="AV70" s="275">
        <f>IFERROR(NETWORKDAYS.INTL(P70,IF(ISNUMBER(AI70),AI70,DATEVALUE(AI70)),"0000011")-1,"N/A")</f>
        <v>2</v>
      </c>
      <c r="AW70" s="275"/>
      <c r="AX70" s="275"/>
    </row>
    <row r="71" spans="1:50" s="30" customFormat="1" ht="102">
      <c r="A71" s="127">
        <v>146</v>
      </c>
      <c r="B71" s="129">
        <v>46106.414143518501</v>
      </c>
      <c r="C71" s="129">
        <v>46106.420127314799</v>
      </c>
      <c r="D71" s="130" t="s">
        <v>662</v>
      </c>
      <c r="E71" s="130"/>
      <c r="F71" s="130" t="s">
        <v>271</v>
      </c>
      <c r="G71" s="130"/>
      <c r="H71" s="130"/>
      <c r="I71" s="130"/>
      <c r="J71" s="130"/>
      <c r="K71" s="130" t="s">
        <v>696</v>
      </c>
      <c r="L71" s="130"/>
      <c r="M71" s="130"/>
      <c r="N71" s="130"/>
      <c r="O71" s="1" t="str">
        <f>_xlfn.CONCAT(OfficeForms.Table3[[#This Row],[القطاع الغربي (Western Sector)]:[القطاع فرسان (Farasan Sector)]])</f>
        <v>الكربوس</v>
      </c>
      <c r="P71" s="133">
        <v>46106</v>
      </c>
      <c r="Q71" s="133">
        <v>46038</v>
      </c>
      <c r="R71" s="136" t="s">
        <v>1205</v>
      </c>
      <c r="S71" s="147" t="s">
        <v>1206</v>
      </c>
      <c r="T71" s="1"/>
      <c r="U71" s="136" t="s">
        <v>1207</v>
      </c>
      <c r="V71" s="148" t="s">
        <v>1208</v>
      </c>
      <c r="W71" s="140" t="s">
        <v>696</v>
      </c>
      <c r="X71" s="161" t="s">
        <v>702</v>
      </c>
      <c r="Y71" s="148" t="s">
        <v>1209</v>
      </c>
      <c r="Z71" s="154" t="s">
        <v>772</v>
      </c>
      <c r="AA71" s="154"/>
      <c r="AB71" s="130" t="s">
        <v>821</v>
      </c>
      <c r="AC71" s="154"/>
      <c r="AD71" s="130" t="s">
        <v>642</v>
      </c>
      <c r="AE71" s="130"/>
      <c r="AF71" s="1"/>
      <c r="AG71" s="130" t="s">
        <v>705</v>
      </c>
      <c r="AH71" s="130"/>
      <c r="AI71" s="237" t="s">
        <v>1043</v>
      </c>
      <c r="AJ71" s="242" t="s">
        <v>645</v>
      </c>
      <c r="AK71" s="245" t="str">
        <f t="shared" si="1"/>
        <v>✅ ملتزم</v>
      </c>
      <c r="AL71" s="249"/>
      <c r="AM71" s="241" t="s">
        <v>53</v>
      </c>
      <c r="AN71" s="255" t="s">
        <v>695</v>
      </c>
      <c r="AO71" s="260"/>
      <c r="AP71" s="261"/>
      <c r="AQ71" s="261"/>
      <c r="AR71" s="266" t="s">
        <v>53</v>
      </c>
      <c r="AS71" s="275" t="str">
        <f>IF(AR71="","",IF(ISNUMBER(SEARCH("جازان",AR71)),"مستشفى جازان العام",IF(ISNUMBER(SEARCH("صبيا",AR71)),"مستشفى صبيا العام",IF(ISNUMBER(SEARCH("عريش",AR71)),"مستشفى أبو عريش العام",IF(ISNUMBER(SEARCH("صامط",AR71)),"مستشفى صامطة العام",IF(ISNUMBER(SEARCH("بيش",AR71)),"مستشفى بيش العام",IF(ISNUMBER(SEARCH("فهد",AR71)),"مستشفى الملك فهد المركزي",AR71)))))))</f>
        <v>مستشفى جازان العام</v>
      </c>
      <c r="AT71" s="275">
        <f>ROW()-1</f>
        <v>70</v>
      </c>
      <c r="AU71" s="275"/>
      <c r="AV71" s="275">
        <f>IFERROR(NETWORKDAYS.INTL(P71,IF(ISNUMBER(AI71),AI71,DATEVALUE(AI71)),"0000011")-1,"N/A")</f>
        <v>1</v>
      </c>
      <c r="AW71" s="275"/>
      <c r="AX71" s="275"/>
    </row>
    <row r="72" spans="1:50" s="30" customFormat="1" ht="22.5">
      <c r="A72" s="124">
        <v>147</v>
      </c>
      <c r="B72" s="126">
        <v>46106.451261574097</v>
      </c>
      <c r="C72" s="126">
        <v>46106.457997685196</v>
      </c>
      <c r="D72" s="131" t="s">
        <v>662</v>
      </c>
      <c r="E72" s="131"/>
      <c r="F72" s="131" t="s">
        <v>279</v>
      </c>
      <c r="G72" s="131"/>
      <c r="H72" s="131"/>
      <c r="I72" s="131"/>
      <c r="J72" s="131" t="s">
        <v>764</v>
      </c>
      <c r="K72" s="131"/>
      <c r="L72" s="131"/>
      <c r="M72" s="131"/>
      <c r="N72" s="131"/>
      <c r="O72" s="1" t="str">
        <f>_xlfn.CONCAT(OfficeForms.Table3[[#This Row],[القطاع الغربي (Western Sector)]:[القطاع فرسان (Farasan Sector)]])</f>
        <v>مركز الريث</v>
      </c>
      <c r="P72" s="132">
        <v>46106</v>
      </c>
      <c r="Q72" s="132">
        <v>45909</v>
      </c>
      <c r="R72" s="134" t="s">
        <v>896</v>
      </c>
      <c r="S72" s="146" t="s">
        <v>1210</v>
      </c>
      <c r="T72" s="1"/>
      <c r="U72" s="137" t="s">
        <v>1211</v>
      </c>
      <c r="V72" s="123" t="s">
        <v>1212</v>
      </c>
      <c r="W72" s="141" t="s">
        <v>1213</v>
      </c>
      <c r="X72" s="162" t="s">
        <v>1214</v>
      </c>
      <c r="Y72" s="123" t="s">
        <v>1215</v>
      </c>
      <c r="Z72" s="155"/>
      <c r="AA72" s="155"/>
      <c r="AB72" s="131"/>
      <c r="AC72" s="155"/>
      <c r="AD72" s="131" t="s">
        <v>642</v>
      </c>
      <c r="AE72" s="131"/>
      <c r="AF72" s="1"/>
      <c r="AG72" s="131" t="s">
        <v>1216</v>
      </c>
      <c r="AH72" s="131"/>
      <c r="AI72" s="237" t="s">
        <v>1217</v>
      </c>
      <c r="AJ72" s="242" t="s">
        <v>695</v>
      </c>
      <c r="AK72" s="245" t="str">
        <f t="shared" si="1"/>
        <v>❌ غير ملتزم</v>
      </c>
      <c r="AL72" s="249"/>
      <c r="AM72" s="241" t="s">
        <v>729</v>
      </c>
      <c r="AN72" s="255" t="s">
        <v>645</v>
      </c>
      <c r="AO72" s="260"/>
      <c r="AP72" s="261"/>
      <c r="AQ72" s="261"/>
      <c r="AR72" s="265" t="s">
        <v>729</v>
      </c>
      <c r="AS72" s="275" t="str">
        <f>IF(AR72="","",IF(ISNUMBER(SEARCH("جازان",AR72)),"مستشفى جازان العام",IF(ISNUMBER(SEARCH("صبيا",AR72)),"مستشفى صبيا العام",IF(ISNUMBER(SEARCH("عريش",AR72)),"مستشفى أبو عريش العام",IF(ISNUMBER(SEARCH("صامط",AR72)),"مستشفى صامطة العام",IF(ISNUMBER(SEARCH("بيش",AR72)),"مستشفى بيش العام",IF(ISNUMBER(SEARCH("فهد",AR72)),"مستشفى الملك فهد المركزي",AR72)))))))</f>
        <v>مستشفى بيش العام</v>
      </c>
      <c r="AT72" s="275">
        <f>ROW()-1</f>
        <v>71</v>
      </c>
      <c r="AU72" s="275"/>
      <c r="AV72" s="275">
        <f>IFERROR(NETWORKDAYS.INTL(P72,IF(ISNUMBER(AI72),AI72,DATEVALUE(AI72)),"0000011")-1,"N/A")</f>
        <v>3</v>
      </c>
      <c r="AW72" s="275"/>
      <c r="AX72" s="275"/>
    </row>
    <row r="73" spans="1:50" s="30" customFormat="1" ht="51">
      <c r="A73" s="127">
        <v>148</v>
      </c>
      <c r="B73" s="129">
        <v>46106.543032407397</v>
      </c>
      <c r="C73" s="129">
        <v>46106.551412036999</v>
      </c>
      <c r="D73" s="130" t="s">
        <v>662</v>
      </c>
      <c r="E73" s="130"/>
      <c r="F73" s="130" t="s">
        <v>277</v>
      </c>
      <c r="G73" s="130"/>
      <c r="H73" s="130" t="s">
        <v>1218</v>
      </c>
      <c r="I73" s="130"/>
      <c r="J73" s="130"/>
      <c r="K73" s="130"/>
      <c r="L73" s="130"/>
      <c r="M73" s="130"/>
      <c r="N73" s="130"/>
      <c r="O73" s="1" t="str">
        <f>_xlfn.CONCAT(OfficeForms.Table3[[#This Row],[القطاع الغربي (Western Sector)]:[القطاع فرسان (Farasan Sector)]])</f>
        <v>مركز الاميرة فهده</v>
      </c>
      <c r="P73" s="133">
        <v>46106</v>
      </c>
      <c r="Q73" s="133">
        <v>45976</v>
      </c>
      <c r="R73" s="135" t="s">
        <v>1219</v>
      </c>
      <c r="S73" s="145">
        <v>46256</v>
      </c>
      <c r="T73" s="1"/>
      <c r="U73" s="136" t="s">
        <v>1220</v>
      </c>
      <c r="V73" s="148" t="s">
        <v>1221</v>
      </c>
      <c r="W73" s="140" t="s">
        <v>1222</v>
      </c>
      <c r="X73" s="161" t="s">
        <v>1223</v>
      </c>
      <c r="Y73" s="149">
        <v>559183900</v>
      </c>
      <c r="Z73" s="154" t="s">
        <v>1224</v>
      </c>
      <c r="AA73" s="154" t="s">
        <v>1050</v>
      </c>
      <c r="AB73" s="130"/>
      <c r="AC73" s="154"/>
      <c r="AD73" s="130" t="s">
        <v>642</v>
      </c>
      <c r="AE73" s="130"/>
      <c r="AF73" s="1"/>
      <c r="AG73" s="130" t="s">
        <v>1225</v>
      </c>
      <c r="AH73" s="130" t="s">
        <v>1226</v>
      </c>
      <c r="AI73" s="237" t="s">
        <v>1227</v>
      </c>
      <c r="AJ73" s="242" t="s">
        <v>645</v>
      </c>
      <c r="AK73" s="245" t="str">
        <f t="shared" si="1"/>
        <v>✅ ملتزم</v>
      </c>
      <c r="AL73" s="249"/>
      <c r="AM73" s="241" t="s">
        <v>65</v>
      </c>
      <c r="AN73" s="255" t="s">
        <v>695</v>
      </c>
      <c r="AO73" s="260"/>
      <c r="AP73" s="261"/>
      <c r="AQ73" s="261"/>
      <c r="AR73" s="266" t="s">
        <v>65</v>
      </c>
      <c r="AS73" s="275" t="str">
        <f>IF(AR73="","",IF(ISNUMBER(SEARCH("جازان",AR73)),"مستشفى جازان العام",IF(ISNUMBER(SEARCH("صبيا",AR73)),"مستشفى صبيا العام",IF(ISNUMBER(SEARCH("عريش",AR73)),"مستشفى أبو عريش العام",IF(ISNUMBER(SEARCH("صامط",AR73)),"مستشفى صامطة العام",IF(ISNUMBER(SEARCH("بيش",AR73)),"مستشفى بيش العام",IF(ISNUMBER(SEARCH("فهد",AR73)),"مستشفى الملك فهد المركزي",AR73)))))))</f>
        <v>مستشفى صامطة العام</v>
      </c>
      <c r="AT73" s="275">
        <f>ROW()-1</f>
        <v>72</v>
      </c>
      <c r="AU73" s="275"/>
      <c r="AV73" s="275">
        <f>IFERROR(NETWORKDAYS.INTL(P73,IF(ISNUMBER(AI73),AI73,DATEVALUE(AI73)),"0000011")-1,"N/A")</f>
        <v>2</v>
      </c>
      <c r="AW73" s="275"/>
      <c r="AX73" s="275"/>
    </row>
    <row r="74" spans="1:50" s="30" customFormat="1" ht="22.5">
      <c r="A74" s="124">
        <v>149</v>
      </c>
      <c r="B74" s="126">
        <v>46107.416423611103</v>
      </c>
      <c r="C74" s="126">
        <v>46107.428437499999</v>
      </c>
      <c r="D74" s="131" t="s">
        <v>662</v>
      </c>
      <c r="E74" s="131"/>
      <c r="F74" s="131" t="s">
        <v>271</v>
      </c>
      <c r="G74" s="131"/>
      <c r="H74" s="131"/>
      <c r="I74" s="131"/>
      <c r="J74" s="131"/>
      <c r="K74" s="131" t="s">
        <v>913</v>
      </c>
      <c r="L74" s="131"/>
      <c r="M74" s="131"/>
      <c r="N74" s="131"/>
      <c r="O74" s="1" t="str">
        <f>_xlfn.CONCAT(OfficeForms.Table3[[#This Row],[القطاع الغربي (Western Sector)]:[القطاع فرسان (Farasan Sector)]])</f>
        <v>مركز الروضة ج</v>
      </c>
      <c r="P74" s="132">
        <v>46107</v>
      </c>
      <c r="Q74" s="132">
        <v>46043</v>
      </c>
      <c r="R74" s="134" t="s">
        <v>1228</v>
      </c>
      <c r="S74" s="144">
        <v>32028</v>
      </c>
      <c r="T74" s="1"/>
      <c r="U74" s="137" t="s">
        <v>1229</v>
      </c>
      <c r="V74" s="123" t="s">
        <v>1230</v>
      </c>
      <c r="W74" s="141" t="s">
        <v>1231</v>
      </c>
      <c r="X74" s="162" t="s">
        <v>1232</v>
      </c>
      <c r="Y74" s="123" t="s">
        <v>1233</v>
      </c>
      <c r="Z74" s="155"/>
      <c r="AA74" s="155"/>
      <c r="AB74" s="131" t="s">
        <v>861</v>
      </c>
      <c r="AC74" s="155"/>
      <c r="AD74" s="131" t="s">
        <v>642</v>
      </c>
      <c r="AE74" s="131"/>
      <c r="AF74" s="1"/>
      <c r="AG74" s="131" t="s">
        <v>1234</v>
      </c>
      <c r="AH74" s="131" t="s">
        <v>1235</v>
      </c>
      <c r="AI74" s="237" t="s">
        <v>1236</v>
      </c>
      <c r="AJ74" s="242" t="s">
        <v>1131</v>
      </c>
      <c r="AK74" s="245" t="str">
        <f t="shared" si="1"/>
        <v>❌ غير ملتزم</v>
      </c>
      <c r="AL74" s="249"/>
      <c r="AM74" s="241" t="s">
        <v>53</v>
      </c>
      <c r="AN74" s="255" t="s">
        <v>645</v>
      </c>
      <c r="AO74" s="260"/>
      <c r="AP74" s="261"/>
      <c r="AQ74" s="261"/>
      <c r="AR74" s="265" t="s">
        <v>53</v>
      </c>
      <c r="AS74" s="275" t="str">
        <f>IF(AR74="","",IF(ISNUMBER(SEARCH("جازان",AR74)),"مستشفى جازان العام",IF(ISNUMBER(SEARCH("صبيا",AR74)),"مستشفى صبيا العام",IF(ISNUMBER(SEARCH("عريش",AR74)),"مستشفى أبو عريش العام",IF(ISNUMBER(SEARCH("صامط",AR74)),"مستشفى صامطة العام",IF(ISNUMBER(SEARCH("بيش",AR74)),"مستشفى بيش العام",IF(ISNUMBER(SEARCH("فهد",AR74)),"مستشفى الملك فهد المركزي",AR74)))))))</f>
        <v>مستشفى جازان العام</v>
      </c>
      <c r="AT74" s="275">
        <f>ROW()-1</f>
        <v>73</v>
      </c>
      <c r="AU74" s="275"/>
      <c r="AV74" s="275">
        <f>IFERROR(NETWORKDAYS.INTL(P74,IF(ISNUMBER(AI74),AI74,DATEVALUE(AI74)),"0000011")-1,"N/A")</f>
        <v>4</v>
      </c>
      <c r="AW74" s="275"/>
      <c r="AX74" s="275"/>
    </row>
    <row r="75" spans="1:50" s="30" customFormat="1" ht="63.75">
      <c r="A75" s="127">
        <v>150</v>
      </c>
      <c r="B75" s="129">
        <v>46107.507465277798</v>
      </c>
      <c r="C75" s="129">
        <v>46107.518692129597</v>
      </c>
      <c r="D75" s="130" t="s">
        <v>662</v>
      </c>
      <c r="E75" s="130"/>
      <c r="F75" s="130" t="s">
        <v>275</v>
      </c>
      <c r="G75" s="130" t="s">
        <v>802</v>
      </c>
      <c r="H75" s="130"/>
      <c r="I75" s="130"/>
      <c r="J75" s="130"/>
      <c r="K75" s="130"/>
      <c r="L75" s="130"/>
      <c r="M75" s="130"/>
      <c r="N75" s="130"/>
      <c r="O75" s="1" t="str">
        <f>_xlfn.CONCAT(OfficeForms.Table3[[#This Row],[القطاع الغربي (Western Sector)]:[القطاع فرسان (Farasan Sector)]])</f>
        <v>مركز الصهاليل</v>
      </c>
      <c r="P75" s="133">
        <v>46107</v>
      </c>
      <c r="Q75" s="133">
        <v>46017</v>
      </c>
      <c r="R75" s="135" t="s">
        <v>1237</v>
      </c>
      <c r="S75" s="145">
        <v>36861</v>
      </c>
      <c r="T75" s="1"/>
      <c r="U75" s="136" t="s">
        <v>1238</v>
      </c>
      <c r="V75" s="148" t="s">
        <v>1239</v>
      </c>
      <c r="W75" s="140" t="s">
        <v>973</v>
      </c>
      <c r="X75" s="161" t="s">
        <v>808</v>
      </c>
      <c r="Y75" s="148" t="s">
        <v>1240</v>
      </c>
      <c r="Z75" s="154" t="s">
        <v>1241</v>
      </c>
      <c r="AA75" s="154"/>
      <c r="AB75" s="130"/>
      <c r="AC75" s="154"/>
      <c r="AD75" s="130" t="s">
        <v>642</v>
      </c>
      <c r="AE75" s="130"/>
      <c r="AF75" s="1"/>
      <c r="AG75" s="130" t="s">
        <v>810</v>
      </c>
      <c r="AH75" s="130" t="s">
        <v>1242</v>
      </c>
      <c r="AI75" s="237" t="s">
        <v>895</v>
      </c>
      <c r="AJ75" s="242" t="s">
        <v>1131</v>
      </c>
      <c r="AK75" s="245" t="str">
        <f t="shared" si="1"/>
        <v>❌ غير ملتزم</v>
      </c>
      <c r="AL75" s="249"/>
      <c r="AM75" s="241" t="s">
        <v>57</v>
      </c>
      <c r="AN75" s="255" t="s">
        <v>1131</v>
      </c>
      <c r="AO75" s="260"/>
      <c r="AP75" s="261"/>
      <c r="AQ75" s="261"/>
      <c r="AR75" s="266" t="s">
        <v>57</v>
      </c>
      <c r="AS75" s="275" t="str">
        <f>IF(AR75="","",IF(ISNUMBER(SEARCH("جازان",AR75)),"مستشفى جازان العام",IF(ISNUMBER(SEARCH("صبيا",AR75)),"مستشفى صبيا العام",IF(ISNUMBER(SEARCH("عريش",AR75)),"مستشفى أبو عريش العام",IF(ISNUMBER(SEARCH("صامط",AR75)),"مستشفى صامطة العام",IF(ISNUMBER(SEARCH("بيش",AR75)),"مستشفى بيش العام",IF(ISNUMBER(SEARCH("فهد",AR75)),"مستشفى الملك فهد المركزي",AR75)))))))</f>
        <v>مستشفى صبيا العام</v>
      </c>
      <c r="AT75" s="275">
        <f>ROW()-1</f>
        <v>74</v>
      </c>
      <c r="AU75" s="275"/>
      <c r="AV75" s="275">
        <f>IFERROR(NETWORKDAYS.INTL(P75,IF(ISNUMBER(AI75),AI75,DATEVALUE(AI75)),"0000011")-1,"N/A")</f>
        <v>5</v>
      </c>
      <c r="AW75" s="275"/>
      <c r="AX75" s="275"/>
    </row>
    <row r="76" spans="1:50" s="30" customFormat="1" ht="152.25">
      <c r="A76" s="124">
        <v>151</v>
      </c>
      <c r="B76" s="126">
        <v>46107.366446759297</v>
      </c>
      <c r="C76" s="126">
        <v>46107.572627314803</v>
      </c>
      <c r="D76" s="131" t="s">
        <v>662</v>
      </c>
      <c r="E76" s="131"/>
      <c r="F76" s="131" t="s">
        <v>277</v>
      </c>
      <c r="G76" s="131"/>
      <c r="H76" s="131" t="s">
        <v>738</v>
      </c>
      <c r="I76" s="131"/>
      <c r="J76" s="131"/>
      <c r="K76" s="131"/>
      <c r="L76" s="131"/>
      <c r="M76" s="131"/>
      <c r="N76" s="131"/>
      <c r="O76" s="1" t="str">
        <f>_xlfn.CONCAT(OfficeForms.Table3[[#This Row],[القطاع الغربي (Western Sector)]:[القطاع فرسان (Farasan Sector)]])</f>
        <v>مركز الخارش</v>
      </c>
      <c r="P76" s="132">
        <v>46107</v>
      </c>
      <c r="Q76" s="132">
        <v>45881</v>
      </c>
      <c r="R76" s="134" t="s">
        <v>1243</v>
      </c>
      <c r="S76" s="146" t="s">
        <v>1244</v>
      </c>
      <c r="T76" s="1"/>
      <c r="U76" s="137" t="s">
        <v>1245</v>
      </c>
      <c r="V76" s="150">
        <v>9</v>
      </c>
      <c r="W76" s="141" t="s">
        <v>1246</v>
      </c>
      <c r="X76" s="162" t="s">
        <v>1247</v>
      </c>
      <c r="Y76" s="123" t="s">
        <v>1248</v>
      </c>
      <c r="Z76" s="155" t="s">
        <v>1249</v>
      </c>
      <c r="AA76" s="155" t="s">
        <v>736</v>
      </c>
      <c r="AB76" s="131"/>
      <c r="AC76" s="155" t="s">
        <v>642</v>
      </c>
      <c r="AD76" s="131" t="s">
        <v>642</v>
      </c>
      <c r="AE76" s="131"/>
      <c r="AF76" s="1"/>
      <c r="AG76" s="131" t="s">
        <v>1250</v>
      </c>
      <c r="AH76" s="131"/>
      <c r="AI76" s="237" t="s">
        <v>1236</v>
      </c>
      <c r="AJ76" s="242" t="s">
        <v>1131</v>
      </c>
      <c r="AK76" s="245" t="str">
        <f t="shared" si="1"/>
        <v>❌ غير ملتزم</v>
      </c>
      <c r="AL76" s="249"/>
      <c r="AM76" s="241" t="s">
        <v>1074</v>
      </c>
      <c r="AN76" s="255" t="s">
        <v>1131</v>
      </c>
      <c r="AO76" s="260"/>
      <c r="AP76" s="261"/>
      <c r="AQ76" s="261"/>
      <c r="AR76" s="271" t="s">
        <v>1074</v>
      </c>
      <c r="AS76" s="275" t="str">
        <f>IF(AR76="","",IF(ISNUMBER(SEARCH("جازان",AR76)),"مستشفى جازان العام",IF(ISNUMBER(SEARCH("صبيا",AR76)),"مستشفى صبيا العام",IF(ISNUMBER(SEARCH("عريش",AR76)),"مستشفى أبو عريش العام",IF(ISNUMBER(SEARCH("صامط",AR76)),"مستشفى صامطة العام",IF(ISNUMBER(SEARCH("بيش",AR76)),"مستشفى بيش العام",IF(ISNUMBER(SEARCH("فهد",AR76)),"مستشفى الملك فهد المركزي",AR76)))))))</f>
        <v>مستشفى أبو عريش العام</v>
      </c>
      <c r="AT76" s="275">
        <f>ROW()-1</f>
        <v>75</v>
      </c>
      <c r="AU76" s="275"/>
      <c r="AV76" s="275">
        <f>IFERROR(NETWORKDAYS.INTL(P76,IF(ISNUMBER(AI76),AI76,DATEVALUE(AI76)),"0000011")-1,"N/A")</f>
        <v>4</v>
      </c>
      <c r="AW76" s="275"/>
      <c r="AX76" s="275"/>
    </row>
    <row r="77" spans="1:50" s="30" customFormat="1" ht="51">
      <c r="A77" s="127">
        <v>152</v>
      </c>
      <c r="B77" s="129">
        <v>46107.6108564815</v>
      </c>
      <c r="C77" s="129">
        <v>46107.619699074101</v>
      </c>
      <c r="D77" s="130" t="s">
        <v>662</v>
      </c>
      <c r="E77" s="130"/>
      <c r="F77" s="130" t="s">
        <v>271</v>
      </c>
      <c r="G77" s="130"/>
      <c r="H77" s="130"/>
      <c r="I77" s="130"/>
      <c r="J77" s="130"/>
      <c r="K77" s="130" t="s">
        <v>913</v>
      </c>
      <c r="L77" s="130"/>
      <c r="M77" s="130"/>
      <c r="N77" s="130"/>
      <c r="O77" s="1" t="str">
        <f>_xlfn.CONCAT(OfficeForms.Table3[[#This Row],[القطاع الغربي (Western Sector)]:[القطاع فرسان (Farasan Sector)]])</f>
        <v>مركز الروضة ج</v>
      </c>
      <c r="P77" s="133">
        <v>46107</v>
      </c>
      <c r="Q77" s="133">
        <v>46034</v>
      </c>
      <c r="R77" s="135" t="s">
        <v>1251</v>
      </c>
      <c r="S77" s="145">
        <v>33970</v>
      </c>
      <c r="T77" s="1"/>
      <c r="U77" s="136" t="s">
        <v>1252</v>
      </c>
      <c r="V77" s="148" t="s">
        <v>1253</v>
      </c>
      <c r="W77" s="140" t="s">
        <v>1254</v>
      </c>
      <c r="X77" s="161" t="s">
        <v>1232</v>
      </c>
      <c r="Y77" s="148" t="s">
        <v>1255</v>
      </c>
      <c r="Z77" s="154" t="s">
        <v>941</v>
      </c>
      <c r="AA77" s="154"/>
      <c r="AB77" s="130" t="s">
        <v>821</v>
      </c>
      <c r="AC77" s="154" t="s">
        <v>773</v>
      </c>
      <c r="AD77" s="130" t="s">
        <v>642</v>
      </c>
      <c r="AE77" s="130"/>
      <c r="AF77" s="1"/>
      <c r="AG77" s="130" t="s">
        <v>1256</v>
      </c>
      <c r="AH77" s="130" t="s">
        <v>1257</v>
      </c>
      <c r="AI77" s="237" t="s">
        <v>1236</v>
      </c>
      <c r="AJ77" s="242" t="s">
        <v>1131</v>
      </c>
      <c r="AK77" s="245" t="str">
        <f t="shared" si="1"/>
        <v>❌ غير ملتزم</v>
      </c>
      <c r="AL77" s="249"/>
      <c r="AM77" s="241" t="s">
        <v>53</v>
      </c>
      <c r="AN77" s="255" t="s">
        <v>1131</v>
      </c>
      <c r="AO77" s="260"/>
      <c r="AP77" s="261"/>
      <c r="AQ77" s="261"/>
      <c r="AR77" s="266" t="s">
        <v>53</v>
      </c>
      <c r="AS77" s="275" t="str">
        <f>IF(AR77="","",IF(ISNUMBER(SEARCH("جازان",AR77)),"مستشفى جازان العام",IF(ISNUMBER(SEARCH("صبيا",AR77)),"مستشفى صبيا العام",IF(ISNUMBER(SEARCH("عريش",AR77)),"مستشفى أبو عريش العام",IF(ISNUMBER(SEARCH("صامط",AR77)),"مستشفى صامطة العام",IF(ISNUMBER(SEARCH("بيش",AR77)),"مستشفى بيش العام",IF(ISNUMBER(SEARCH("فهد",AR77)),"مستشفى الملك فهد المركزي",AR77)))))))</f>
        <v>مستشفى جازان العام</v>
      </c>
      <c r="AT77" s="275">
        <f>ROW()-1</f>
        <v>76</v>
      </c>
      <c r="AU77" s="275"/>
      <c r="AV77" s="275">
        <f>IFERROR(NETWORKDAYS.INTL(P77,IF(ISNUMBER(AI77),AI77,DATEVALUE(AI77)),"0000011")-1,"N/A")</f>
        <v>4</v>
      </c>
      <c r="AW77" s="275"/>
      <c r="AX77" s="275"/>
    </row>
    <row r="78" spans="1:50" s="30" customFormat="1" ht="39">
      <c r="A78" s="124">
        <v>153</v>
      </c>
      <c r="B78" s="126">
        <v>46107.645150463002</v>
      </c>
      <c r="C78" s="126">
        <v>46107.651331018496</v>
      </c>
      <c r="D78" s="131" t="s">
        <v>662</v>
      </c>
      <c r="E78" s="131"/>
      <c r="F78" s="131" t="s">
        <v>943</v>
      </c>
      <c r="G78" s="131"/>
      <c r="H78" s="131"/>
      <c r="I78" s="131" t="s">
        <v>1258</v>
      </c>
      <c r="J78" s="131"/>
      <c r="K78" s="131"/>
      <c r="L78" s="131"/>
      <c r="M78" s="131"/>
      <c r="N78" s="131"/>
      <c r="O78" s="1" t="str">
        <f>_xlfn.CONCAT(OfficeForms.Table3[[#This Row],[القطاع الغربي (Western Sector)]:[القطاع فرسان (Farasan Sector)]])</f>
        <v>مركز البيض</v>
      </c>
      <c r="P78" s="132">
        <v>46107</v>
      </c>
      <c r="Q78" s="132">
        <v>45961</v>
      </c>
      <c r="R78" s="134" t="s">
        <v>1156</v>
      </c>
      <c r="S78" s="146" t="s">
        <v>1259</v>
      </c>
      <c r="T78" s="1"/>
      <c r="U78" s="137" t="s">
        <v>1260</v>
      </c>
      <c r="V78" s="123">
        <v>1086175096</v>
      </c>
      <c r="W78" s="141" t="s">
        <v>1261</v>
      </c>
      <c r="X78" s="162" t="s">
        <v>982</v>
      </c>
      <c r="Y78" s="123" t="s">
        <v>1262</v>
      </c>
      <c r="Z78" s="155" t="s">
        <v>1263</v>
      </c>
      <c r="AA78" s="155"/>
      <c r="AB78" s="131"/>
      <c r="AC78" s="155"/>
      <c r="AD78" s="131" t="s">
        <v>642</v>
      </c>
      <c r="AE78" s="131"/>
      <c r="AF78" s="1"/>
      <c r="AG78" s="131" t="s">
        <v>985</v>
      </c>
      <c r="AH78" s="131" t="s">
        <v>1264</v>
      </c>
      <c r="AI78" s="237" t="s">
        <v>1217</v>
      </c>
      <c r="AJ78" s="242" t="s">
        <v>695</v>
      </c>
      <c r="AK78" s="245" t="str">
        <f t="shared" si="1"/>
        <v>✅ ملتزم</v>
      </c>
      <c r="AL78" s="249"/>
      <c r="AM78" s="241" t="s">
        <v>846</v>
      </c>
      <c r="AN78" s="255" t="s">
        <v>1131</v>
      </c>
      <c r="AO78" s="260"/>
      <c r="AP78" s="261"/>
      <c r="AQ78" s="261"/>
      <c r="AR78" s="265" t="s">
        <v>846</v>
      </c>
      <c r="AS78" s="275" t="str">
        <f>IF(AR78="","",IF(ISNUMBER(SEARCH("جازان",AR78)),"مستشفى جازان العام",IF(ISNUMBER(SEARCH("صبيا",AR78)),"مستشفى صبيا العام",IF(ISNUMBER(SEARCH("عريش",AR78)),"مستشفى أبو عريش العام",IF(ISNUMBER(SEARCH("صامط",AR78)),"مستشفى صامطة العام",IF(ISNUMBER(SEARCH("بيش",AR78)),"مستشفى بيش العام",IF(ISNUMBER(SEARCH("فهد",AR78)),"مستشفى الملك فهد المركزي",AR78)))))))</f>
        <v>مستشفى أبو عريش العام</v>
      </c>
      <c r="AT78" s="275">
        <f>ROW()-1</f>
        <v>77</v>
      </c>
      <c r="AU78" s="275"/>
      <c r="AV78" s="275">
        <f>IFERROR(NETWORKDAYS.INTL(P78,IF(ISNUMBER(AI78),AI78,DATEVALUE(AI78)),"0000011")-1,"N/A")</f>
        <v>2</v>
      </c>
      <c r="AW78" s="275"/>
      <c r="AX78" s="275"/>
    </row>
    <row r="79" spans="1:50" s="30" customFormat="1" ht="51">
      <c r="A79" s="127">
        <v>154</v>
      </c>
      <c r="B79" s="129">
        <v>46110.363275463002</v>
      </c>
      <c r="C79" s="129">
        <v>46110.377916666701</v>
      </c>
      <c r="D79" s="130" t="s">
        <v>662</v>
      </c>
      <c r="E79" s="130"/>
      <c r="F79" s="130" t="s">
        <v>271</v>
      </c>
      <c r="G79" s="130"/>
      <c r="H79" s="130"/>
      <c r="I79" s="130"/>
      <c r="J79" s="130"/>
      <c r="K79" s="130" t="s">
        <v>653</v>
      </c>
      <c r="L79" s="130"/>
      <c r="M79" s="130"/>
      <c r="N79" s="130"/>
      <c r="O79" s="1" t="str">
        <f>_xlfn.CONCAT(OfficeForms.Table3[[#This Row],[القطاع الغربي (Western Sector)]:[القطاع فرسان (Farasan Sector)]])</f>
        <v>مركز المضايا</v>
      </c>
      <c r="P79" s="133">
        <v>46110</v>
      </c>
      <c r="Q79" s="133">
        <v>46023</v>
      </c>
      <c r="R79" s="135" t="s">
        <v>1265</v>
      </c>
      <c r="S79" s="147" t="s">
        <v>1266</v>
      </c>
      <c r="T79" s="1"/>
      <c r="U79" s="136" t="s">
        <v>1267</v>
      </c>
      <c r="V79" s="148" t="s">
        <v>1268</v>
      </c>
      <c r="W79" s="140" t="s">
        <v>667</v>
      </c>
      <c r="X79" s="161" t="s">
        <v>1269</v>
      </c>
      <c r="Y79" s="148" t="s">
        <v>1270</v>
      </c>
      <c r="Z79" s="154" t="s">
        <v>690</v>
      </c>
      <c r="AA79" s="154" t="s">
        <v>736</v>
      </c>
      <c r="AB79" s="130"/>
      <c r="AC79" s="154"/>
      <c r="AD79" s="130" t="s">
        <v>642</v>
      </c>
      <c r="AE79" s="130"/>
      <c r="AF79" s="1"/>
      <c r="AG79" s="130" t="s">
        <v>1271</v>
      </c>
      <c r="AH79" s="130" t="s">
        <v>693</v>
      </c>
      <c r="AI79" s="237" t="s">
        <v>1272</v>
      </c>
      <c r="AJ79" s="242" t="s">
        <v>1131</v>
      </c>
      <c r="AK79" s="245" t="str">
        <f t="shared" si="1"/>
        <v>✅ ملتزم</v>
      </c>
      <c r="AL79" s="249"/>
      <c r="AM79" s="241" t="s">
        <v>53</v>
      </c>
      <c r="AN79" s="255" t="s">
        <v>695</v>
      </c>
      <c r="AO79" s="260"/>
      <c r="AP79" s="261"/>
      <c r="AQ79" s="261"/>
      <c r="AR79" s="266" t="s">
        <v>53</v>
      </c>
      <c r="AS79" s="275" t="str">
        <f>IF(AR79="","",IF(ISNUMBER(SEARCH("جازان",AR79)),"مستشفى جازان العام",IF(ISNUMBER(SEARCH("صبيا",AR79)),"مستشفى صبيا العام",IF(ISNUMBER(SEARCH("عريش",AR79)),"مستشفى أبو عريش العام",IF(ISNUMBER(SEARCH("صامط",AR79)),"مستشفى صامطة العام",IF(ISNUMBER(SEARCH("بيش",AR79)),"مستشفى بيش العام",IF(ISNUMBER(SEARCH("فهد",AR79)),"مستشفى الملك فهد المركزي",AR79)))))))</f>
        <v>مستشفى جازان العام</v>
      </c>
      <c r="AT79" s="275">
        <f>ROW()-1</f>
        <v>78</v>
      </c>
      <c r="AU79" s="275"/>
      <c r="AV79" s="275">
        <f>IFERROR(NETWORKDAYS.INTL(P79,IF(ISNUMBER(AI79),AI79,DATEVALUE(AI79)),"0000011")-1,"N/A")</f>
        <v>1</v>
      </c>
      <c r="AW79" s="275"/>
      <c r="AX79" s="275"/>
    </row>
    <row r="80" spans="1:50" s="30" customFormat="1" ht="114.75">
      <c r="A80" s="124">
        <v>155</v>
      </c>
      <c r="B80" s="126">
        <v>46110.390289351897</v>
      </c>
      <c r="C80" s="126">
        <v>46110.393125000002</v>
      </c>
      <c r="D80" s="131" t="s">
        <v>662</v>
      </c>
      <c r="E80" s="131"/>
      <c r="F80" s="131" t="s">
        <v>271</v>
      </c>
      <c r="G80" s="131"/>
      <c r="H80" s="131"/>
      <c r="I80" s="131"/>
      <c r="J80" s="131"/>
      <c r="K80" s="131" t="s">
        <v>653</v>
      </c>
      <c r="L80" s="131"/>
      <c r="M80" s="131"/>
      <c r="N80" s="131"/>
      <c r="O80" s="1" t="str">
        <f>_xlfn.CONCAT(OfficeForms.Table3[[#This Row],[القطاع الغربي (Western Sector)]:[القطاع فرسان (Farasan Sector)]])</f>
        <v>مركز المضايا</v>
      </c>
      <c r="P80" s="132">
        <v>46110</v>
      </c>
      <c r="Q80" s="132">
        <v>46046</v>
      </c>
      <c r="R80" s="134" t="s">
        <v>935</v>
      </c>
      <c r="S80" s="146" t="s">
        <v>1273</v>
      </c>
      <c r="T80" s="1"/>
      <c r="U80" s="137" t="s">
        <v>1274</v>
      </c>
      <c r="V80" s="123" t="s">
        <v>1275</v>
      </c>
      <c r="W80" s="141" t="s">
        <v>1276</v>
      </c>
      <c r="X80" s="162" t="s">
        <v>1277</v>
      </c>
      <c r="Y80" s="123" t="s">
        <v>1278</v>
      </c>
      <c r="Z80" s="155"/>
      <c r="AA80" s="155" t="s">
        <v>1279</v>
      </c>
      <c r="AB80" s="131"/>
      <c r="AC80" s="155" t="s">
        <v>773</v>
      </c>
      <c r="AD80" s="131" t="s">
        <v>642</v>
      </c>
      <c r="AE80" s="131"/>
      <c r="AF80" s="1"/>
      <c r="AG80" s="131" t="s">
        <v>1280</v>
      </c>
      <c r="AH80" s="131"/>
      <c r="AI80" s="237" t="s">
        <v>1236</v>
      </c>
      <c r="AJ80" s="242" t="s">
        <v>1131</v>
      </c>
      <c r="AK80" s="245" t="str">
        <f t="shared" si="1"/>
        <v>✅ ملتزم</v>
      </c>
      <c r="AL80" s="249"/>
      <c r="AM80" s="241" t="s">
        <v>646</v>
      </c>
      <c r="AN80" s="255" t="s">
        <v>1131</v>
      </c>
      <c r="AO80" s="260"/>
      <c r="AP80" s="261"/>
      <c r="AQ80" s="261"/>
      <c r="AR80" s="265" t="s">
        <v>646</v>
      </c>
      <c r="AS80" s="275" t="str">
        <f>IF(AR80="","",IF(ISNUMBER(SEARCH("جازان",AR80)),"مستشفى جازان العام",IF(ISNUMBER(SEARCH("صبيا",AR80)),"مستشفى صبيا العام",IF(ISNUMBER(SEARCH("عريش",AR80)),"مستشفى أبو عريش العام",IF(ISNUMBER(SEARCH("صامط",AR80)),"مستشفى صامطة العام",IF(ISNUMBER(SEARCH("بيش",AR80)),"مستشفى بيش العام",IF(ISNUMBER(SEARCH("فهد",AR80)),"مستشفى الملك فهد المركزي",AR80)))))))</f>
        <v>مستشفى جازان العام</v>
      </c>
      <c r="AT80" s="275">
        <f>ROW()-1</f>
        <v>79</v>
      </c>
      <c r="AU80" s="275"/>
      <c r="AV80" s="275">
        <f>IFERROR(NETWORKDAYS.INTL(P80,IF(ISNUMBER(AI80),AI80,DATEVALUE(AI80)),"0000011")-1,"N/A")</f>
        <v>2</v>
      </c>
      <c r="AW80" s="275"/>
      <c r="AX80" s="275"/>
    </row>
    <row r="81" spans="1:50" s="30" customFormat="1" ht="26.25">
      <c r="A81" s="127">
        <v>156</v>
      </c>
      <c r="B81" s="129">
        <v>46110.339953703697</v>
      </c>
      <c r="C81" s="129">
        <v>46110.397326388898</v>
      </c>
      <c r="D81" s="130" t="s">
        <v>662</v>
      </c>
      <c r="E81" s="130"/>
      <c r="F81" s="130" t="s">
        <v>271</v>
      </c>
      <c r="G81" s="130"/>
      <c r="H81" s="130"/>
      <c r="I81" s="130"/>
      <c r="J81" s="130"/>
      <c r="K81" s="130" t="s">
        <v>880</v>
      </c>
      <c r="L81" s="130"/>
      <c r="M81" s="130"/>
      <c r="N81" s="130"/>
      <c r="O81" s="1" t="str">
        <f>_xlfn.CONCAT(OfficeForms.Table3[[#This Row],[القطاع الغربي (Western Sector)]:[القطاع فرسان (Farasan Sector)]])</f>
        <v>مركز مخطط 5</v>
      </c>
      <c r="P81" s="133">
        <v>46110</v>
      </c>
      <c r="Q81" s="133">
        <v>45958</v>
      </c>
      <c r="R81" s="135" t="s">
        <v>1281</v>
      </c>
      <c r="S81" s="147" t="s">
        <v>1282</v>
      </c>
      <c r="T81" s="1"/>
      <c r="U81" s="136" t="s">
        <v>1283</v>
      </c>
      <c r="V81" s="148" t="s">
        <v>1284</v>
      </c>
      <c r="W81" s="139" t="s">
        <v>1285</v>
      </c>
      <c r="X81" s="161" t="s">
        <v>1286</v>
      </c>
      <c r="Y81" s="148" t="s">
        <v>1287</v>
      </c>
      <c r="Z81" s="154"/>
      <c r="AA81" s="154" t="s">
        <v>1288</v>
      </c>
      <c r="AB81" s="130"/>
      <c r="AC81" s="154"/>
      <c r="AD81" s="130" t="s">
        <v>642</v>
      </c>
      <c r="AE81" s="130"/>
      <c r="AF81" s="1"/>
      <c r="AG81" s="130" t="s">
        <v>1289</v>
      </c>
      <c r="AH81" s="130"/>
      <c r="AI81" s="237" t="s">
        <v>1217</v>
      </c>
      <c r="AJ81" s="242" t="s">
        <v>1131</v>
      </c>
      <c r="AK81" s="245" t="str">
        <f t="shared" si="1"/>
        <v>✅ ملتزم</v>
      </c>
      <c r="AL81" s="249"/>
      <c r="AM81" s="241" t="s">
        <v>53</v>
      </c>
      <c r="AN81" s="255" t="s">
        <v>1131</v>
      </c>
      <c r="AO81" s="260"/>
      <c r="AP81" s="261"/>
      <c r="AQ81" s="261"/>
      <c r="AR81" s="266" t="s">
        <v>53</v>
      </c>
      <c r="AS81" s="275" t="str">
        <f>IF(AR81="","",IF(ISNUMBER(SEARCH("جازان",AR81)),"مستشفى جازان العام",IF(ISNUMBER(SEARCH("صبيا",AR81)),"مستشفى صبيا العام",IF(ISNUMBER(SEARCH("عريش",AR81)),"مستشفى أبو عريش العام",IF(ISNUMBER(SEARCH("صامط",AR81)),"مستشفى صامطة العام",IF(ISNUMBER(SEARCH("بيش",AR81)),"مستشفى بيش العام",IF(ISNUMBER(SEARCH("فهد",AR81)),"مستشفى الملك فهد المركزي",AR81)))))))</f>
        <v>مستشفى جازان العام</v>
      </c>
      <c r="AT81" s="275">
        <f>ROW()-1</f>
        <v>80</v>
      </c>
      <c r="AU81" s="275"/>
      <c r="AV81" s="275">
        <f>IFERROR(NETWORKDAYS.INTL(P81,IF(ISNUMBER(AI81),AI81,DATEVALUE(AI81)),"0000011")-1,"N/A")</f>
        <v>0</v>
      </c>
      <c r="AW81" s="275"/>
      <c r="AX81" s="275"/>
    </row>
    <row r="82" spans="1:50" s="30" customFormat="1" ht="26.25">
      <c r="A82" s="124">
        <v>157</v>
      </c>
      <c r="B82" s="126">
        <v>46110.4049884259</v>
      </c>
      <c r="C82" s="126">
        <v>46110.412638888898</v>
      </c>
      <c r="D82" s="131" t="s">
        <v>662</v>
      </c>
      <c r="E82" s="131"/>
      <c r="F82" s="131" t="s">
        <v>271</v>
      </c>
      <c r="G82" s="131"/>
      <c r="H82" s="131"/>
      <c r="I82" s="131"/>
      <c r="J82" s="131"/>
      <c r="K82" s="131" t="s">
        <v>870</v>
      </c>
      <c r="L82" s="131"/>
      <c r="M82" s="131"/>
      <c r="N82" s="131"/>
      <c r="O82" s="1" t="str">
        <f>_xlfn.CONCAT(OfficeForms.Table3[[#This Row],[القطاع الغربي (Western Sector)]:[القطاع فرسان (Farasan Sector)]])</f>
        <v>مركز مخطط 6</v>
      </c>
      <c r="P82" s="132">
        <v>46110</v>
      </c>
      <c r="Q82" s="132">
        <v>46011</v>
      </c>
      <c r="R82" s="134" t="s">
        <v>1290</v>
      </c>
      <c r="S82" s="146" t="s">
        <v>1291</v>
      </c>
      <c r="T82" s="1"/>
      <c r="U82" s="137" t="s">
        <v>1292</v>
      </c>
      <c r="V82" s="123" t="s">
        <v>1293</v>
      </c>
      <c r="W82" s="141" t="s">
        <v>875</v>
      </c>
      <c r="X82" s="162" t="s">
        <v>939</v>
      </c>
      <c r="Y82" s="123" t="s">
        <v>1294</v>
      </c>
      <c r="Z82" s="155"/>
      <c r="AA82" s="155"/>
      <c r="AB82" s="131"/>
      <c r="AC82" s="155" t="s">
        <v>1295</v>
      </c>
      <c r="AD82" s="131" t="s">
        <v>642</v>
      </c>
      <c r="AE82" s="131"/>
      <c r="AF82" s="1"/>
      <c r="AG82" s="131" t="s">
        <v>1296</v>
      </c>
      <c r="AH82" s="131"/>
      <c r="AI82" s="237" t="s">
        <v>1272</v>
      </c>
      <c r="AJ82" s="242" t="s">
        <v>1131</v>
      </c>
      <c r="AK82" s="245" t="str">
        <f t="shared" si="1"/>
        <v>✅ ملتزم</v>
      </c>
      <c r="AL82" s="249"/>
      <c r="AM82" s="241" t="s">
        <v>53</v>
      </c>
      <c r="AN82" s="255" t="s">
        <v>1131</v>
      </c>
      <c r="AO82" s="260"/>
      <c r="AP82" s="261"/>
      <c r="AQ82" s="261"/>
      <c r="AR82" s="265" t="s">
        <v>53</v>
      </c>
      <c r="AS82" s="275" t="str">
        <f>IF(AR82="","",IF(ISNUMBER(SEARCH("جازان",AR82)),"مستشفى جازان العام",IF(ISNUMBER(SEARCH("صبيا",AR82)),"مستشفى صبيا العام",IF(ISNUMBER(SEARCH("عريش",AR82)),"مستشفى أبو عريش العام",IF(ISNUMBER(SEARCH("صامط",AR82)),"مستشفى صامطة العام",IF(ISNUMBER(SEARCH("بيش",AR82)),"مستشفى بيش العام",IF(ISNUMBER(SEARCH("فهد",AR82)),"مستشفى الملك فهد المركزي",AR82)))))))</f>
        <v>مستشفى جازان العام</v>
      </c>
      <c r="AT82" s="275">
        <f>ROW()-1</f>
        <v>81</v>
      </c>
      <c r="AU82" s="275"/>
      <c r="AV82" s="275">
        <f>IFERROR(NETWORKDAYS.INTL(P82,IF(ISNUMBER(AI82),AI82,DATEVALUE(AI82)),"0000011")-1,"N/A")</f>
        <v>1</v>
      </c>
      <c r="AW82" s="275"/>
      <c r="AX82" s="275"/>
    </row>
    <row r="83" spans="1:50" s="30" customFormat="1" ht="39">
      <c r="A83" s="127">
        <v>158</v>
      </c>
      <c r="B83" s="129">
        <v>46110.429212962998</v>
      </c>
      <c r="C83" s="129">
        <v>46110.444270833301</v>
      </c>
      <c r="D83" s="130" t="s">
        <v>662</v>
      </c>
      <c r="E83" s="130"/>
      <c r="F83" s="130" t="s">
        <v>279</v>
      </c>
      <c r="G83" s="130"/>
      <c r="H83" s="130"/>
      <c r="I83" s="130"/>
      <c r="J83" s="130" t="s">
        <v>764</v>
      </c>
      <c r="K83" s="130"/>
      <c r="L83" s="130"/>
      <c r="M83" s="130"/>
      <c r="N83" s="130"/>
      <c r="O83" s="1" t="str">
        <f>_xlfn.CONCAT(OfficeForms.Table3[[#This Row],[القطاع الغربي (Western Sector)]:[القطاع فرسان (Farasan Sector)]])</f>
        <v>مركز الريث</v>
      </c>
      <c r="P83" s="133">
        <v>46110</v>
      </c>
      <c r="Q83" s="133">
        <v>46061</v>
      </c>
      <c r="R83" s="135" t="s">
        <v>924</v>
      </c>
      <c r="S83" s="145">
        <v>34767</v>
      </c>
      <c r="T83" s="1"/>
      <c r="U83" s="136" t="s">
        <v>1297</v>
      </c>
      <c r="V83" s="148" t="s">
        <v>1298</v>
      </c>
      <c r="W83" s="140" t="s">
        <v>769</v>
      </c>
      <c r="X83" s="161" t="s">
        <v>770</v>
      </c>
      <c r="Y83" s="148" t="s">
        <v>1299</v>
      </c>
      <c r="Z83" s="154" t="s">
        <v>704</v>
      </c>
      <c r="AA83" s="154"/>
      <c r="AB83" s="130" t="s">
        <v>832</v>
      </c>
      <c r="AC83" s="154" t="s">
        <v>1300</v>
      </c>
      <c r="AD83" s="130" t="s">
        <v>642</v>
      </c>
      <c r="AE83" s="130"/>
      <c r="AF83" s="1"/>
      <c r="AG83" s="130" t="s">
        <v>1301</v>
      </c>
      <c r="AH83" s="130"/>
      <c r="AI83" s="237" t="s">
        <v>1236</v>
      </c>
      <c r="AJ83" s="242"/>
      <c r="AK83" s="245" t="str">
        <f t="shared" si="1"/>
        <v>✅ ملتزم</v>
      </c>
      <c r="AL83" s="249"/>
      <c r="AM83" s="241" t="s">
        <v>729</v>
      </c>
      <c r="AN83" s="255" t="s">
        <v>1131</v>
      </c>
      <c r="AO83" s="260"/>
      <c r="AP83" s="261"/>
      <c r="AQ83" s="261"/>
      <c r="AR83" s="266" t="s">
        <v>729</v>
      </c>
      <c r="AS83" s="275" t="str">
        <f>IF(AR83="","",IF(ISNUMBER(SEARCH("جازان",AR83)),"مستشفى جازان العام",IF(ISNUMBER(SEARCH("صبيا",AR83)),"مستشفى صبيا العام",IF(ISNUMBER(SEARCH("عريش",AR83)),"مستشفى أبو عريش العام",IF(ISNUMBER(SEARCH("صامط",AR83)),"مستشفى صامطة العام",IF(ISNUMBER(SEARCH("بيش",AR83)),"مستشفى بيش العام",IF(ISNUMBER(SEARCH("فهد",AR83)),"مستشفى الملك فهد المركزي",AR83)))))))</f>
        <v>مستشفى بيش العام</v>
      </c>
      <c r="AT83" s="275">
        <f>ROW()-1</f>
        <v>82</v>
      </c>
      <c r="AU83" s="275"/>
      <c r="AV83" s="275">
        <f>IFERROR(NETWORKDAYS.INTL(P83,IF(ISNUMBER(AI83),AI83,DATEVALUE(AI83)),"0000011")-1,"N/A")</f>
        <v>2</v>
      </c>
      <c r="AW83" s="275"/>
      <c r="AX83" s="275"/>
    </row>
    <row r="84" spans="1:50" s="30" customFormat="1" ht="26.25">
      <c r="A84" s="124">
        <v>160</v>
      </c>
      <c r="B84" s="126">
        <v>46110.467812499999</v>
      </c>
      <c r="C84" s="126">
        <v>46110.472673611097</v>
      </c>
      <c r="D84" s="131" t="s">
        <v>662</v>
      </c>
      <c r="E84" s="131"/>
      <c r="F84" s="131" t="s">
        <v>943</v>
      </c>
      <c r="G84" s="131"/>
      <c r="H84" s="131"/>
      <c r="I84" s="131" t="s">
        <v>1302</v>
      </c>
      <c r="J84" s="131"/>
      <c r="K84" s="131"/>
      <c r="L84" s="131"/>
      <c r="M84" s="131"/>
      <c r="N84" s="131"/>
      <c r="O84" s="1" t="str">
        <f>_xlfn.CONCAT(OfficeForms.Table3[[#This Row],[القطاع الغربي (Western Sector)]:[القطاع فرسان (Farasan Sector)]])</f>
        <v>الريان</v>
      </c>
      <c r="P84" s="132">
        <v>46110</v>
      </c>
      <c r="Q84" s="132">
        <v>45948</v>
      </c>
      <c r="R84" s="134" t="s">
        <v>1303</v>
      </c>
      <c r="S84" s="144">
        <v>32606</v>
      </c>
      <c r="T84" s="1"/>
      <c r="U84" s="151" t="s">
        <v>1304</v>
      </c>
      <c r="V84" s="123" t="s">
        <v>1305</v>
      </c>
      <c r="W84" s="141" t="s">
        <v>1302</v>
      </c>
      <c r="X84" s="162" t="s">
        <v>1306</v>
      </c>
      <c r="Y84" s="123" t="s">
        <v>1307</v>
      </c>
      <c r="Z84" s="155"/>
      <c r="AA84" s="155" t="s">
        <v>736</v>
      </c>
      <c r="AB84" s="131"/>
      <c r="AC84" s="155"/>
      <c r="AD84" s="131" t="s">
        <v>680</v>
      </c>
      <c r="AE84" s="131" t="s">
        <v>642</v>
      </c>
      <c r="AF84" s="1"/>
      <c r="AG84" s="131" t="s">
        <v>1308</v>
      </c>
      <c r="AH84" s="131"/>
      <c r="AI84" s="237" t="s">
        <v>1272</v>
      </c>
      <c r="AJ84" s="242" t="s">
        <v>1309</v>
      </c>
      <c r="AK84" s="245" t="str">
        <f t="shared" si="1"/>
        <v>✅ ملتزم</v>
      </c>
      <c r="AL84" s="249"/>
      <c r="AM84" s="241"/>
      <c r="AN84" s="255"/>
      <c r="AO84" s="260"/>
      <c r="AP84" s="261"/>
      <c r="AQ84" s="261"/>
      <c r="AR84" s="265"/>
      <c r="AS84" s="275" t="str">
        <f>IF(AR84="","",IF(ISNUMBER(SEARCH("جازان",AR84)),"مستشفى جازان العام",IF(ISNUMBER(SEARCH("صبيا",AR84)),"مستشفى صبيا العام",IF(ISNUMBER(SEARCH("عريش",AR84)),"مستشفى أبو عريش العام",IF(ISNUMBER(SEARCH("صامط",AR84)),"مستشفى صامطة العام",IF(ISNUMBER(SEARCH("بيش",AR84)),"مستشفى بيش العام",IF(ISNUMBER(SEARCH("فهد",AR84)),"مستشفى الملك فهد المركزي",AR84)))))))</f>
        <v/>
      </c>
      <c r="AT84" s="275">
        <f>ROW()-1</f>
        <v>83</v>
      </c>
      <c r="AU84" s="275"/>
      <c r="AV84" s="275">
        <f>IFERROR(NETWORKDAYS.INTL(P84,IF(ISNUMBER(AI84),AI84,DATEVALUE(AI84)),"0000011")-1,"N/A")</f>
        <v>1</v>
      </c>
      <c r="AW84" s="275"/>
      <c r="AX84" s="275"/>
    </row>
    <row r="85" spans="1:50" s="30" customFormat="1" ht="127.5">
      <c r="A85" s="127">
        <v>161</v>
      </c>
      <c r="B85" s="129">
        <v>46110.477523148104</v>
      </c>
      <c r="C85" s="129">
        <v>46110.487719907404</v>
      </c>
      <c r="D85" s="130" t="s">
        <v>662</v>
      </c>
      <c r="E85" s="130"/>
      <c r="F85" s="130" t="s">
        <v>277</v>
      </c>
      <c r="G85" s="130"/>
      <c r="H85" s="130" t="s">
        <v>738</v>
      </c>
      <c r="I85" s="130"/>
      <c r="J85" s="130"/>
      <c r="K85" s="130"/>
      <c r="L85" s="130"/>
      <c r="M85" s="130"/>
      <c r="N85" s="130"/>
      <c r="O85" s="1" t="str">
        <f>_xlfn.CONCAT(OfficeForms.Table3[[#This Row],[القطاع الغربي (Western Sector)]:[القطاع فرسان (Farasan Sector)]])</f>
        <v>مركز الخارش</v>
      </c>
      <c r="P85" s="133">
        <v>46110</v>
      </c>
      <c r="Q85" s="133">
        <v>45991</v>
      </c>
      <c r="R85" s="135" t="s">
        <v>1310</v>
      </c>
      <c r="S85" s="145">
        <v>31812</v>
      </c>
      <c r="T85" s="1"/>
      <c r="U85" s="136" t="s">
        <v>1311</v>
      </c>
      <c r="V85" s="148" t="s">
        <v>1312</v>
      </c>
      <c r="W85" s="140" t="s">
        <v>1313</v>
      </c>
      <c r="X85" s="161" t="s">
        <v>1314</v>
      </c>
      <c r="Y85" s="148" t="s">
        <v>1315</v>
      </c>
      <c r="Z85" s="154" t="s">
        <v>1316</v>
      </c>
      <c r="AA85" s="154"/>
      <c r="AB85" s="130"/>
      <c r="AC85" s="154" t="s">
        <v>1317</v>
      </c>
      <c r="AD85" s="130" t="s">
        <v>642</v>
      </c>
      <c r="AE85" s="130"/>
      <c r="AF85" s="1"/>
      <c r="AG85" s="130" t="s">
        <v>1318</v>
      </c>
      <c r="AH85" s="130"/>
      <c r="AI85" s="237" t="s">
        <v>1272</v>
      </c>
      <c r="AJ85" s="242" t="s">
        <v>1131</v>
      </c>
      <c r="AK85" s="245" t="str">
        <f t="shared" si="1"/>
        <v>✅ ملتزم</v>
      </c>
      <c r="AL85" s="249"/>
      <c r="AM85" s="241" t="s">
        <v>65</v>
      </c>
      <c r="AN85" s="255" t="s">
        <v>1309</v>
      </c>
      <c r="AO85" s="260"/>
      <c r="AP85" s="261"/>
      <c r="AQ85" s="261"/>
      <c r="AR85" s="266" t="s">
        <v>65</v>
      </c>
      <c r="AS85" s="275" t="str">
        <f>IF(AR85="","",IF(ISNUMBER(SEARCH("جازان",AR85)),"مستشفى جازان العام",IF(ISNUMBER(SEARCH("صبيا",AR85)),"مستشفى صبيا العام",IF(ISNUMBER(SEARCH("عريش",AR85)),"مستشفى أبو عريش العام",IF(ISNUMBER(SEARCH("صامط",AR85)),"مستشفى صامطة العام",IF(ISNUMBER(SEARCH("بيش",AR85)),"مستشفى بيش العام",IF(ISNUMBER(SEARCH("فهد",AR85)),"مستشفى الملك فهد المركزي",AR85)))))))</f>
        <v>مستشفى صامطة العام</v>
      </c>
      <c r="AT85" s="275">
        <f>ROW()-1</f>
        <v>84</v>
      </c>
      <c r="AU85" s="275"/>
      <c r="AV85" s="275">
        <f>IFERROR(NETWORKDAYS.INTL(P85,IF(ISNUMBER(AI85),AI85,DATEVALUE(AI85)),"0000011")-1,"N/A")</f>
        <v>1</v>
      </c>
      <c r="AW85" s="275"/>
      <c r="AX85" s="275"/>
    </row>
    <row r="86" spans="1:50" s="30" customFormat="1" ht="22.5">
      <c r="A86" s="124">
        <v>162</v>
      </c>
      <c r="B86" s="126">
        <v>46110.542476851901</v>
      </c>
      <c r="C86" s="126">
        <v>46110.558553240699</v>
      </c>
      <c r="D86" s="131" t="s">
        <v>662</v>
      </c>
      <c r="E86" s="131"/>
      <c r="F86" s="131" t="s">
        <v>281</v>
      </c>
      <c r="G86" s="131"/>
      <c r="H86" s="131"/>
      <c r="I86" s="131"/>
      <c r="J86" s="131"/>
      <c r="K86" s="131"/>
      <c r="L86" s="131"/>
      <c r="M86" s="131" t="s">
        <v>1319</v>
      </c>
      <c r="N86" s="131"/>
      <c r="O86" s="1" t="str">
        <f>_xlfn.CONCAT(OfficeForms.Table3[[#This Row],[القطاع الغربي (Western Sector)]:[القطاع فرسان (Farasan Sector)]])</f>
        <v>مركز الساره</v>
      </c>
      <c r="P86" s="132">
        <v>46110</v>
      </c>
      <c r="Q86" s="132">
        <v>46046</v>
      </c>
      <c r="R86" s="134" t="s">
        <v>673</v>
      </c>
      <c r="S86" s="146" t="s">
        <v>1320</v>
      </c>
      <c r="T86" s="1"/>
      <c r="U86" s="137" t="s">
        <v>1321</v>
      </c>
      <c r="V86" s="123" t="s">
        <v>1322</v>
      </c>
      <c r="W86" s="141" t="s">
        <v>1323</v>
      </c>
      <c r="X86" s="162" t="s">
        <v>1324</v>
      </c>
      <c r="Y86" s="123" t="s">
        <v>1325</v>
      </c>
      <c r="Z86" s="155"/>
      <c r="AA86" s="155"/>
      <c r="AB86" s="131"/>
      <c r="AC86" s="155" t="s">
        <v>693</v>
      </c>
      <c r="AD86" s="131" t="s">
        <v>642</v>
      </c>
      <c r="AE86" s="131"/>
      <c r="AF86" s="1"/>
      <c r="AG86" s="131" t="s">
        <v>1326</v>
      </c>
      <c r="AH86" s="131"/>
      <c r="AI86" s="237" t="s">
        <v>895</v>
      </c>
      <c r="AJ86" s="242" t="s">
        <v>695</v>
      </c>
      <c r="AK86" s="245" t="str">
        <f t="shared" si="1"/>
        <v>❌ غير ملتزم</v>
      </c>
      <c r="AL86" s="249"/>
      <c r="AM86" s="241" t="s">
        <v>57</v>
      </c>
      <c r="AN86" s="255" t="s">
        <v>1131</v>
      </c>
      <c r="AO86" s="260"/>
      <c r="AP86" s="261"/>
      <c r="AQ86" s="261"/>
      <c r="AR86" s="265" t="s">
        <v>57</v>
      </c>
      <c r="AS86" s="275" t="str">
        <f>IF(AR86="","",IF(ISNUMBER(SEARCH("جازان",AR86)),"مستشفى جازان العام",IF(ISNUMBER(SEARCH("صبيا",AR86)),"مستشفى صبيا العام",IF(ISNUMBER(SEARCH("عريش",AR86)),"مستشفى أبو عريش العام",IF(ISNUMBER(SEARCH("صامط",AR86)),"مستشفى صامطة العام",IF(ISNUMBER(SEARCH("بيش",AR86)),"مستشفى بيش العام",IF(ISNUMBER(SEARCH("فهد",AR86)),"مستشفى الملك فهد المركزي",AR86)))))))</f>
        <v>مستشفى صبيا العام</v>
      </c>
      <c r="AT86" s="275">
        <f>ROW()-1</f>
        <v>85</v>
      </c>
      <c r="AU86" s="275"/>
      <c r="AV86" s="275">
        <f>IFERROR(NETWORKDAYS.INTL(P86,IF(ISNUMBER(AI86),AI86,DATEVALUE(AI86)),"0000011")-1,"N/A")</f>
        <v>3</v>
      </c>
      <c r="AW86" s="275"/>
      <c r="AX86" s="275"/>
    </row>
    <row r="87" spans="1:50" s="30" customFormat="1" ht="76.5">
      <c r="A87" s="127">
        <v>163</v>
      </c>
      <c r="B87" s="129">
        <v>46110.605034722197</v>
      </c>
      <c r="C87" s="129">
        <v>46110.610879629603</v>
      </c>
      <c r="D87" s="130" t="s">
        <v>662</v>
      </c>
      <c r="E87" s="130"/>
      <c r="F87" s="130" t="s">
        <v>943</v>
      </c>
      <c r="G87" s="130"/>
      <c r="H87" s="130"/>
      <c r="I87" s="130" t="s">
        <v>1258</v>
      </c>
      <c r="J87" s="130"/>
      <c r="K87" s="130"/>
      <c r="L87" s="130"/>
      <c r="M87" s="130"/>
      <c r="N87" s="130"/>
      <c r="O87" s="1" t="str">
        <f>_xlfn.CONCAT(OfficeForms.Table3[[#This Row],[القطاع الغربي (Western Sector)]:[القطاع فرسان (Farasan Sector)]])</f>
        <v>مركز البيض</v>
      </c>
      <c r="P87" s="133">
        <v>46110</v>
      </c>
      <c r="Q87" s="133">
        <v>45945</v>
      </c>
      <c r="R87" s="135" t="s">
        <v>1303</v>
      </c>
      <c r="S87" s="147" t="s">
        <v>1327</v>
      </c>
      <c r="T87" s="1"/>
      <c r="U87" s="136" t="s">
        <v>1328</v>
      </c>
      <c r="V87" s="148" t="s">
        <v>1329</v>
      </c>
      <c r="W87" s="140" t="s">
        <v>1330</v>
      </c>
      <c r="X87" s="153">
        <v>533087683</v>
      </c>
      <c r="Y87" s="148" t="s">
        <v>1331</v>
      </c>
      <c r="Z87" s="154"/>
      <c r="AA87" s="154" t="s">
        <v>860</v>
      </c>
      <c r="AB87" s="130"/>
      <c r="AC87" s="154"/>
      <c r="AD87" s="130" t="s">
        <v>642</v>
      </c>
      <c r="AE87" s="130"/>
      <c r="AF87" s="1"/>
      <c r="AG87" s="130" t="s">
        <v>1332</v>
      </c>
      <c r="AH87" s="130"/>
      <c r="AI87" s="237" t="s">
        <v>1217</v>
      </c>
      <c r="AJ87" s="242" t="s">
        <v>1131</v>
      </c>
      <c r="AK87" s="245" t="str">
        <f t="shared" si="1"/>
        <v>✅ ملتزم</v>
      </c>
      <c r="AL87" s="249"/>
      <c r="AM87" s="241" t="s">
        <v>1074</v>
      </c>
      <c r="AN87" s="255" t="s">
        <v>695</v>
      </c>
      <c r="AO87" s="260"/>
      <c r="AP87" s="261"/>
      <c r="AQ87" s="261"/>
      <c r="AR87" s="270" t="s">
        <v>1074</v>
      </c>
      <c r="AS87" s="275" t="str">
        <f>IF(AR87="","",IF(ISNUMBER(SEARCH("جازان",AR87)),"مستشفى جازان العام",IF(ISNUMBER(SEARCH("صبيا",AR87)),"مستشفى صبيا العام",IF(ISNUMBER(SEARCH("عريش",AR87)),"مستشفى أبو عريش العام",IF(ISNUMBER(SEARCH("صامط",AR87)),"مستشفى صامطة العام",IF(ISNUMBER(SEARCH("بيش",AR87)),"مستشفى بيش العام",IF(ISNUMBER(SEARCH("فهد",AR87)),"مستشفى الملك فهد المركزي",AR87)))))))</f>
        <v>مستشفى أبو عريش العام</v>
      </c>
      <c r="AT87" s="275">
        <f>ROW()-1</f>
        <v>86</v>
      </c>
      <c r="AU87" s="275"/>
      <c r="AV87" s="275">
        <f>IFERROR(NETWORKDAYS.INTL(P87,IF(ISNUMBER(AI87),AI87,DATEVALUE(AI87)),"0000011")-1,"N/A")</f>
        <v>0</v>
      </c>
      <c r="AW87" s="275"/>
      <c r="AX87" s="275"/>
    </row>
    <row r="88" spans="1:50" s="30" customFormat="1" ht="26.25">
      <c r="A88" s="124">
        <v>164</v>
      </c>
      <c r="B88" s="126">
        <v>46111.348333333299</v>
      </c>
      <c r="C88" s="126">
        <v>46111.352245370399</v>
      </c>
      <c r="D88" s="131" t="s">
        <v>662</v>
      </c>
      <c r="E88" s="131"/>
      <c r="F88" s="131" t="s">
        <v>271</v>
      </c>
      <c r="G88" s="131"/>
      <c r="H88" s="131"/>
      <c r="I88" s="131"/>
      <c r="J88" s="131"/>
      <c r="K88" s="131" t="s">
        <v>696</v>
      </c>
      <c r="L88" s="131"/>
      <c r="M88" s="131"/>
      <c r="N88" s="131"/>
      <c r="O88" s="1" t="str">
        <f>_xlfn.CONCAT(OfficeForms.Table3[[#This Row],[القطاع الغربي (Western Sector)]:[القطاع فرسان (Farasan Sector)]])</f>
        <v>الكربوس</v>
      </c>
      <c r="P88" s="132">
        <v>46111</v>
      </c>
      <c r="Q88" s="132">
        <v>45979</v>
      </c>
      <c r="R88" s="134" t="s">
        <v>1333</v>
      </c>
      <c r="S88" s="146" t="s">
        <v>1334</v>
      </c>
      <c r="T88" s="1"/>
      <c r="U88" s="137" t="s">
        <v>1335</v>
      </c>
      <c r="V88" s="123" t="s">
        <v>1336</v>
      </c>
      <c r="W88" s="141" t="s">
        <v>1337</v>
      </c>
      <c r="X88" s="162" t="s">
        <v>702</v>
      </c>
      <c r="Y88" s="123" t="s">
        <v>1338</v>
      </c>
      <c r="Z88" s="155" t="s">
        <v>962</v>
      </c>
      <c r="AA88" s="155"/>
      <c r="AB88" s="131"/>
      <c r="AC88" s="155"/>
      <c r="AD88" s="131" t="s">
        <v>642</v>
      </c>
      <c r="AE88" s="131"/>
      <c r="AF88" s="1"/>
      <c r="AG88" s="131" t="s">
        <v>705</v>
      </c>
      <c r="AH88" s="131"/>
      <c r="AI88" s="237" t="s">
        <v>1236</v>
      </c>
      <c r="AJ88" s="242" t="s">
        <v>1131</v>
      </c>
      <c r="AK88" s="245" t="str">
        <f t="shared" si="1"/>
        <v>✅ ملتزم</v>
      </c>
      <c r="AL88" s="249"/>
      <c r="AM88" s="241" t="s">
        <v>53</v>
      </c>
      <c r="AN88" s="255" t="s">
        <v>1131</v>
      </c>
      <c r="AO88" s="260"/>
      <c r="AP88" s="261"/>
      <c r="AQ88" s="261"/>
      <c r="AR88" s="265" t="s">
        <v>53</v>
      </c>
      <c r="AS88" s="275" t="str">
        <f>IF(AR88="","",IF(ISNUMBER(SEARCH("جازان",AR88)),"مستشفى جازان العام",IF(ISNUMBER(SEARCH("صبيا",AR88)),"مستشفى صبيا العام",IF(ISNUMBER(SEARCH("عريش",AR88)),"مستشفى أبو عريش العام",IF(ISNUMBER(SEARCH("صامط",AR88)),"مستشفى صامطة العام",IF(ISNUMBER(SEARCH("بيش",AR88)),"مستشفى بيش العام",IF(ISNUMBER(SEARCH("فهد",AR88)),"مستشفى الملك فهد المركزي",AR88)))))))</f>
        <v>مستشفى جازان العام</v>
      </c>
      <c r="AT88" s="275">
        <f>ROW()-1</f>
        <v>87</v>
      </c>
      <c r="AU88" s="275"/>
      <c r="AV88" s="275">
        <f>IFERROR(NETWORKDAYS.INTL(P88,IF(ISNUMBER(AI88),AI88,DATEVALUE(AI88)),"0000011")-1,"N/A")</f>
        <v>2</v>
      </c>
      <c r="AW88" s="275"/>
      <c r="AX88" s="275"/>
    </row>
    <row r="89" spans="1:50" s="30" customFormat="1" ht="165">
      <c r="A89" s="127">
        <v>165</v>
      </c>
      <c r="B89" s="129">
        <v>46111.358506944402</v>
      </c>
      <c r="C89" s="129">
        <v>46111.362511574102</v>
      </c>
      <c r="D89" s="130" t="s">
        <v>662</v>
      </c>
      <c r="E89" s="130"/>
      <c r="F89" s="130" t="s">
        <v>271</v>
      </c>
      <c r="G89" s="130"/>
      <c r="H89" s="130"/>
      <c r="I89" s="130"/>
      <c r="J89" s="130"/>
      <c r="K89" s="130" t="s">
        <v>696</v>
      </c>
      <c r="L89" s="130"/>
      <c r="M89" s="130"/>
      <c r="N89" s="130"/>
      <c r="O89" s="1" t="str">
        <f>_xlfn.CONCAT(OfficeForms.Table3[[#This Row],[القطاع الغربي (Western Sector)]:[القطاع فرسان (Farasan Sector)]])</f>
        <v>الكربوس</v>
      </c>
      <c r="P89" s="133">
        <v>46111</v>
      </c>
      <c r="Q89" s="133">
        <v>46065</v>
      </c>
      <c r="R89" s="135" t="s">
        <v>1339</v>
      </c>
      <c r="S89" s="147" t="s">
        <v>1340</v>
      </c>
      <c r="T89" s="1"/>
      <c r="U89" s="136" t="s">
        <v>1341</v>
      </c>
      <c r="V89" s="148" t="s">
        <v>1342</v>
      </c>
      <c r="W89" s="140" t="s">
        <v>1343</v>
      </c>
      <c r="X89" s="161" t="s">
        <v>702</v>
      </c>
      <c r="Y89" s="148" t="s">
        <v>1344</v>
      </c>
      <c r="Z89" s="154" t="s">
        <v>1345</v>
      </c>
      <c r="AA89" s="154"/>
      <c r="AB89" s="130"/>
      <c r="AC89" s="154"/>
      <c r="AD89" s="130" t="s">
        <v>642</v>
      </c>
      <c r="AE89" s="130"/>
      <c r="AF89" s="1"/>
      <c r="AG89" s="130" t="s">
        <v>705</v>
      </c>
      <c r="AH89" s="130"/>
      <c r="AI89" s="237" t="s">
        <v>1236</v>
      </c>
      <c r="AJ89" s="242" t="s">
        <v>1131</v>
      </c>
      <c r="AK89" s="245" t="str">
        <f t="shared" si="1"/>
        <v>✅ ملتزم</v>
      </c>
      <c r="AL89" s="249"/>
      <c r="AM89" s="241" t="s">
        <v>53</v>
      </c>
      <c r="AN89" s="255" t="s">
        <v>1131</v>
      </c>
      <c r="AO89" s="260"/>
      <c r="AP89" s="261"/>
      <c r="AQ89" s="261"/>
      <c r="AR89" s="272" t="s">
        <v>53</v>
      </c>
      <c r="AS89" s="275" t="str">
        <f>IF(AR89="","",IF(ISNUMBER(SEARCH("جازان",AR89)),"مستشفى جازان العام",IF(ISNUMBER(SEARCH("صبيا",AR89)),"مستشفى صبيا العام",IF(ISNUMBER(SEARCH("عريش",AR89)),"مستشفى أبو عريش العام",IF(ISNUMBER(SEARCH("صامط",AR89)),"مستشفى صامطة العام",IF(ISNUMBER(SEARCH("بيش",AR89)),"مستشفى بيش العام",IF(ISNUMBER(SEARCH("فهد",AR89)),"مستشفى الملك فهد المركزي",AR89)))))))</f>
        <v>مستشفى جازان العام</v>
      </c>
      <c r="AT89" s="275">
        <f>ROW()-1</f>
        <v>88</v>
      </c>
      <c r="AU89" s="275"/>
      <c r="AV89" s="275">
        <f>IFERROR(NETWORKDAYS.INTL(P89,IF(ISNUMBER(AI89),AI89,DATEVALUE(AI89)),"0000011")-1,"N/A")</f>
        <v>2</v>
      </c>
      <c r="AW89" s="275"/>
      <c r="AX89" s="275"/>
    </row>
    <row r="90" spans="1:50" s="30" customFormat="1" ht="76.5">
      <c r="A90" s="124">
        <v>166</v>
      </c>
      <c r="B90" s="126">
        <v>46111.399189814802</v>
      </c>
      <c r="C90" s="126">
        <v>46111.402384259301</v>
      </c>
      <c r="D90" s="131" t="s">
        <v>662</v>
      </c>
      <c r="E90" s="131"/>
      <c r="F90" s="131" t="s">
        <v>271</v>
      </c>
      <c r="G90" s="131"/>
      <c r="H90" s="131"/>
      <c r="I90" s="131"/>
      <c r="J90" s="131"/>
      <c r="K90" s="131" t="s">
        <v>696</v>
      </c>
      <c r="L90" s="131"/>
      <c r="M90" s="131"/>
      <c r="N90" s="131"/>
      <c r="O90" s="1" t="str">
        <f>_xlfn.CONCAT(OfficeForms.Table3[[#This Row],[القطاع الغربي (Western Sector)]:[القطاع فرسان (Farasan Sector)]])</f>
        <v>الكربوس</v>
      </c>
      <c r="P90" s="132">
        <v>46111</v>
      </c>
      <c r="Q90" s="132">
        <v>46020</v>
      </c>
      <c r="R90" s="134" t="s">
        <v>1169</v>
      </c>
      <c r="S90" s="144">
        <v>33912</v>
      </c>
      <c r="T90" s="1"/>
      <c r="U90" s="137" t="s">
        <v>1346</v>
      </c>
      <c r="V90" s="123" t="s">
        <v>1347</v>
      </c>
      <c r="W90" s="141" t="s">
        <v>1348</v>
      </c>
      <c r="X90" s="162" t="s">
        <v>702</v>
      </c>
      <c r="Y90" s="123" t="s">
        <v>1349</v>
      </c>
      <c r="Z90" s="155"/>
      <c r="AA90" s="155" t="s">
        <v>860</v>
      </c>
      <c r="AB90" s="131"/>
      <c r="AC90" s="155"/>
      <c r="AD90" s="131" t="s">
        <v>642</v>
      </c>
      <c r="AE90" s="131"/>
      <c r="AF90" s="1"/>
      <c r="AG90" s="131" t="s">
        <v>705</v>
      </c>
      <c r="AH90" s="131"/>
      <c r="AI90" s="237" t="s">
        <v>1236</v>
      </c>
      <c r="AJ90" s="242" t="s">
        <v>1131</v>
      </c>
      <c r="AK90" s="245" t="str">
        <f t="shared" si="1"/>
        <v>✅ ملتزم</v>
      </c>
      <c r="AL90" s="249"/>
      <c r="AM90" s="241" t="s">
        <v>53</v>
      </c>
      <c r="AN90" s="255" t="s">
        <v>1131</v>
      </c>
      <c r="AO90" s="260"/>
      <c r="AP90" s="261"/>
      <c r="AQ90" s="261"/>
      <c r="AR90" s="273" t="s">
        <v>53</v>
      </c>
      <c r="AS90" s="275" t="str">
        <f>IF(AR90="","",IF(ISNUMBER(SEARCH("جازان",AR90)),"مستشفى جازان العام",IF(ISNUMBER(SEARCH("صبيا",AR90)),"مستشفى صبيا العام",IF(ISNUMBER(SEARCH("عريش",AR90)),"مستشفى أبو عريش العام",IF(ISNUMBER(SEARCH("صامط",AR90)),"مستشفى صامطة العام",IF(ISNUMBER(SEARCH("بيش",AR90)),"مستشفى بيش العام",IF(ISNUMBER(SEARCH("فهد",AR90)),"مستشفى الملك فهد المركزي",AR90)))))))</f>
        <v>مستشفى جازان العام</v>
      </c>
      <c r="AT90" s="275">
        <f>ROW()-1</f>
        <v>89</v>
      </c>
      <c r="AU90" s="275"/>
      <c r="AV90" s="275">
        <f>IFERROR(NETWORKDAYS.INTL(P90,IF(ISNUMBER(AI90),AI90,DATEVALUE(AI90)),"0000011")-1,"N/A")</f>
        <v>2</v>
      </c>
      <c r="AW90" s="275"/>
      <c r="AX90" s="275"/>
    </row>
    <row r="91" spans="1:50" s="30" customFormat="1" ht="39">
      <c r="A91" s="127">
        <v>167</v>
      </c>
      <c r="B91" s="129">
        <v>46111.408553240697</v>
      </c>
      <c r="C91" s="129">
        <v>46111.412430555603</v>
      </c>
      <c r="D91" s="130" t="s">
        <v>662</v>
      </c>
      <c r="E91" s="130"/>
      <c r="F91" s="130" t="s">
        <v>271</v>
      </c>
      <c r="G91" s="130"/>
      <c r="H91" s="130"/>
      <c r="I91" s="130"/>
      <c r="J91" s="130"/>
      <c r="K91" s="130" t="s">
        <v>696</v>
      </c>
      <c r="L91" s="130"/>
      <c r="M91" s="130"/>
      <c r="N91" s="130"/>
      <c r="O91" s="1" t="str">
        <f>_xlfn.CONCAT(OfficeForms.Table3[[#This Row],[القطاع الغربي (Western Sector)]:[القطاع فرسان (Farasan Sector)]])</f>
        <v>الكربوس</v>
      </c>
      <c r="P91" s="133">
        <v>46111</v>
      </c>
      <c r="Q91" s="133">
        <v>46030</v>
      </c>
      <c r="R91" s="135" t="s">
        <v>1350</v>
      </c>
      <c r="S91" s="147" t="s">
        <v>1351</v>
      </c>
      <c r="T91" s="1"/>
      <c r="U91" s="136" t="s">
        <v>1352</v>
      </c>
      <c r="V91" s="148" t="s">
        <v>1353</v>
      </c>
      <c r="W91" s="140" t="s">
        <v>1354</v>
      </c>
      <c r="X91" s="161" t="s">
        <v>702</v>
      </c>
      <c r="Y91" s="148" t="s">
        <v>1355</v>
      </c>
      <c r="Z91" s="154" t="s">
        <v>704</v>
      </c>
      <c r="AA91" s="154"/>
      <c r="AB91" s="130"/>
      <c r="AC91" s="154"/>
      <c r="AD91" s="130" t="s">
        <v>642</v>
      </c>
      <c r="AE91" s="130"/>
      <c r="AF91" s="1"/>
      <c r="AG91" s="130" t="s">
        <v>705</v>
      </c>
      <c r="AH91" s="130"/>
      <c r="AI91" s="237" t="s">
        <v>1236</v>
      </c>
      <c r="AJ91" s="242" t="s">
        <v>1131</v>
      </c>
      <c r="AK91" s="245" t="str">
        <f t="shared" si="1"/>
        <v>✅ ملتزم</v>
      </c>
      <c r="AL91" s="249"/>
      <c r="AM91" s="241" t="s">
        <v>53</v>
      </c>
      <c r="AN91" s="255" t="s">
        <v>1131</v>
      </c>
      <c r="AO91" s="260"/>
      <c r="AP91" s="261"/>
      <c r="AQ91" s="261"/>
      <c r="AR91" s="272" t="s">
        <v>53</v>
      </c>
      <c r="AS91" s="275" t="str">
        <f>IF(AR91="","",IF(ISNUMBER(SEARCH("جازان",AR91)),"مستشفى جازان العام",IF(ISNUMBER(SEARCH("صبيا",AR91)),"مستشفى صبيا العام",IF(ISNUMBER(SEARCH("عريش",AR91)),"مستشفى أبو عريش العام",IF(ISNUMBER(SEARCH("صامط",AR91)),"مستشفى صامطة العام",IF(ISNUMBER(SEARCH("بيش",AR91)),"مستشفى بيش العام",IF(ISNUMBER(SEARCH("فهد",AR91)),"مستشفى الملك فهد المركزي",AR91)))))))</f>
        <v>مستشفى جازان العام</v>
      </c>
      <c r="AT91" s="275">
        <f>ROW()-1</f>
        <v>90</v>
      </c>
      <c r="AU91" s="275"/>
      <c r="AV91" s="275">
        <f>IFERROR(NETWORKDAYS.INTL(P91,IF(ISNUMBER(AI91),AI91,DATEVALUE(AI91)),"0000011")-1,"N/A")</f>
        <v>2</v>
      </c>
      <c r="AW91" s="275"/>
      <c r="AX91" s="275"/>
    </row>
    <row r="92" spans="1:50" s="30" customFormat="1" ht="39">
      <c r="A92" s="124">
        <v>168</v>
      </c>
      <c r="B92" s="126">
        <v>46111.437013888899</v>
      </c>
      <c r="C92" s="126">
        <v>46111.440983796303</v>
      </c>
      <c r="D92" s="131" t="s">
        <v>662</v>
      </c>
      <c r="E92" s="131"/>
      <c r="F92" s="131" t="s">
        <v>275</v>
      </c>
      <c r="G92" s="131" t="s">
        <v>790</v>
      </c>
      <c r="H92" s="131"/>
      <c r="I92" s="131"/>
      <c r="J92" s="131"/>
      <c r="K92" s="131"/>
      <c r="L92" s="131"/>
      <c r="M92" s="131"/>
      <c r="N92" s="131"/>
      <c r="O92" s="1" t="str">
        <f>_xlfn.CONCAT(OfficeForms.Table3[[#This Row],[القطاع الغربي (Western Sector)]:[القطاع فرسان (Farasan Sector)]])</f>
        <v>مركز ضمد الشمالي</v>
      </c>
      <c r="P92" s="132">
        <v>46111</v>
      </c>
      <c r="Q92" s="132">
        <v>46060</v>
      </c>
      <c r="R92" s="134" t="s">
        <v>924</v>
      </c>
      <c r="S92" s="144">
        <v>35386</v>
      </c>
      <c r="T92" s="1"/>
      <c r="U92" s="137" t="s">
        <v>1356</v>
      </c>
      <c r="V92" s="123" t="s">
        <v>1357</v>
      </c>
      <c r="W92" s="141" t="s">
        <v>1358</v>
      </c>
      <c r="X92" s="162" t="s">
        <v>1359</v>
      </c>
      <c r="Y92" s="123" t="s">
        <v>1360</v>
      </c>
      <c r="Z92" s="155" t="s">
        <v>704</v>
      </c>
      <c r="AA92" s="155"/>
      <c r="AB92" s="131" t="s">
        <v>832</v>
      </c>
      <c r="AC92" s="155"/>
      <c r="AD92" s="131" t="s">
        <v>642</v>
      </c>
      <c r="AE92" s="131"/>
      <c r="AF92" s="1"/>
      <c r="AG92" s="131" t="s">
        <v>1361</v>
      </c>
      <c r="AH92" s="131" t="s">
        <v>1362</v>
      </c>
      <c r="AI92" s="237" t="s">
        <v>895</v>
      </c>
      <c r="AJ92" s="242" t="s">
        <v>1131</v>
      </c>
      <c r="AK92" s="245" t="str">
        <f t="shared" si="1"/>
        <v>❌ غير ملتزم</v>
      </c>
      <c r="AL92" s="249"/>
      <c r="AM92" s="241" t="s">
        <v>57</v>
      </c>
      <c r="AN92" s="255" t="s">
        <v>1131</v>
      </c>
      <c r="AO92" s="260"/>
      <c r="AP92" s="261"/>
      <c r="AQ92" s="261"/>
      <c r="AR92" s="273" t="s">
        <v>57</v>
      </c>
      <c r="AS92" s="275" t="str">
        <f>IF(AR92="","",IF(ISNUMBER(SEARCH("جازان",AR92)),"مستشفى جازان العام",IF(ISNUMBER(SEARCH("صبيا",AR92)),"مستشفى صبيا العام",IF(ISNUMBER(SEARCH("عريش",AR92)),"مستشفى أبو عريش العام",IF(ISNUMBER(SEARCH("صامط",AR92)),"مستشفى صامطة العام",IF(ISNUMBER(SEARCH("بيش",AR92)),"مستشفى بيش العام",IF(ISNUMBER(SEARCH("فهد",AR92)),"مستشفى الملك فهد المركزي",AR92)))))))</f>
        <v>مستشفى صبيا العام</v>
      </c>
      <c r="AT92" s="275">
        <f>ROW()-1</f>
        <v>91</v>
      </c>
      <c r="AU92" s="275"/>
      <c r="AV92" s="275">
        <f>IFERROR(NETWORKDAYS.INTL(P92,IF(ISNUMBER(AI92),AI92,DATEVALUE(AI92)),"0000011")-1,"N/A")</f>
        <v>3</v>
      </c>
      <c r="AW92" s="275"/>
      <c r="AX92" s="275"/>
    </row>
    <row r="93" spans="1:50" s="30" customFormat="1" ht="22.5">
      <c r="A93" s="127">
        <v>169</v>
      </c>
      <c r="B93" s="129">
        <v>46111.471203703702</v>
      </c>
      <c r="C93" s="129">
        <v>46111.477476851898</v>
      </c>
      <c r="D93" s="130" t="s">
        <v>662</v>
      </c>
      <c r="E93" s="130"/>
      <c r="F93" s="130" t="s">
        <v>943</v>
      </c>
      <c r="G93" s="130"/>
      <c r="H93" s="130"/>
      <c r="I93" s="130" t="s">
        <v>1258</v>
      </c>
      <c r="J93" s="130"/>
      <c r="K93" s="130"/>
      <c r="L93" s="130"/>
      <c r="M93" s="130"/>
      <c r="N93" s="130"/>
      <c r="O93" s="1" t="str">
        <f>_xlfn.CONCAT(OfficeForms.Table3[[#This Row],[القطاع الغربي (Western Sector)]:[القطاع فرسان (Farasan Sector)]])</f>
        <v>مركز البيض</v>
      </c>
      <c r="P93" s="133">
        <v>46111</v>
      </c>
      <c r="Q93" s="133">
        <v>45901</v>
      </c>
      <c r="R93" s="135" t="s">
        <v>1363</v>
      </c>
      <c r="S93" s="145">
        <v>29989</v>
      </c>
      <c r="T93" s="1"/>
      <c r="U93" s="136" t="s">
        <v>1364</v>
      </c>
      <c r="V93" s="148" t="s">
        <v>1365</v>
      </c>
      <c r="W93" s="140" t="s">
        <v>1366</v>
      </c>
      <c r="X93" s="161">
        <v>533087683</v>
      </c>
      <c r="Y93" s="148">
        <v>556401454</v>
      </c>
      <c r="Z93" s="154"/>
      <c r="AA93" s="154"/>
      <c r="AB93" s="130"/>
      <c r="AC93" s="154"/>
      <c r="AD93" s="130" t="s">
        <v>642</v>
      </c>
      <c r="AE93" s="130"/>
      <c r="AF93" s="1"/>
      <c r="AG93" s="130" t="s">
        <v>985</v>
      </c>
      <c r="AH93" s="130" t="s">
        <v>1367</v>
      </c>
      <c r="AI93" s="237" t="s">
        <v>1368</v>
      </c>
      <c r="AJ93" s="242" t="s">
        <v>1131</v>
      </c>
      <c r="AK93" s="245" t="str">
        <f t="shared" si="1"/>
        <v>✅ ملتزم</v>
      </c>
      <c r="AL93" s="249"/>
      <c r="AM93" s="241" t="s">
        <v>1369</v>
      </c>
      <c r="AN93" s="255" t="s">
        <v>1131</v>
      </c>
      <c r="AO93" s="260"/>
      <c r="AP93" s="261"/>
      <c r="AQ93" s="261"/>
      <c r="AR93" s="272" t="s">
        <v>1369</v>
      </c>
      <c r="AS93" s="275" t="str">
        <f>IF(AR93="","",IF(ISNUMBER(SEARCH("جازان",AR93)),"مستشفى جازان العام",IF(ISNUMBER(SEARCH("صبيا",AR93)),"مستشفى صبيا العام",IF(ISNUMBER(SEARCH("عريش",AR93)),"مستشفى أبو عريش العام",IF(ISNUMBER(SEARCH("صامط",AR93)),"مستشفى صامطة العام",IF(ISNUMBER(SEARCH("بيش",AR93)),"مستشفى بيش العام",IF(ISNUMBER(SEARCH("فهد",AR93)),"مستشفى الملك فهد المركزي",AR93)))))))</f>
        <v>مستشفى أبو عريش العام</v>
      </c>
      <c r="AT93" s="275">
        <f>ROW()-1</f>
        <v>92</v>
      </c>
      <c r="AU93" s="275"/>
      <c r="AV93" s="275">
        <f>IFERROR(NETWORKDAYS.INTL(P93,IF(ISNUMBER(AI93),AI93,DATEVALUE(AI93)),"0000011")-1,"N/A")</f>
        <v>-17</v>
      </c>
      <c r="AW93" s="275"/>
      <c r="AX93" s="275"/>
    </row>
    <row r="94" spans="1:50" s="30" customFormat="1" ht="51">
      <c r="A94" s="124">
        <v>170</v>
      </c>
      <c r="B94" s="126">
        <v>46111.483993055597</v>
      </c>
      <c r="C94" s="126">
        <v>46111.488194444399</v>
      </c>
      <c r="D94" s="131" t="s">
        <v>662</v>
      </c>
      <c r="E94" s="131"/>
      <c r="F94" s="131" t="s">
        <v>943</v>
      </c>
      <c r="G94" s="131"/>
      <c r="H94" s="131"/>
      <c r="I94" s="131" t="s">
        <v>1370</v>
      </c>
      <c r="J94" s="131"/>
      <c r="K94" s="131"/>
      <c r="L94" s="131"/>
      <c r="M94" s="131"/>
      <c r="N94" s="131"/>
      <c r="O94" s="1" t="str">
        <f>_xlfn.CONCAT(OfficeForms.Table3[[#This Row],[القطاع الغربي (Western Sector)]:[القطاع فرسان (Farasan Sector)]])</f>
        <v>مركز الخشابية</v>
      </c>
      <c r="P94" s="132">
        <v>46111</v>
      </c>
      <c r="Q94" s="132">
        <v>46002</v>
      </c>
      <c r="R94" s="134" t="s">
        <v>721</v>
      </c>
      <c r="S94" s="144">
        <v>31778</v>
      </c>
      <c r="T94" s="1"/>
      <c r="U94" s="137" t="s">
        <v>1371</v>
      </c>
      <c r="V94" s="123" t="s">
        <v>1372</v>
      </c>
      <c r="W94" s="141" t="s">
        <v>1373</v>
      </c>
      <c r="X94" s="162" t="s">
        <v>1374</v>
      </c>
      <c r="Y94" s="123" t="s">
        <v>1375</v>
      </c>
      <c r="Z94" s="155" t="s">
        <v>1376</v>
      </c>
      <c r="AA94" s="155" t="s">
        <v>679</v>
      </c>
      <c r="AB94" s="131"/>
      <c r="AC94" s="155"/>
      <c r="AD94" s="131" t="s">
        <v>680</v>
      </c>
      <c r="AE94" s="131" t="s">
        <v>680</v>
      </c>
      <c r="AF94" s="1"/>
      <c r="AG94" s="131" t="s">
        <v>1377</v>
      </c>
      <c r="AH94" s="131" t="s">
        <v>1378</v>
      </c>
      <c r="AI94" s="237" t="s">
        <v>1236</v>
      </c>
      <c r="AJ94" s="242"/>
      <c r="AK94" s="245" t="str">
        <f t="shared" si="1"/>
        <v>✅ ملتزم</v>
      </c>
      <c r="AL94" s="249"/>
      <c r="AM94" s="241" t="s">
        <v>1074</v>
      </c>
      <c r="AN94" s="255" t="s">
        <v>1131</v>
      </c>
      <c r="AO94" s="260"/>
      <c r="AP94" s="261"/>
      <c r="AQ94" s="261"/>
      <c r="AR94" s="273" t="s">
        <v>1074</v>
      </c>
      <c r="AS94" s="275" t="str">
        <f>IF(AR94="","",IF(ISNUMBER(SEARCH("جازان",AR94)),"مستشفى جازان العام",IF(ISNUMBER(SEARCH("صبيا",AR94)),"مستشفى صبيا العام",IF(ISNUMBER(SEARCH("عريش",AR94)),"مستشفى أبو عريش العام",IF(ISNUMBER(SEARCH("صامط",AR94)),"مستشفى صامطة العام",IF(ISNUMBER(SEARCH("بيش",AR94)),"مستشفى بيش العام",IF(ISNUMBER(SEARCH("فهد",AR94)),"مستشفى الملك فهد المركزي",AR94)))))))</f>
        <v>مستشفى أبو عريش العام</v>
      </c>
      <c r="AT94" s="275">
        <f>ROW()-1</f>
        <v>93</v>
      </c>
      <c r="AU94" s="275"/>
      <c r="AV94" s="275">
        <f>IFERROR(NETWORKDAYS.INTL(P94,IF(ISNUMBER(AI94),AI94,DATEVALUE(AI94)),"0000011")-1,"N/A")</f>
        <v>2</v>
      </c>
      <c r="AW94" s="275"/>
      <c r="AX94" s="275"/>
    </row>
    <row r="95" spans="1:50" s="30" customFormat="1" ht="140.25">
      <c r="A95" s="127">
        <v>171</v>
      </c>
      <c r="B95" s="129">
        <v>46111.504456018498</v>
      </c>
      <c r="C95" s="129">
        <v>46111.508402777799</v>
      </c>
      <c r="D95" s="130" t="s">
        <v>662</v>
      </c>
      <c r="E95" s="130"/>
      <c r="F95" s="130" t="s">
        <v>271</v>
      </c>
      <c r="G95" s="130"/>
      <c r="H95" s="130"/>
      <c r="I95" s="130"/>
      <c r="J95" s="130"/>
      <c r="K95" s="130" t="s">
        <v>923</v>
      </c>
      <c r="L95" s="130"/>
      <c r="M95" s="130"/>
      <c r="N95" s="130"/>
      <c r="O95" s="1" t="str">
        <f>_xlfn.CONCAT(OfficeForms.Table3[[#This Row],[القطاع الغربي (Western Sector)]:[القطاع فرسان (Farasan Sector)]])</f>
        <v>مركز المعبوج</v>
      </c>
      <c r="P95" s="133">
        <v>46111</v>
      </c>
      <c r="Q95" s="133">
        <v>45954</v>
      </c>
      <c r="R95" s="135" t="s">
        <v>1379</v>
      </c>
      <c r="S95" s="145">
        <v>30380</v>
      </c>
      <c r="T95" s="1"/>
      <c r="U95" s="136" t="s">
        <v>1380</v>
      </c>
      <c r="V95" s="148" t="s">
        <v>1381</v>
      </c>
      <c r="W95" s="140" t="s">
        <v>875</v>
      </c>
      <c r="X95" s="161" t="s">
        <v>929</v>
      </c>
      <c r="Y95" s="148" t="s">
        <v>1382</v>
      </c>
      <c r="Z95" s="154"/>
      <c r="AA95" s="154" t="s">
        <v>1383</v>
      </c>
      <c r="AB95" s="130"/>
      <c r="AC95" s="154"/>
      <c r="AD95" s="130" t="s">
        <v>680</v>
      </c>
      <c r="AE95" s="130" t="s">
        <v>680</v>
      </c>
      <c r="AF95" s="1"/>
      <c r="AG95" s="130" t="s">
        <v>1384</v>
      </c>
      <c r="AH95" s="130" t="s">
        <v>1385</v>
      </c>
      <c r="AI95" s="237" t="s">
        <v>1236</v>
      </c>
      <c r="AJ95" s="242" t="s">
        <v>1131</v>
      </c>
      <c r="AK95" s="245" t="str">
        <f t="shared" si="1"/>
        <v>✅ ملتزم</v>
      </c>
      <c r="AL95" s="249"/>
      <c r="AM95" s="241" t="s">
        <v>53</v>
      </c>
      <c r="AN95" s="255"/>
      <c r="AO95" s="260"/>
      <c r="AP95" s="261"/>
      <c r="AQ95" s="261"/>
      <c r="AR95" s="272" t="s">
        <v>53</v>
      </c>
      <c r="AS95" s="275" t="str">
        <f>IF(AR95="","",IF(ISNUMBER(SEARCH("جازان",AR95)),"مستشفى جازان العام",IF(ISNUMBER(SEARCH("صبيا",AR95)),"مستشفى صبيا العام",IF(ISNUMBER(SEARCH("عريش",AR95)),"مستشفى أبو عريش العام",IF(ISNUMBER(SEARCH("صامط",AR95)),"مستشفى صامطة العام",IF(ISNUMBER(SEARCH("بيش",AR95)),"مستشفى بيش العام",IF(ISNUMBER(SEARCH("فهد",AR95)),"مستشفى الملك فهد المركزي",AR95)))))))</f>
        <v>مستشفى جازان العام</v>
      </c>
      <c r="AT95" s="275">
        <f>ROW()-1</f>
        <v>94</v>
      </c>
      <c r="AU95" s="275"/>
      <c r="AV95" s="275">
        <f>IFERROR(NETWORKDAYS.INTL(P95,IF(ISNUMBER(AI95),AI95,DATEVALUE(AI95)),"0000011")-1,"N/A")</f>
        <v>2</v>
      </c>
      <c r="AW95" s="275"/>
      <c r="AX95" s="275"/>
    </row>
    <row r="96" spans="1:50" s="30" customFormat="1" ht="63.75">
      <c r="A96" s="124">
        <v>172</v>
      </c>
      <c r="B96" s="126">
        <v>46111.497777777797</v>
      </c>
      <c r="C96" s="126">
        <v>46111.5149537037</v>
      </c>
      <c r="D96" s="131" t="s">
        <v>662</v>
      </c>
      <c r="E96" s="131"/>
      <c r="F96" s="131" t="s">
        <v>279</v>
      </c>
      <c r="G96" s="131"/>
      <c r="H96" s="131"/>
      <c r="I96" s="131"/>
      <c r="J96" s="131" t="s">
        <v>764</v>
      </c>
      <c r="K96" s="131"/>
      <c r="L96" s="131"/>
      <c r="M96" s="131"/>
      <c r="N96" s="131"/>
      <c r="O96" s="1" t="str">
        <f>_xlfn.CONCAT(OfficeForms.Table3[[#This Row],[القطاع الغربي (Western Sector)]:[القطاع فرسان (Farasan Sector)]])</f>
        <v>مركز الريث</v>
      </c>
      <c r="P96" s="132">
        <v>46111</v>
      </c>
      <c r="Q96" s="132">
        <v>45873</v>
      </c>
      <c r="R96" s="134" t="s">
        <v>1386</v>
      </c>
      <c r="S96" s="144">
        <v>29711</v>
      </c>
      <c r="T96" s="1"/>
      <c r="U96" s="137" t="s">
        <v>1387</v>
      </c>
      <c r="V96" s="123" t="s">
        <v>1388</v>
      </c>
      <c r="W96" s="141" t="s">
        <v>769</v>
      </c>
      <c r="X96" s="162" t="s">
        <v>770</v>
      </c>
      <c r="Y96" s="123" t="s">
        <v>1389</v>
      </c>
      <c r="Z96" s="155" t="s">
        <v>1390</v>
      </c>
      <c r="AA96" s="155" t="s">
        <v>1391</v>
      </c>
      <c r="AB96" s="131"/>
      <c r="AC96" s="155"/>
      <c r="AD96" s="131" t="s">
        <v>642</v>
      </c>
      <c r="AE96" s="131"/>
      <c r="AF96" s="1"/>
      <c r="AG96" s="131" t="s">
        <v>1392</v>
      </c>
      <c r="AH96" s="131" t="s">
        <v>1393</v>
      </c>
      <c r="AI96" s="237" t="s">
        <v>1394</v>
      </c>
      <c r="AJ96" s="242" t="s">
        <v>695</v>
      </c>
      <c r="AK96" s="245" t="str">
        <f t="shared" si="1"/>
        <v>❌ غير ملتزم</v>
      </c>
      <c r="AL96" s="249"/>
      <c r="AM96" s="241" t="s">
        <v>67</v>
      </c>
      <c r="AN96" s="255" t="s">
        <v>1131</v>
      </c>
      <c r="AO96" s="260"/>
      <c r="AP96" s="261"/>
      <c r="AQ96" s="261"/>
      <c r="AR96" s="273" t="s">
        <v>67</v>
      </c>
      <c r="AS96" s="275" t="str">
        <f>IF(AR96="","",IF(ISNUMBER(SEARCH("جازان",AR96)),"مستشفى جازان العام",IF(ISNUMBER(SEARCH("صبيا",AR96)),"مستشفى صبيا العام",IF(ISNUMBER(SEARCH("عريش",AR96)),"مستشفى أبو عريش العام",IF(ISNUMBER(SEARCH("صامط",AR96)),"مستشفى صامطة العام",IF(ISNUMBER(SEARCH("بيش",AR96)),"مستشفى بيش العام",IF(ISNUMBER(SEARCH("فهد",AR96)),"مستشفى الملك فهد المركزي",AR96)))))))</f>
        <v>مستشفى بيش العام</v>
      </c>
      <c r="AT96" s="275">
        <f>ROW()-1</f>
        <v>95</v>
      </c>
      <c r="AU96" s="275"/>
      <c r="AV96" s="275">
        <f>IFERROR(NETWORKDAYS.INTL(P96,IF(ISNUMBER(AI96),AI96,DATEVALUE(AI96)),"0000011")-1,"N/A")</f>
        <v>5</v>
      </c>
      <c r="AW96" s="275"/>
      <c r="AX96" s="275"/>
    </row>
    <row r="97" spans="1:50" s="30" customFormat="1" ht="39">
      <c r="A97" s="127">
        <v>173</v>
      </c>
      <c r="B97" s="129">
        <v>46111.479594907403</v>
      </c>
      <c r="C97" s="129">
        <v>46111.532233796301</v>
      </c>
      <c r="D97" s="130" t="s">
        <v>662</v>
      </c>
      <c r="E97" s="130"/>
      <c r="F97" s="130" t="s">
        <v>271</v>
      </c>
      <c r="G97" s="130"/>
      <c r="H97" s="130"/>
      <c r="I97" s="130"/>
      <c r="J97" s="130"/>
      <c r="K97" s="130" t="s">
        <v>880</v>
      </c>
      <c r="L97" s="130"/>
      <c r="M97" s="130"/>
      <c r="N97" s="130"/>
      <c r="O97" s="1" t="str">
        <f>_xlfn.CONCAT(OfficeForms.Table3[[#This Row],[القطاع الغربي (Western Sector)]:[القطاع فرسان (Farasan Sector)]])</f>
        <v>مركز مخطط 5</v>
      </c>
      <c r="P97" s="133">
        <v>46111</v>
      </c>
      <c r="Q97" s="133">
        <v>46059</v>
      </c>
      <c r="R97" s="135" t="s">
        <v>1395</v>
      </c>
      <c r="S97" s="145">
        <v>35759</v>
      </c>
      <c r="T97" s="1"/>
      <c r="U97" s="136" t="s">
        <v>1396</v>
      </c>
      <c r="V97" s="148" t="s">
        <v>1397</v>
      </c>
      <c r="W97" s="140" t="s">
        <v>875</v>
      </c>
      <c r="X97" s="161" t="s">
        <v>1286</v>
      </c>
      <c r="Y97" s="148" t="s">
        <v>1398</v>
      </c>
      <c r="Z97" s="154" t="s">
        <v>704</v>
      </c>
      <c r="AA97" s="154"/>
      <c r="AB97" s="130"/>
      <c r="AC97" s="154"/>
      <c r="AD97" s="130" t="s">
        <v>642</v>
      </c>
      <c r="AE97" s="130"/>
      <c r="AF97" s="1"/>
      <c r="AG97" s="130" t="s">
        <v>1399</v>
      </c>
      <c r="AH97" s="130" t="s">
        <v>1400</v>
      </c>
      <c r="AI97" s="237" t="s">
        <v>1236</v>
      </c>
      <c r="AJ97" s="242" t="s">
        <v>1401</v>
      </c>
      <c r="AK97" s="245" t="str">
        <f t="shared" si="1"/>
        <v>✅ ملتزم</v>
      </c>
      <c r="AL97" s="249"/>
      <c r="AM97" s="241" t="s">
        <v>646</v>
      </c>
      <c r="AN97" s="255" t="s">
        <v>695</v>
      </c>
      <c r="AO97" s="260"/>
      <c r="AP97" s="261"/>
      <c r="AQ97" s="261"/>
      <c r="AR97" s="272" t="s">
        <v>646</v>
      </c>
      <c r="AS97" s="275" t="str">
        <f>IF(AR97="","",IF(ISNUMBER(SEARCH("جازان",AR97)),"مستشفى جازان العام",IF(ISNUMBER(SEARCH("صبيا",AR97)),"مستشفى صبيا العام",IF(ISNUMBER(SEARCH("عريش",AR97)),"مستشفى أبو عريش العام",IF(ISNUMBER(SEARCH("صامط",AR97)),"مستشفى صامطة العام",IF(ISNUMBER(SEARCH("بيش",AR97)),"مستشفى بيش العام",IF(ISNUMBER(SEARCH("فهد",AR97)),"مستشفى الملك فهد المركزي",AR97)))))))</f>
        <v>مستشفى جازان العام</v>
      </c>
      <c r="AT97" s="275">
        <f>ROW()-1</f>
        <v>96</v>
      </c>
      <c r="AU97" s="275"/>
      <c r="AV97" s="275">
        <f>IFERROR(NETWORKDAYS.INTL(P97,IF(ISNUMBER(AI97),AI97,DATEVALUE(AI97)),"0000011")-1,"N/A")</f>
        <v>2</v>
      </c>
      <c r="AW97" s="275"/>
      <c r="AX97" s="275"/>
    </row>
    <row r="98" spans="1:50" s="30" customFormat="1" ht="39">
      <c r="A98" s="124">
        <v>174</v>
      </c>
      <c r="B98" s="126">
        <v>46111.656504629602</v>
      </c>
      <c r="C98" s="126">
        <v>46111.659108796302</v>
      </c>
      <c r="D98" s="131" t="s">
        <v>662</v>
      </c>
      <c r="E98" s="131"/>
      <c r="F98" s="131" t="s">
        <v>943</v>
      </c>
      <c r="G98" s="131"/>
      <c r="H98" s="131"/>
      <c r="I98" s="131" t="s">
        <v>944</v>
      </c>
      <c r="J98" s="131"/>
      <c r="K98" s="131"/>
      <c r="L98" s="131"/>
      <c r="M98" s="131"/>
      <c r="N98" s="131"/>
      <c r="O98" s="1" t="str">
        <f>_xlfn.CONCAT(OfficeForms.Table3[[#This Row],[القطاع الغربي (Western Sector)]:[القطاع فرسان (Farasan Sector)]])</f>
        <v>مركز ابو عريش الشمالي</v>
      </c>
      <c r="P98" s="132">
        <v>46111</v>
      </c>
      <c r="Q98" s="132">
        <v>45879</v>
      </c>
      <c r="R98" s="134" t="s">
        <v>1402</v>
      </c>
      <c r="S98" s="144">
        <v>46159</v>
      </c>
      <c r="T98" s="1"/>
      <c r="U98" s="137" t="s">
        <v>1403</v>
      </c>
      <c r="V98" s="123" t="s">
        <v>1404</v>
      </c>
      <c r="W98" s="141" t="s">
        <v>1405</v>
      </c>
      <c r="X98" s="162" t="s">
        <v>1406</v>
      </c>
      <c r="Y98" s="123" t="s">
        <v>1407</v>
      </c>
      <c r="Z98" s="155" t="s">
        <v>704</v>
      </c>
      <c r="AA98" s="155"/>
      <c r="AB98" s="131" t="s">
        <v>821</v>
      </c>
      <c r="AC98" s="155" t="s">
        <v>1408</v>
      </c>
      <c r="AD98" s="131" t="s">
        <v>680</v>
      </c>
      <c r="AE98" s="131" t="s">
        <v>680</v>
      </c>
      <c r="AF98" s="1"/>
      <c r="AG98" s="131" t="s">
        <v>1409</v>
      </c>
      <c r="AH98" s="131" t="s">
        <v>693</v>
      </c>
      <c r="AI98" s="237" t="s">
        <v>1236</v>
      </c>
      <c r="AJ98" s="242" t="s">
        <v>1131</v>
      </c>
      <c r="AK98" s="245" t="str">
        <f t="shared" si="1"/>
        <v>✅ ملتزم</v>
      </c>
      <c r="AL98" s="249"/>
      <c r="AM98" s="241" t="s">
        <v>1074</v>
      </c>
      <c r="AN98" s="255" t="s">
        <v>1401</v>
      </c>
      <c r="AO98" s="260"/>
      <c r="AP98" s="261"/>
      <c r="AQ98" s="261"/>
      <c r="AR98" s="273" t="s">
        <v>1074</v>
      </c>
      <c r="AS98" s="275" t="str">
        <f>IF(AR98="","",IF(ISNUMBER(SEARCH("جازان",AR98)),"مستشفى جازان العام",IF(ISNUMBER(SEARCH("صبيا",AR98)),"مستشفى صبيا العام",IF(ISNUMBER(SEARCH("عريش",AR98)),"مستشفى أبو عريش العام",IF(ISNUMBER(SEARCH("صامط",AR98)),"مستشفى صامطة العام",IF(ISNUMBER(SEARCH("بيش",AR98)),"مستشفى بيش العام",IF(ISNUMBER(SEARCH("فهد",AR98)),"مستشفى الملك فهد المركزي",AR98)))))))</f>
        <v>مستشفى أبو عريش العام</v>
      </c>
      <c r="AT98" s="275">
        <f>ROW()-1</f>
        <v>97</v>
      </c>
      <c r="AU98" s="275"/>
      <c r="AV98" s="275">
        <f>IFERROR(NETWORKDAYS.INTL(P98,IF(ISNUMBER(AI98),AI98,DATEVALUE(AI98)),"0000011")-1,"N/A")</f>
        <v>2</v>
      </c>
      <c r="AW98" s="275"/>
      <c r="AX98" s="275"/>
    </row>
    <row r="99" spans="1:50" s="30" customFormat="1" ht="51">
      <c r="A99" s="127">
        <v>175</v>
      </c>
      <c r="B99" s="129">
        <v>46112.378692129598</v>
      </c>
      <c r="C99" s="129">
        <v>46112.382638888899</v>
      </c>
      <c r="D99" s="130" t="s">
        <v>662</v>
      </c>
      <c r="E99" s="130"/>
      <c r="F99" s="130" t="s">
        <v>271</v>
      </c>
      <c r="G99" s="130"/>
      <c r="H99" s="130"/>
      <c r="I99" s="130"/>
      <c r="J99" s="130"/>
      <c r="K99" s="130" t="s">
        <v>923</v>
      </c>
      <c r="L99" s="130"/>
      <c r="M99" s="130"/>
      <c r="N99" s="130"/>
      <c r="O99" s="1" t="str">
        <f>_xlfn.CONCAT(OfficeForms.Table3[[#This Row],[القطاع الغربي (Western Sector)]:[القطاع فرسان (Farasan Sector)]])</f>
        <v>مركز المعبوج</v>
      </c>
      <c r="P99" s="133">
        <v>46112</v>
      </c>
      <c r="Q99" s="133">
        <v>46028</v>
      </c>
      <c r="R99" s="135" t="s">
        <v>1410</v>
      </c>
      <c r="S99" s="147" t="s">
        <v>1411</v>
      </c>
      <c r="T99" s="1"/>
      <c r="U99" s="136" t="s">
        <v>1412</v>
      </c>
      <c r="V99" s="148" t="s">
        <v>1413</v>
      </c>
      <c r="W99" s="140" t="s">
        <v>875</v>
      </c>
      <c r="X99" s="161" t="s">
        <v>1382</v>
      </c>
      <c r="Y99" s="148" t="s">
        <v>1414</v>
      </c>
      <c r="Z99" s="154" t="s">
        <v>690</v>
      </c>
      <c r="AA99" s="154" t="s">
        <v>736</v>
      </c>
      <c r="AB99" s="130"/>
      <c r="AC99" s="154"/>
      <c r="AD99" s="130" t="s">
        <v>642</v>
      </c>
      <c r="AE99" s="130"/>
      <c r="AF99" s="1"/>
      <c r="AG99" s="130" t="s">
        <v>1415</v>
      </c>
      <c r="AH99" s="130"/>
      <c r="AI99" s="237" t="s">
        <v>1236</v>
      </c>
      <c r="AJ99" s="242" t="s">
        <v>1401</v>
      </c>
      <c r="AK99" s="245" t="str">
        <f t="shared" si="1"/>
        <v>✅ ملتزم</v>
      </c>
      <c r="AL99" s="249"/>
      <c r="AM99" s="241" t="s">
        <v>53</v>
      </c>
      <c r="AN99" s="255" t="s">
        <v>1131</v>
      </c>
      <c r="AO99" s="260"/>
      <c r="AP99" s="261"/>
      <c r="AQ99" s="261"/>
      <c r="AR99" s="272" t="s">
        <v>53</v>
      </c>
      <c r="AS99" s="275" t="str">
        <f>IF(AR99="","",IF(ISNUMBER(SEARCH("جازان",AR99)),"مستشفى جازان العام",IF(ISNUMBER(SEARCH("صبيا",AR99)),"مستشفى صبيا العام",IF(ISNUMBER(SEARCH("عريش",AR99)),"مستشفى أبو عريش العام",IF(ISNUMBER(SEARCH("صامط",AR99)),"مستشفى صامطة العام",IF(ISNUMBER(SEARCH("بيش",AR99)),"مستشفى بيش العام",IF(ISNUMBER(SEARCH("فهد",AR99)),"مستشفى الملك فهد المركزي",AR99)))))))</f>
        <v>مستشفى جازان العام</v>
      </c>
      <c r="AT99" s="275">
        <f>ROW()-1</f>
        <v>98</v>
      </c>
      <c r="AU99" s="275"/>
      <c r="AV99" s="275">
        <f>IFERROR(NETWORKDAYS.INTL(P99,IF(ISNUMBER(AI99),AI99,DATEVALUE(AI99)),"0000011")-1,"N/A")</f>
        <v>1</v>
      </c>
      <c r="AW99" s="275"/>
      <c r="AX99" s="275"/>
    </row>
    <row r="100" spans="1:50" s="30" customFormat="1" ht="127.5">
      <c r="A100" s="124">
        <v>176</v>
      </c>
      <c r="B100" s="126">
        <v>46112.398784722202</v>
      </c>
      <c r="C100" s="126">
        <v>46112.406712962998</v>
      </c>
      <c r="D100" s="131" t="s">
        <v>662</v>
      </c>
      <c r="E100" s="131"/>
      <c r="F100" s="131" t="s">
        <v>277</v>
      </c>
      <c r="G100" s="131"/>
      <c r="H100" s="131" t="s">
        <v>738</v>
      </c>
      <c r="I100" s="131"/>
      <c r="J100" s="131"/>
      <c r="K100" s="131"/>
      <c r="L100" s="131"/>
      <c r="M100" s="131"/>
      <c r="N100" s="131"/>
      <c r="O100" s="1" t="str">
        <f>_xlfn.CONCAT(OfficeForms.Table3[[#This Row],[القطاع الغربي (Western Sector)]:[القطاع فرسان (Farasan Sector)]])</f>
        <v>مركز الخارش</v>
      </c>
      <c r="P100" s="132">
        <v>46112</v>
      </c>
      <c r="Q100" s="132">
        <v>45941</v>
      </c>
      <c r="R100" s="134" t="s">
        <v>881</v>
      </c>
      <c r="S100" s="146" t="s">
        <v>1416</v>
      </c>
      <c r="T100" s="1"/>
      <c r="U100" s="137" t="s">
        <v>1417</v>
      </c>
      <c r="V100" s="123" t="s">
        <v>1418</v>
      </c>
      <c r="W100" s="141" t="s">
        <v>1246</v>
      </c>
      <c r="X100" s="162" t="s">
        <v>1419</v>
      </c>
      <c r="Y100" s="123" t="s">
        <v>1420</v>
      </c>
      <c r="Z100" s="155" t="s">
        <v>1421</v>
      </c>
      <c r="AA100" s="155"/>
      <c r="AB100" s="131" t="s">
        <v>832</v>
      </c>
      <c r="AC100" s="155" t="s">
        <v>642</v>
      </c>
      <c r="AD100" s="131" t="s">
        <v>680</v>
      </c>
      <c r="AE100" s="131" t="s">
        <v>642</v>
      </c>
      <c r="AF100" s="1"/>
      <c r="AG100" s="131" t="s">
        <v>1250</v>
      </c>
      <c r="AH100" s="131" t="s">
        <v>1422</v>
      </c>
      <c r="AI100" s="237" t="s">
        <v>1236</v>
      </c>
      <c r="AJ100" s="242" t="s">
        <v>1401</v>
      </c>
      <c r="AK100" s="245" t="str">
        <f t="shared" si="1"/>
        <v>✅ ملتزم</v>
      </c>
      <c r="AL100" s="249"/>
      <c r="AM100" s="241" t="s">
        <v>65</v>
      </c>
      <c r="AN100" s="255" t="s">
        <v>1401</v>
      </c>
      <c r="AO100" s="260"/>
      <c r="AP100" s="261"/>
      <c r="AQ100" s="261"/>
      <c r="AR100" s="273" t="s">
        <v>65</v>
      </c>
      <c r="AS100" s="275" t="str">
        <f>IF(AR100="","",IF(ISNUMBER(SEARCH("جازان",AR100)),"مستشفى جازان العام",IF(ISNUMBER(SEARCH("صبيا",AR100)),"مستشفى صبيا العام",IF(ISNUMBER(SEARCH("عريش",AR100)),"مستشفى أبو عريش العام",IF(ISNUMBER(SEARCH("صامط",AR100)),"مستشفى صامطة العام",IF(ISNUMBER(SEARCH("بيش",AR100)),"مستشفى بيش العام",IF(ISNUMBER(SEARCH("فهد",AR100)),"مستشفى الملك فهد المركزي",AR100)))))))</f>
        <v>مستشفى صامطة العام</v>
      </c>
      <c r="AT100" s="275">
        <f>ROW()-1</f>
        <v>99</v>
      </c>
      <c r="AU100" s="275"/>
      <c r="AV100" s="275">
        <f>IFERROR(NETWORKDAYS.INTL(P100,IF(ISNUMBER(AI100),AI100,DATEVALUE(AI100)),"0000011")-1,"N/A")</f>
        <v>1</v>
      </c>
      <c r="AW100" s="275"/>
      <c r="AX100" s="275"/>
    </row>
    <row r="101" spans="1:50" s="30" customFormat="1" ht="22.5">
      <c r="A101" s="127">
        <v>177</v>
      </c>
      <c r="B101" s="129">
        <v>46112.404826388898</v>
      </c>
      <c r="C101" s="129">
        <v>46112.408171296302</v>
      </c>
      <c r="D101" s="130" t="s">
        <v>662</v>
      </c>
      <c r="E101" s="130"/>
      <c r="F101" s="130" t="s">
        <v>271</v>
      </c>
      <c r="G101" s="130"/>
      <c r="H101" s="130"/>
      <c r="I101" s="130"/>
      <c r="J101" s="130"/>
      <c r="K101" s="130" t="s">
        <v>923</v>
      </c>
      <c r="L101" s="130"/>
      <c r="M101" s="130"/>
      <c r="N101" s="130"/>
      <c r="O101" s="1" t="str">
        <f>_xlfn.CONCAT(OfficeForms.Table3[[#This Row],[القطاع الغربي (Western Sector)]:[القطاع فرسان (Farasan Sector)]])</f>
        <v>مركز المعبوج</v>
      </c>
      <c r="P101" s="133">
        <v>46112</v>
      </c>
      <c r="Q101" s="133">
        <v>46006</v>
      </c>
      <c r="R101" s="135" t="s">
        <v>1423</v>
      </c>
      <c r="S101" s="147" t="s">
        <v>1424</v>
      </c>
      <c r="T101" s="1"/>
      <c r="U101" s="136" t="s">
        <v>1425</v>
      </c>
      <c r="V101" s="148" t="s">
        <v>1426</v>
      </c>
      <c r="W101" s="140" t="s">
        <v>875</v>
      </c>
      <c r="X101" s="161" t="s">
        <v>1382</v>
      </c>
      <c r="Y101" s="148" t="s">
        <v>1427</v>
      </c>
      <c r="Z101" s="154"/>
      <c r="AA101" s="154"/>
      <c r="AB101" s="130" t="s">
        <v>832</v>
      </c>
      <c r="AC101" s="154"/>
      <c r="AD101" s="130" t="s">
        <v>642</v>
      </c>
      <c r="AE101" s="130"/>
      <c r="AF101" s="1"/>
      <c r="AG101" s="130" t="s">
        <v>1415</v>
      </c>
      <c r="AH101" s="130"/>
      <c r="AI101" s="237" t="s">
        <v>1236</v>
      </c>
      <c r="AJ101" s="242" t="s">
        <v>1131</v>
      </c>
      <c r="AK101" s="245" t="str">
        <f t="shared" si="1"/>
        <v>✅ ملتزم</v>
      </c>
      <c r="AL101" s="249"/>
      <c r="AM101" s="241" t="s">
        <v>53</v>
      </c>
      <c r="AN101" s="255" t="s">
        <v>1401</v>
      </c>
      <c r="AO101" s="260"/>
      <c r="AP101" s="261"/>
      <c r="AQ101" s="261"/>
      <c r="AR101" s="272" t="s">
        <v>53</v>
      </c>
      <c r="AS101" s="275" t="str">
        <f>IF(AR101="","",IF(ISNUMBER(SEARCH("جازان",AR101)),"مستشفى جازان العام",IF(ISNUMBER(SEARCH("صبيا",AR101)),"مستشفى صبيا العام",IF(ISNUMBER(SEARCH("عريش",AR101)),"مستشفى أبو عريش العام",IF(ISNUMBER(SEARCH("صامط",AR101)),"مستشفى صامطة العام",IF(ISNUMBER(SEARCH("بيش",AR101)),"مستشفى بيش العام",IF(ISNUMBER(SEARCH("فهد",AR101)),"مستشفى الملك فهد المركزي",AR101)))))))</f>
        <v>مستشفى جازان العام</v>
      </c>
      <c r="AT101" s="275">
        <f>ROW()-1</f>
        <v>100</v>
      </c>
      <c r="AU101" s="275"/>
      <c r="AV101" s="275"/>
      <c r="AW101" s="275"/>
      <c r="AX101" s="275"/>
    </row>
    <row r="102" spans="1:50" s="30" customFormat="1" ht="51">
      <c r="A102" s="124">
        <v>178</v>
      </c>
      <c r="B102" s="126">
        <v>46112.428854166697</v>
      </c>
      <c r="C102" s="126">
        <v>46112.431724536997</v>
      </c>
      <c r="D102" s="131" t="s">
        <v>662</v>
      </c>
      <c r="E102" s="131"/>
      <c r="F102" s="131" t="s">
        <v>271</v>
      </c>
      <c r="G102" s="131"/>
      <c r="H102" s="131"/>
      <c r="I102" s="131"/>
      <c r="J102" s="131"/>
      <c r="K102" s="131" t="s">
        <v>923</v>
      </c>
      <c r="L102" s="131"/>
      <c r="M102" s="131"/>
      <c r="N102" s="131"/>
      <c r="O102" s="1" t="str">
        <f>_xlfn.CONCAT(OfficeForms.Table3[[#This Row],[القطاع الغربي (Western Sector)]:[القطاع فرسان (Farasan Sector)]])</f>
        <v>مركز المعبوج</v>
      </c>
      <c r="P102" s="132">
        <v>46112</v>
      </c>
      <c r="Q102" s="132">
        <v>45961</v>
      </c>
      <c r="R102" s="134" t="s">
        <v>1428</v>
      </c>
      <c r="S102" s="146" t="s">
        <v>1429</v>
      </c>
      <c r="T102" s="1"/>
      <c r="U102" s="137" t="s">
        <v>1430</v>
      </c>
      <c r="V102" s="123" t="s">
        <v>1431</v>
      </c>
      <c r="W102" s="141" t="s">
        <v>875</v>
      </c>
      <c r="X102" s="162" t="s">
        <v>1382</v>
      </c>
      <c r="Y102" s="123" t="s">
        <v>1432</v>
      </c>
      <c r="Z102" s="155" t="s">
        <v>690</v>
      </c>
      <c r="AA102" s="155"/>
      <c r="AB102" s="131"/>
      <c r="AC102" s="155"/>
      <c r="AD102" s="131" t="s">
        <v>642</v>
      </c>
      <c r="AE102" s="131"/>
      <c r="AF102" s="1"/>
      <c r="AG102" s="131" t="s">
        <v>1415</v>
      </c>
      <c r="AH102" s="131"/>
      <c r="AI102" s="237" t="s">
        <v>1236</v>
      </c>
      <c r="AJ102" s="242" t="s">
        <v>1131</v>
      </c>
      <c r="AK102" s="245" t="str">
        <f t="shared" si="1"/>
        <v>✅ ملتزم</v>
      </c>
      <c r="AL102" s="249"/>
      <c r="AM102" s="241" t="s">
        <v>53</v>
      </c>
      <c r="AN102" s="255" t="s">
        <v>1131</v>
      </c>
      <c r="AO102" s="260"/>
      <c r="AP102" s="261"/>
      <c r="AQ102" s="261"/>
      <c r="AR102" s="273" t="s">
        <v>53</v>
      </c>
      <c r="AS102" s="275" t="str">
        <f>IF(AR102="","",IF(ISNUMBER(SEARCH("جازان",AR102)),"مستشفى جازان العام",IF(ISNUMBER(SEARCH("صبيا",AR102)),"مستشفى صبيا العام",IF(ISNUMBER(SEARCH("عريش",AR102)),"مستشفى أبو عريش العام",IF(ISNUMBER(SEARCH("صامط",AR102)),"مستشفى صامطة العام",IF(ISNUMBER(SEARCH("بيش",AR102)),"مستشفى بيش العام",IF(ISNUMBER(SEARCH("فهد",AR102)),"مستشفى الملك فهد المركزي",AR102)))))))</f>
        <v>مستشفى جازان العام</v>
      </c>
      <c r="AT102" s="275">
        <f>ROW()-1</f>
        <v>101</v>
      </c>
      <c r="AU102" s="275"/>
      <c r="AV102" s="275"/>
      <c r="AW102" s="275"/>
      <c r="AX102" s="275"/>
    </row>
    <row r="103" spans="1:50" s="30" customFormat="1" ht="39">
      <c r="A103" s="127">
        <v>179</v>
      </c>
      <c r="B103" s="129">
        <v>46112.455706018503</v>
      </c>
      <c r="C103" s="129">
        <v>46112.4601736111</v>
      </c>
      <c r="D103" s="130" t="s">
        <v>662</v>
      </c>
      <c r="E103" s="130"/>
      <c r="F103" s="130" t="s">
        <v>271</v>
      </c>
      <c r="G103" s="130"/>
      <c r="H103" s="130"/>
      <c r="I103" s="130"/>
      <c r="J103" s="130"/>
      <c r="K103" s="130" t="s">
        <v>923</v>
      </c>
      <c r="L103" s="130"/>
      <c r="M103" s="130"/>
      <c r="N103" s="130"/>
      <c r="O103" s="1" t="str">
        <f>_xlfn.CONCAT(OfficeForms.Table3[[#This Row],[القطاع الغربي (Western Sector)]:[القطاع فرسان (Farasan Sector)]])</f>
        <v>مركز المعبوج</v>
      </c>
      <c r="P103" s="133">
        <v>46112</v>
      </c>
      <c r="Q103" s="133">
        <v>46036</v>
      </c>
      <c r="R103" s="135" t="s">
        <v>1144</v>
      </c>
      <c r="S103" s="145">
        <v>32874</v>
      </c>
      <c r="T103" s="1"/>
      <c r="U103" s="136" t="s">
        <v>1433</v>
      </c>
      <c r="V103" s="148" t="s">
        <v>1434</v>
      </c>
      <c r="W103" s="140" t="s">
        <v>875</v>
      </c>
      <c r="X103" s="161" t="s">
        <v>1382</v>
      </c>
      <c r="Y103" s="148" t="s">
        <v>1435</v>
      </c>
      <c r="Z103" s="154" t="s">
        <v>704</v>
      </c>
      <c r="AA103" s="154" t="s">
        <v>1436</v>
      </c>
      <c r="AB103" s="130"/>
      <c r="AC103" s="154"/>
      <c r="AD103" s="130" t="s">
        <v>680</v>
      </c>
      <c r="AE103" s="130" t="s">
        <v>642</v>
      </c>
      <c r="AF103" s="1"/>
      <c r="AG103" s="130" t="s">
        <v>1415</v>
      </c>
      <c r="AH103" s="130" t="s">
        <v>1437</v>
      </c>
      <c r="AI103" s="237" t="s">
        <v>1236</v>
      </c>
      <c r="AJ103" s="242" t="s">
        <v>1131</v>
      </c>
      <c r="AK103" s="245" t="str">
        <f t="shared" si="1"/>
        <v>✅ ملتزم</v>
      </c>
      <c r="AL103" s="249"/>
      <c r="AM103" s="241" t="s">
        <v>53</v>
      </c>
      <c r="AN103" s="255" t="s">
        <v>1131</v>
      </c>
      <c r="AO103" s="260"/>
      <c r="AP103" s="261"/>
      <c r="AQ103" s="261"/>
      <c r="AR103" s="272" t="s">
        <v>53</v>
      </c>
      <c r="AS103" s="275" t="str">
        <f>IF(AR103="","",IF(ISNUMBER(SEARCH("جازان",AR103)),"مستشفى جازان العام",IF(ISNUMBER(SEARCH("صبيا",AR103)),"مستشفى صبيا العام",IF(ISNUMBER(SEARCH("عريش",AR103)),"مستشفى أبو عريش العام",IF(ISNUMBER(SEARCH("صامط",AR103)),"مستشفى صامطة العام",IF(ISNUMBER(SEARCH("بيش",AR103)),"مستشفى بيش العام",IF(ISNUMBER(SEARCH("فهد",AR103)),"مستشفى الملك فهد المركزي",AR103)))))))</f>
        <v>مستشفى جازان العام</v>
      </c>
      <c r="AT103" s="275">
        <f>ROW()-1</f>
        <v>102</v>
      </c>
      <c r="AU103" s="275"/>
      <c r="AV103" s="275"/>
      <c r="AW103" s="275"/>
      <c r="AX103" s="275"/>
    </row>
    <row r="104" spans="1:50" s="30" customFormat="1" ht="26.25">
      <c r="A104" s="124">
        <v>180</v>
      </c>
      <c r="B104" s="126">
        <v>46112.484907407401</v>
      </c>
      <c r="C104" s="126">
        <v>46112.489212963003</v>
      </c>
      <c r="D104" s="131" t="s">
        <v>662</v>
      </c>
      <c r="E104" s="131"/>
      <c r="F104" s="131" t="s">
        <v>279</v>
      </c>
      <c r="G104" s="131"/>
      <c r="H104" s="131"/>
      <c r="I104" s="131"/>
      <c r="J104" s="131" t="s">
        <v>764</v>
      </c>
      <c r="K104" s="131"/>
      <c r="L104" s="131"/>
      <c r="M104" s="131"/>
      <c r="N104" s="131"/>
      <c r="O104" s="1" t="str">
        <f>_xlfn.CONCAT(OfficeForms.Table3[[#This Row],[القطاع الغربي (Western Sector)]:[القطاع فرسان (Farasan Sector)]])</f>
        <v>مركز الريث</v>
      </c>
      <c r="P104" s="132">
        <v>46112</v>
      </c>
      <c r="Q104" s="132">
        <v>45957</v>
      </c>
      <c r="R104" s="134" t="s">
        <v>1438</v>
      </c>
      <c r="S104" s="144" t="s">
        <v>1439</v>
      </c>
      <c r="T104" s="1">
        <v>28</v>
      </c>
      <c r="U104" s="137" t="s">
        <v>1440</v>
      </c>
      <c r="V104" s="123" t="s">
        <v>1441</v>
      </c>
      <c r="W104" s="141" t="s">
        <v>1442</v>
      </c>
      <c r="X104" s="162" t="s">
        <v>770</v>
      </c>
      <c r="Y104" s="123" t="s">
        <v>1443</v>
      </c>
      <c r="Z104" s="155"/>
      <c r="AA104" s="155" t="s">
        <v>691</v>
      </c>
      <c r="AB104" s="131"/>
      <c r="AC104" s="155"/>
      <c r="AD104" s="131" t="s">
        <v>642</v>
      </c>
      <c r="AE104" s="131"/>
      <c r="AF104" s="1"/>
      <c r="AG104" s="131" t="s">
        <v>774</v>
      </c>
      <c r="AH104" s="131"/>
      <c r="AI104" s="237" t="s">
        <v>1394</v>
      </c>
      <c r="AJ104" s="242" t="s">
        <v>1131</v>
      </c>
      <c r="AK104" s="245" t="str">
        <f t="shared" si="1"/>
        <v>❌ غير ملتزم</v>
      </c>
      <c r="AL104" s="249"/>
      <c r="AM104" s="241" t="s">
        <v>67</v>
      </c>
      <c r="AN104" s="255" t="s">
        <v>1131</v>
      </c>
      <c r="AO104" s="260"/>
      <c r="AP104" s="261"/>
      <c r="AQ104" s="261"/>
      <c r="AR104" s="273" t="s">
        <v>67</v>
      </c>
      <c r="AS104" s="275" t="str">
        <f>IF(AR104="","",IF(ISNUMBER(SEARCH("جازان",AR104)),"مستشفى جازان العام",IF(ISNUMBER(SEARCH("صبيا",AR104)),"مستشفى صبيا العام",IF(ISNUMBER(SEARCH("عريش",AR104)),"مستشفى أبو عريش العام",IF(ISNUMBER(SEARCH("صامط",AR104)),"مستشفى صامطة العام",IF(ISNUMBER(SEARCH("بيش",AR104)),"مستشفى بيش العام",IF(ISNUMBER(SEARCH("فهد",AR104)),"مستشفى الملك فهد المركزي",AR104)))))))</f>
        <v>مستشفى بيش العام</v>
      </c>
      <c r="AT104" s="275">
        <f>ROW()-1</f>
        <v>103</v>
      </c>
      <c r="AU104" s="275"/>
      <c r="AV104" s="275"/>
      <c r="AW104" s="275"/>
      <c r="AX104" s="275"/>
    </row>
    <row r="105" spans="1:50" s="30" customFormat="1" ht="26.25">
      <c r="A105" s="127">
        <v>181</v>
      </c>
      <c r="B105" s="129">
        <v>46112.497824074097</v>
      </c>
      <c r="C105" s="129">
        <v>46112.501087962999</v>
      </c>
      <c r="D105" s="130" t="s">
        <v>662</v>
      </c>
      <c r="E105" s="130"/>
      <c r="F105" s="130" t="s">
        <v>271</v>
      </c>
      <c r="G105" s="130"/>
      <c r="H105" s="130"/>
      <c r="I105" s="130"/>
      <c r="J105" s="130"/>
      <c r="K105" s="130" t="s">
        <v>923</v>
      </c>
      <c r="L105" s="130"/>
      <c r="M105" s="130"/>
      <c r="N105" s="130"/>
      <c r="O105" s="1" t="str">
        <f>_xlfn.CONCAT(OfficeForms.Table3[[#This Row],[القطاع الغربي (Western Sector)]:[القطاع فرسان (Farasan Sector)]])</f>
        <v>مركز المعبوج</v>
      </c>
      <c r="P105" s="133">
        <v>46112</v>
      </c>
      <c r="Q105" s="133">
        <v>46004</v>
      </c>
      <c r="R105" s="135" t="s">
        <v>721</v>
      </c>
      <c r="S105" s="147" t="s">
        <v>1444</v>
      </c>
      <c r="T105" s="1">
        <v>36</v>
      </c>
      <c r="U105" s="136" t="s">
        <v>1445</v>
      </c>
      <c r="V105" s="148" t="s">
        <v>1446</v>
      </c>
      <c r="W105" s="140" t="s">
        <v>875</v>
      </c>
      <c r="X105" s="161" t="s">
        <v>1382</v>
      </c>
      <c r="Y105" s="148" t="s">
        <v>1447</v>
      </c>
      <c r="Z105" s="154"/>
      <c r="AA105" s="154" t="s">
        <v>691</v>
      </c>
      <c r="AB105" s="130"/>
      <c r="AC105" s="154"/>
      <c r="AD105" s="130" t="s">
        <v>642</v>
      </c>
      <c r="AE105" s="130"/>
      <c r="AF105" s="1"/>
      <c r="AG105" s="130" t="s">
        <v>1415</v>
      </c>
      <c r="AH105" s="130"/>
      <c r="AI105" s="237" t="s">
        <v>1236</v>
      </c>
      <c r="AJ105" s="242" t="s">
        <v>1131</v>
      </c>
      <c r="AK105" s="245" t="str">
        <f t="shared" si="1"/>
        <v>✅ ملتزم</v>
      </c>
      <c r="AL105" s="249"/>
      <c r="AM105" s="241" t="s">
        <v>53</v>
      </c>
      <c r="AN105" s="255" t="s">
        <v>1131</v>
      </c>
      <c r="AO105" s="260"/>
      <c r="AP105" s="261"/>
      <c r="AQ105" s="261"/>
      <c r="AR105" s="272" t="s">
        <v>53</v>
      </c>
      <c r="AS105" s="275" t="str">
        <f>IF(AR105="","",IF(ISNUMBER(SEARCH("جازان",AR105)),"مستشفى جازان العام",IF(ISNUMBER(SEARCH("صبيا",AR105)),"مستشفى صبيا العام",IF(ISNUMBER(SEARCH("عريش",AR105)),"مستشفى أبو عريش العام",IF(ISNUMBER(SEARCH("صامط",AR105)),"مستشفى صامطة العام",IF(ISNUMBER(SEARCH("بيش",AR105)),"مستشفى بيش العام",IF(ISNUMBER(SEARCH("فهد",AR105)),"مستشفى الملك فهد المركزي",AR105)))))))</f>
        <v>مستشفى جازان العام</v>
      </c>
      <c r="AT105" s="275">
        <f>ROW()-1</f>
        <v>104</v>
      </c>
      <c r="AU105" s="275"/>
      <c r="AV105" s="275"/>
      <c r="AW105" s="275"/>
      <c r="AX105" s="275"/>
    </row>
    <row r="106" spans="1:50" s="30" customFormat="1" ht="102">
      <c r="A106" s="124">
        <v>182</v>
      </c>
      <c r="B106" s="126">
        <v>46112.586979166699</v>
      </c>
      <c r="C106" s="126">
        <v>46112.592071759304</v>
      </c>
      <c r="D106" s="131" t="s">
        <v>662</v>
      </c>
      <c r="E106" s="131"/>
      <c r="F106" s="131" t="s">
        <v>277</v>
      </c>
      <c r="G106" s="131"/>
      <c r="H106" s="131" t="s">
        <v>1448</v>
      </c>
      <c r="I106" s="131"/>
      <c r="J106" s="131"/>
      <c r="K106" s="131"/>
      <c r="L106" s="131"/>
      <c r="M106" s="131"/>
      <c r="N106" s="131"/>
      <c r="O106" s="1" t="str">
        <f>_xlfn.CONCAT(OfficeForms.Table3[[#This Row],[القطاع الغربي (Western Sector)]:[القطاع فرسان (Farasan Sector)]])</f>
        <v>مركز الخوالف</v>
      </c>
      <c r="P106" s="132">
        <v>46112</v>
      </c>
      <c r="Q106" s="132">
        <v>45951</v>
      </c>
      <c r="R106" s="158">
        <v>23</v>
      </c>
      <c r="S106" s="146" t="s">
        <v>1449</v>
      </c>
      <c r="T106" s="1">
        <v>41</v>
      </c>
      <c r="U106" s="137" t="s">
        <v>1450</v>
      </c>
      <c r="V106" s="123" t="s">
        <v>1451</v>
      </c>
      <c r="W106" s="141" t="s">
        <v>1452</v>
      </c>
      <c r="X106" s="162" t="s">
        <v>1453</v>
      </c>
      <c r="Y106" s="123" t="s">
        <v>1454</v>
      </c>
      <c r="Z106" s="155"/>
      <c r="AA106" s="155" t="s">
        <v>1455</v>
      </c>
      <c r="AB106" s="131"/>
      <c r="AC106" s="155"/>
      <c r="AD106" s="131" t="s">
        <v>642</v>
      </c>
      <c r="AE106" s="131"/>
      <c r="AF106" s="1"/>
      <c r="AG106" s="131" t="s">
        <v>1456</v>
      </c>
      <c r="AH106" s="131"/>
      <c r="AI106" s="237" t="s">
        <v>1394</v>
      </c>
      <c r="AJ106" s="242" t="s">
        <v>1457</v>
      </c>
      <c r="AK106" s="245" t="str">
        <f t="shared" si="1"/>
        <v>❌ غير ملتزم</v>
      </c>
      <c r="AL106" s="249"/>
      <c r="AM106" s="241" t="s">
        <v>65</v>
      </c>
      <c r="AN106" s="255" t="s">
        <v>1131</v>
      </c>
      <c r="AO106" s="260"/>
      <c r="AP106" s="261"/>
      <c r="AQ106" s="261"/>
      <c r="AR106" s="273" t="s">
        <v>65</v>
      </c>
      <c r="AS106" s="275" t="str">
        <f>IF(AR106="","",IF(ISNUMBER(SEARCH("جازان",AR106)),"مستشفى جازان العام",IF(ISNUMBER(SEARCH("صبيا",AR106)),"مستشفى صبيا العام",IF(ISNUMBER(SEARCH("عريش",AR106)),"مستشفى أبو عريش العام",IF(ISNUMBER(SEARCH("صامط",AR106)),"مستشفى صامطة العام",IF(ISNUMBER(SEARCH("بيش",AR106)),"مستشفى بيش العام",IF(ISNUMBER(SEARCH("فهد",AR106)),"مستشفى الملك فهد المركزي",AR106)))))))</f>
        <v>مستشفى صامطة العام</v>
      </c>
      <c r="AT106" s="275">
        <f>ROW()-1</f>
        <v>105</v>
      </c>
      <c r="AU106" s="275"/>
      <c r="AV106" s="275"/>
      <c r="AW106" s="275"/>
      <c r="AX106" s="275"/>
    </row>
    <row r="107" spans="1:50" ht="51">
      <c r="A107" s="167">
        <v>186</v>
      </c>
      <c r="B107" s="167">
        <v>46113.476770833302</v>
      </c>
      <c r="C107" s="167">
        <v>46113.484259259298</v>
      </c>
      <c r="D107" s="4" t="s">
        <v>662</v>
      </c>
      <c r="E107" s="1"/>
      <c r="F107" s="1" t="s">
        <v>362</v>
      </c>
      <c r="G107" s="1" t="s">
        <v>1458</v>
      </c>
      <c r="H107" s="1" t="s">
        <v>1458</v>
      </c>
      <c r="I107" s="1" t="s">
        <v>1459</v>
      </c>
      <c r="J107" s="1" t="s">
        <v>1458</v>
      </c>
      <c r="K107" s="1" t="s">
        <v>1458</v>
      </c>
      <c r="L107" s="1" t="s">
        <v>1458</v>
      </c>
      <c r="M107" s="1" t="s">
        <v>1458</v>
      </c>
      <c r="N107" s="1" t="s">
        <v>1458</v>
      </c>
      <c r="O107" s="1" t="str">
        <f>_xlfn.CONCAT(OfficeForms.Table3[[#This Row],[القطاع الغربي (Western Sector)]:[القطاع فرسان (Farasan Sector)]])</f>
        <v>مركز الخشابية (Al-Khashabiyah Center)</v>
      </c>
      <c r="P107" s="5">
        <v>46113</v>
      </c>
      <c r="Q107" s="5">
        <v>45889</v>
      </c>
      <c r="R107" s="6" t="s">
        <v>1243</v>
      </c>
      <c r="S107" s="7" t="s">
        <v>1460</v>
      </c>
      <c r="T107" s="1">
        <v>33</v>
      </c>
      <c r="U107" s="8" t="s">
        <v>361</v>
      </c>
      <c r="V107" s="9" t="s">
        <v>1461</v>
      </c>
      <c r="W107" s="8" t="s">
        <v>1462</v>
      </c>
      <c r="X107" s="10" t="s">
        <v>1463</v>
      </c>
      <c r="Y107" s="9" t="s">
        <v>1464</v>
      </c>
      <c r="Z107" s="11" t="s">
        <v>1465</v>
      </c>
      <c r="AA107" s="11"/>
      <c r="AB107" s="11"/>
      <c r="AC107" s="11" t="s">
        <v>693</v>
      </c>
      <c r="AD107" s="4" t="s">
        <v>642</v>
      </c>
      <c r="AE107" s="4"/>
      <c r="AF107" s="167"/>
      <c r="AG107" s="12" t="s">
        <v>1466</v>
      </c>
      <c r="AH107" s="13" t="s">
        <v>693</v>
      </c>
      <c r="AI107" s="239">
        <v>46117</v>
      </c>
      <c r="AJ107" s="242"/>
      <c r="AK107" s="245" t="str">
        <f t="shared" si="1"/>
        <v>✅ ملتزم</v>
      </c>
      <c r="AL107" s="251"/>
      <c r="AM107" s="241" t="s">
        <v>1467</v>
      </c>
      <c r="AN107" s="258" t="s">
        <v>1468</v>
      </c>
      <c r="AO107" s="252"/>
      <c r="AR107" s="241" t="s">
        <v>61</v>
      </c>
      <c r="AS107" s="241" t="str">
        <f>IF(AR107="","",IF(ISNUMBER(SEARCH("جازان",AR107)),"مستشفى جازان العام",IF(ISNUMBER(SEARCH("صبيا",AR107)),"مستشفى صبيا العام",IF(ISNUMBER(SEARCH("عريش",AR107)),"مستشفى أبو عريش العام",IF(ISNUMBER(SEARCH("صامط",AR107)),"مستشفى صامطة العام",IF(ISNUMBER(SEARCH("بيش",AR107)),"مستشفى بيش العام",IF(ISNUMBER(SEARCH("فهد",AR107)),"مستشفى الملك فهد المركزي",AR107)))))))</f>
        <v>مستشفى أبو عريش العام</v>
      </c>
      <c r="AT107" s="241">
        <f>ROW()-1</f>
        <v>106</v>
      </c>
    </row>
    <row r="108" spans="1:50" ht="76.5">
      <c r="A108" s="167">
        <v>187</v>
      </c>
      <c r="B108" s="167">
        <v>46113.347789351901</v>
      </c>
      <c r="C108" s="167" t="s">
        <v>1469</v>
      </c>
      <c r="D108" s="4" t="s">
        <v>662</v>
      </c>
      <c r="E108" s="1"/>
      <c r="F108" s="1" t="s">
        <v>365</v>
      </c>
      <c r="G108" s="1" t="s">
        <v>1458</v>
      </c>
      <c r="H108" s="1" t="s">
        <v>1458</v>
      </c>
      <c r="I108" s="1" t="s">
        <v>1458</v>
      </c>
      <c r="J108" s="1" t="s">
        <v>1458</v>
      </c>
      <c r="K108" s="1" t="s">
        <v>1470</v>
      </c>
      <c r="L108" s="1" t="s">
        <v>1458</v>
      </c>
      <c r="M108" s="1" t="s">
        <v>1458</v>
      </c>
      <c r="N108" s="1" t="s">
        <v>1458</v>
      </c>
      <c r="O108" s="1" t="str">
        <f>_xlfn.CONCAT(OfficeForms.Table3[[#This Row],[القطاع الغربي (Western Sector)]:[القطاع فرسان (Farasan Sector)]])</f>
        <v>مركز الشاطىء (Al-Shati Center)</v>
      </c>
      <c r="P108" s="5">
        <v>46113</v>
      </c>
      <c r="Q108" s="5">
        <v>46055</v>
      </c>
      <c r="R108" s="6" t="s">
        <v>673</v>
      </c>
      <c r="S108" s="7" t="s">
        <v>1471</v>
      </c>
      <c r="T108" s="1">
        <v>38</v>
      </c>
      <c r="U108" s="8" t="s">
        <v>364</v>
      </c>
      <c r="V108" s="9" t="s">
        <v>1472</v>
      </c>
      <c r="W108" s="8" t="s">
        <v>1002</v>
      </c>
      <c r="X108" s="10" t="s">
        <v>668</v>
      </c>
      <c r="Y108" s="9" t="s">
        <v>1473</v>
      </c>
      <c r="Z108" s="11"/>
      <c r="AA108" s="11" t="s">
        <v>1474</v>
      </c>
      <c r="AB108" s="11"/>
      <c r="AC108" s="14" t="s">
        <v>1475</v>
      </c>
      <c r="AD108" s="4" t="s">
        <v>642</v>
      </c>
      <c r="AE108" s="4"/>
      <c r="AF108" s="167"/>
      <c r="AG108" s="12" t="s">
        <v>1476</v>
      </c>
      <c r="AH108" s="13" t="s">
        <v>1477</v>
      </c>
      <c r="AI108" s="239">
        <v>46117</v>
      </c>
      <c r="AJ108" s="242" t="s">
        <v>1478</v>
      </c>
      <c r="AK108" s="245" t="str">
        <f t="shared" si="1"/>
        <v>✅ ملتزم</v>
      </c>
      <c r="AL108" s="251"/>
      <c r="AM108" s="241" t="s">
        <v>1467</v>
      </c>
      <c r="AN108" s="252" t="s">
        <v>1479</v>
      </c>
      <c r="AO108" s="252"/>
      <c r="AR108" s="241" t="s">
        <v>57</v>
      </c>
      <c r="AS108" s="241" t="str">
        <f>IF(AR108="","",IF(ISNUMBER(SEARCH("جازان",AR108)),"مستشفى جازان العام",IF(ISNUMBER(SEARCH("صبيا",AR108)),"مستشفى صبيا العام",IF(ISNUMBER(SEARCH("عريش",AR108)),"مستشفى أبو عريش العام",IF(ISNUMBER(SEARCH("صامط",AR108)),"مستشفى صامطة العام",IF(ISNUMBER(SEARCH("بيش",AR108)),"مستشفى بيش العام",IF(ISNUMBER(SEARCH("فهد",AR108)),"مستشفى الملك فهد المركزي",AR108)))))))</f>
        <v>مستشفى صبيا العام</v>
      </c>
      <c r="AT108" s="241">
        <f>ROW()-1</f>
        <v>107</v>
      </c>
    </row>
    <row r="109" spans="1:50" ht="39">
      <c r="A109" s="167">
        <v>188</v>
      </c>
      <c r="B109" s="167">
        <v>46113.497465277796</v>
      </c>
      <c r="C109" s="167">
        <v>46113.501585648097</v>
      </c>
      <c r="D109" s="4" t="s">
        <v>662</v>
      </c>
      <c r="E109" s="1"/>
      <c r="F109" s="1" t="s">
        <v>367</v>
      </c>
      <c r="G109" s="1" t="s">
        <v>1480</v>
      </c>
      <c r="H109" s="1" t="s">
        <v>1458</v>
      </c>
      <c r="I109" s="1" t="s">
        <v>1458</v>
      </c>
      <c r="J109" s="1" t="s">
        <v>1458</v>
      </c>
      <c r="K109" s="1" t="s">
        <v>1458</v>
      </c>
      <c r="L109" s="1" t="s">
        <v>1458</v>
      </c>
      <c r="M109" s="1" t="s">
        <v>1458</v>
      </c>
      <c r="N109" s="1" t="s">
        <v>1458</v>
      </c>
      <c r="O109" s="1" t="str">
        <f>_xlfn.CONCAT(OfficeForms.Table3[[#This Row],[القطاع الغربي (Western Sector)]:[القطاع فرسان (Farasan Sector)]])</f>
        <v>مركز العريش (Al-Arees Center)</v>
      </c>
      <c r="P109" s="5">
        <v>46113</v>
      </c>
      <c r="Q109" s="5">
        <v>46058</v>
      </c>
      <c r="R109" s="6" t="s">
        <v>1481</v>
      </c>
      <c r="S109" s="15" t="s">
        <v>1482</v>
      </c>
      <c r="T109" s="1">
        <v>42</v>
      </c>
      <c r="U109" s="8" t="s">
        <v>366</v>
      </c>
      <c r="V109" s="9" t="s">
        <v>1483</v>
      </c>
      <c r="W109" s="8" t="s">
        <v>1484</v>
      </c>
      <c r="X109" s="10" t="s">
        <v>960</v>
      </c>
      <c r="Y109" s="9" t="s">
        <v>1485</v>
      </c>
      <c r="Z109" s="11" t="s">
        <v>1486</v>
      </c>
      <c r="AA109" s="11"/>
      <c r="AB109" s="11"/>
      <c r="AC109" s="11" t="s">
        <v>693</v>
      </c>
      <c r="AD109" s="4" t="s">
        <v>642</v>
      </c>
      <c r="AE109" s="4"/>
      <c r="AF109" s="167"/>
      <c r="AG109" s="12" t="s">
        <v>1487</v>
      </c>
      <c r="AH109" s="13"/>
      <c r="AI109" s="239">
        <v>46114</v>
      </c>
      <c r="AJ109" s="242" t="s">
        <v>1478</v>
      </c>
      <c r="AK109" s="245" t="str">
        <f t="shared" si="1"/>
        <v>✅ ملتزم</v>
      </c>
      <c r="AL109" s="251"/>
      <c r="AM109" s="241" t="s">
        <v>1467</v>
      </c>
      <c r="AN109" s="258" t="s">
        <v>1479</v>
      </c>
      <c r="AO109" s="252"/>
      <c r="AR109" s="241" t="s">
        <v>57</v>
      </c>
      <c r="AS109" s="241" t="str">
        <f>IF(AR109="","",IF(ISNUMBER(SEARCH("جازان",AR109)),"مستشفى جازان العام",IF(ISNUMBER(SEARCH("صبيا",AR109)),"مستشفى صبيا العام",IF(ISNUMBER(SEARCH("عريش",AR109)),"مستشفى أبو عريش العام",IF(ISNUMBER(SEARCH("صامط",AR109)),"مستشفى صامطة العام",IF(ISNUMBER(SEARCH("بيش",AR109)),"مستشفى بيش العام",IF(ISNUMBER(SEARCH("فهد",AR109)),"مستشفى الملك فهد المركزي",AR109)))))))</f>
        <v>مستشفى صبيا العام</v>
      </c>
      <c r="AT109" s="241">
        <f>ROW()-1</f>
        <v>108</v>
      </c>
    </row>
    <row r="110" spans="1:50" ht="39">
      <c r="A110" s="167">
        <v>191</v>
      </c>
      <c r="B110" s="167">
        <v>46113.5956365741</v>
      </c>
      <c r="C110" s="167">
        <v>46113.600729166697</v>
      </c>
      <c r="D110" s="4" t="s">
        <v>662</v>
      </c>
      <c r="E110" s="1"/>
      <c r="F110" s="1" t="s">
        <v>362</v>
      </c>
      <c r="G110" s="1" t="s">
        <v>1458</v>
      </c>
      <c r="H110" s="1" t="s">
        <v>1458</v>
      </c>
      <c r="I110" s="1" t="s">
        <v>1488</v>
      </c>
      <c r="J110" s="1" t="s">
        <v>1458</v>
      </c>
      <c r="K110" s="1" t="s">
        <v>1458</v>
      </c>
      <c r="L110" s="1" t="s">
        <v>1458</v>
      </c>
      <c r="M110" s="1" t="s">
        <v>1458</v>
      </c>
      <c r="N110" s="1" t="s">
        <v>1458</v>
      </c>
      <c r="O110" s="1" t="str">
        <f>_xlfn.CONCAT(OfficeForms.Table3[[#This Row],[القطاع الغربي (Western Sector)]:[القطاع فرسان (Farasan Sector)]])</f>
        <v>مركز الخبراية (Al-Khubrayah Center)</v>
      </c>
      <c r="P110" s="5">
        <v>46113</v>
      </c>
      <c r="Q110" s="5">
        <v>46071</v>
      </c>
      <c r="R110" s="6" t="s">
        <v>945</v>
      </c>
      <c r="S110" s="7" t="s">
        <v>1489</v>
      </c>
      <c r="T110" s="1">
        <v>26</v>
      </c>
      <c r="U110" s="8" t="s">
        <v>369</v>
      </c>
      <c r="V110" s="9" t="s">
        <v>1490</v>
      </c>
      <c r="W110" s="8" t="s">
        <v>1491</v>
      </c>
      <c r="X110" s="10" t="s">
        <v>1492</v>
      </c>
      <c r="Y110" s="9" t="s">
        <v>1493</v>
      </c>
      <c r="Z110" s="11" t="s">
        <v>1486</v>
      </c>
      <c r="AA110" s="11" t="s">
        <v>1494</v>
      </c>
      <c r="AB110" s="11"/>
      <c r="AC110" s="11"/>
      <c r="AD110" s="4" t="s">
        <v>680</v>
      </c>
      <c r="AE110" s="4" t="s">
        <v>680</v>
      </c>
      <c r="AF110" s="167"/>
      <c r="AG110" s="12" t="s">
        <v>1495</v>
      </c>
      <c r="AH110" s="13"/>
      <c r="AI110" s="239">
        <v>46117</v>
      </c>
      <c r="AJ110" s="242" t="s">
        <v>1478</v>
      </c>
      <c r="AK110" s="245" t="str">
        <f t="shared" si="1"/>
        <v>✅ ملتزم</v>
      </c>
      <c r="AL110" s="251"/>
      <c r="AM110" s="241" t="s">
        <v>65</v>
      </c>
      <c r="AN110" s="258" t="s">
        <v>1479</v>
      </c>
      <c r="AO110" s="252"/>
      <c r="AR110" s="241" t="s">
        <v>1496</v>
      </c>
      <c r="AS110" s="241" t="str">
        <f>IF(AR110="","",IF(ISNUMBER(SEARCH("جازان",AR110)),"مستشفى جازان العام",IF(ISNUMBER(SEARCH("صبيا",AR110)),"مستشفى صبيا العام",IF(ISNUMBER(SEARCH("عريش",AR110)),"مستشفى أبو عريش العام",IF(ISNUMBER(SEARCH("صامط",AR110)),"مستشفى صامطة العام",IF(ISNUMBER(SEARCH("بيش",AR110)),"مستشفى بيش العام",IF(ISNUMBER(SEARCH("فهد",AR110)),"مستشفى الملك فهد المركزي",AR110)))))))</f>
        <v>مستشفى الملك فهد المركزي</v>
      </c>
      <c r="AT110" s="241">
        <f>ROW()-1</f>
        <v>109</v>
      </c>
    </row>
    <row r="111" spans="1:50" ht="51">
      <c r="A111" s="167">
        <v>192</v>
      </c>
      <c r="B111" s="167">
        <v>46113.594027777799</v>
      </c>
      <c r="C111" s="167">
        <v>46113.639340277798</v>
      </c>
      <c r="D111" s="4" t="s">
        <v>662</v>
      </c>
      <c r="E111" s="1"/>
      <c r="F111" s="1" t="s">
        <v>375</v>
      </c>
      <c r="G111" s="1" t="s">
        <v>1458</v>
      </c>
      <c r="H111" s="1" t="s">
        <v>1458</v>
      </c>
      <c r="I111" s="1" t="s">
        <v>1458</v>
      </c>
      <c r="J111" s="1" t="s">
        <v>1458</v>
      </c>
      <c r="K111" s="1" t="s">
        <v>1458</v>
      </c>
      <c r="L111" s="1" t="s">
        <v>1497</v>
      </c>
      <c r="M111" s="1" t="s">
        <v>1458</v>
      </c>
      <c r="N111" s="1" t="s">
        <v>1458</v>
      </c>
      <c r="O111" s="1" t="str">
        <f>_xlfn.CONCAT(OfficeForms.Table3[[#This Row],[القطاع الغربي (Western Sector)]:[القطاع فرسان (Farasan Sector)]])</f>
        <v>مركز بلغازي (Balghazi Center)</v>
      </c>
      <c r="P111" s="5">
        <v>46113</v>
      </c>
      <c r="Q111" s="5">
        <v>45940</v>
      </c>
      <c r="R111" s="6" t="s">
        <v>881</v>
      </c>
      <c r="S111" s="7" t="s">
        <v>1498</v>
      </c>
      <c r="T111" s="1">
        <v>39</v>
      </c>
      <c r="U111" s="8" t="s">
        <v>374</v>
      </c>
      <c r="V111" s="9" t="s">
        <v>1499</v>
      </c>
      <c r="W111" s="8" t="s">
        <v>1500</v>
      </c>
      <c r="X111" s="10" t="s">
        <v>1501</v>
      </c>
      <c r="Y111" s="9" t="s">
        <v>1502</v>
      </c>
      <c r="Z111" s="11" t="s">
        <v>1465</v>
      </c>
      <c r="AA111" s="11"/>
      <c r="AB111" s="11"/>
      <c r="AC111" s="11"/>
      <c r="AD111" s="4" t="s">
        <v>642</v>
      </c>
      <c r="AE111" s="4"/>
      <c r="AF111" s="167"/>
      <c r="AG111" s="12" t="s">
        <v>1503</v>
      </c>
      <c r="AH111" s="13" t="s">
        <v>1504</v>
      </c>
      <c r="AI111" s="239">
        <v>46114</v>
      </c>
      <c r="AJ111" s="242" t="s">
        <v>1478</v>
      </c>
      <c r="AK111" s="245" t="str">
        <f t="shared" si="1"/>
        <v>✅ ملتزم</v>
      </c>
      <c r="AL111" s="251"/>
      <c r="AM111" s="241" t="s">
        <v>1467</v>
      </c>
      <c r="AN111" s="258" t="s">
        <v>1479</v>
      </c>
      <c r="AO111" s="252"/>
      <c r="AP111" s="241" t="s">
        <v>1505</v>
      </c>
      <c r="AQ111" s="241" t="s">
        <v>1506</v>
      </c>
      <c r="AR111" s="241" t="s">
        <v>1467</v>
      </c>
      <c r="AS111" s="241" t="str">
        <f>IF(AR111="","",IF(ISNUMBER(SEARCH("جازان",AR111)),"مستشفى جازان العام",IF(ISNUMBER(SEARCH("صبيا",AR111)),"مستشفى صبيا العام",IF(ISNUMBER(SEARCH("عريش",AR111)),"مستشفى أبو عريش العام",IF(ISNUMBER(SEARCH("صامط",AR111)),"مستشفى صامطة العام",IF(ISNUMBER(SEARCH("بيش",AR111)),"مستشفى بيش العام",IF(ISNUMBER(SEARCH("فهد",AR111)),"مستشفى الملك فهد المركزي",AR111)))))))</f>
        <v>مستشفى جازان العام</v>
      </c>
      <c r="AT111" s="241">
        <f>ROW()-1</f>
        <v>110</v>
      </c>
    </row>
    <row r="112" spans="1:50" ht="102">
      <c r="A112" s="167">
        <v>193</v>
      </c>
      <c r="B112" s="167">
        <v>46114.368692129603</v>
      </c>
      <c r="C112" s="167">
        <v>46114.377175925903</v>
      </c>
      <c r="D112" s="4" t="s">
        <v>662</v>
      </c>
      <c r="E112" s="1"/>
      <c r="F112" s="1" t="s">
        <v>367</v>
      </c>
      <c r="G112" s="1" t="s">
        <v>1480</v>
      </c>
      <c r="H112" s="1" t="s">
        <v>1458</v>
      </c>
      <c r="I112" s="1" t="s">
        <v>1458</v>
      </c>
      <c r="J112" s="1" t="s">
        <v>1458</v>
      </c>
      <c r="K112" s="1" t="s">
        <v>1458</v>
      </c>
      <c r="L112" s="1" t="s">
        <v>1458</v>
      </c>
      <c r="M112" s="1" t="s">
        <v>1458</v>
      </c>
      <c r="N112" s="1" t="s">
        <v>1458</v>
      </c>
      <c r="O112" s="1" t="str">
        <f>_xlfn.CONCAT(OfficeForms.Table3[[#This Row],[القطاع الغربي (Western Sector)]:[القطاع فرسان (Farasan Sector)]])</f>
        <v>مركز العريش (Al-Arees Center)</v>
      </c>
      <c r="P112" s="5">
        <v>46114</v>
      </c>
      <c r="Q112" s="5">
        <v>45853</v>
      </c>
      <c r="R112" s="6" t="s">
        <v>1507</v>
      </c>
      <c r="S112" s="15" t="s">
        <v>1508</v>
      </c>
      <c r="T112" s="1">
        <v>40</v>
      </c>
      <c r="U112" s="8" t="s">
        <v>376</v>
      </c>
      <c r="V112" s="9" t="s">
        <v>1509</v>
      </c>
      <c r="W112" s="8" t="s">
        <v>1484</v>
      </c>
      <c r="X112" s="10" t="s">
        <v>960</v>
      </c>
      <c r="Y112" s="9">
        <v>535319753</v>
      </c>
      <c r="Z112" s="11"/>
      <c r="AA112" s="11" t="s">
        <v>1510</v>
      </c>
      <c r="AB112" s="11"/>
      <c r="AC112" s="11" t="s">
        <v>1511</v>
      </c>
      <c r="AD112" s="4" t="s">
        <v>642</v>
      </c>
      <c r="AE112" s="4"/>
      <c r="AF112" s="167"/>
      <c r="AG112" s="12" t="s">
        <v>1487</v>
      </c>
      <c r="AH112" s="13"/>
      <c r="AI112" s="239"/>
      <c r="AJ112" s="242" t="s">
        <v>1512</v>
      </c>
      <c r="AK112" s="245" t="str">
        <f t="shared" si="1"/>
        <v>⏳ بانتظار</v>
      </c>
      <c r="AL112" s="251"/>
      <c r="AM112" s="241" t="s">
        <v>65</v>
      </c>
      <c r="AN112" s="258" t="s">
        <v>1479</v>
      </c>
      <c r="AO112" s="252"/>
      <c r="AR112" s="241" t="s">
        <v>61</v>
      </c>
      <c r="AS112" s="241" t="str">
        <f>IF(AR112="","",IF(ISNUMBER(SEARCH("جازان",AR112)),"مستشفى جازان العام",IF(ISNUMBER(SEARCH("صبيا",AR112)),"مستشفى صبيا العام",IF(ISNUMBER(SEARCH("عريش",AR112)),"مستشفى أبو عريش العام",IF(ISNUMBER(SEARCH("صامط",AR112)),"مستشفى صامطة العام",IF(ISNUMBER(SEARCH("بيش",AR112)),"مستشفى بيش العام",IF(ISNUMBER(SEARCH("فهد",AR112)),"مستشفى الملك فهد المركزي",AR112)))))))</f>
        <v>مستشفى أبو عريش العام</v>
      </c>
      <c r="AT112" s="241">
        <f>ROW()-1</f>
        <v>111</v>
      </c>
    </row>
    <row r="113" spans="1:46" ht="140.25">
      <c r="A113" s="167">
        <v>194</v>
      </c>
      <c r="B113" s="167">
        <v>46114.3842939815</v>
      </c>
      <c r="C113" s="167">
        <v>46114.388414351903</v>
      </c>
      <c r="D113" s="4" t="s">
        <v>662</v>
      </c>
      <c r="E113" s="1"/>
      <c r="F113" s="1" t="s">
        <v>362</v>
      </c>
      <c r="G113" s="1" t="s">
        <v>1458</v>
      </c>
      <c r="H113" s="1" t="s">
        <v>1458</v>
      </c>
      <c r="I113" s="1" t="s">
        <v>1513</v>
      </c>
      <c r="J113" s="1" t="s">
        <v>1458</v>
      </c>
      <c r="K113" s="1" t="s">
        <v>1458</v>
      </c>
      <c r="L113" s="1" t="s">
        <v>1458</v>
      </c>
      <c r="M113" s="1" t="s">
        <v>1458</v>
      </c>
      <c r="N113" s="1" t="s">
        <v>1458</v>
      </c>
      <c r="O113" s="1" t="str">
        <f>_xlfn.CONCAT(OfficeForms.Table3[[#This Row],[القطاع الغربي (Western Sector)]:[القطاع فرسان (Farasan Sector)]])</f>
        <v>مركز الخضراء (Al-Khadra Center)</v>
      </c>
      <c r="P113" s="5">
        <v>46114</v>
      </c>
      <c r="Q113" s="5">
        <v>45918</v>
      </c>
      <c r="R113" s="6" t="s">
        <v>896</v>
      </c>
      <c r="S113" s="15" t="s">
        <v>1514</v>
      </c>
      <c r="T113" s="1">
        <v>39</v>
      </c>
      <c r="U113" s="8" t="s">
        <v>378</v>
      </c>
      <c r="V113" s="9" t="s">
        <v>1515</v>
      </c>
      <c r="W113" s="8" t="s">
        <v>1276</v>
      </c>
      <c r="X113" s="13">
        <v>582889202</v>
      </c>
      <c r="Y113" s="9" t="s">
        <v>1516</v>
      </c>
      <c r="Z113" s="11"/>
      <c r="AA113" s="11" t="s">
        <v>1517</v>
      </c>
      <c r="AB113" s="11"/>
      <c r="AC113" s="11"/>
      <c r="AD113" s="4" t="s">
        <v>642</v>
      </c>
      <c r="AE113" s="4"/>
      <c r="AF113" s="167"/>
      <c r="AG113" s="12" t="s">
        <v>1072</v>
      </c>
      <c r="AH113" s="13" t="s">
        <v>1518</v>
      </c>
      <c r="AI113" s="239"/>
      <c r="AJ113" s="242" t="s">
        <v>1512</v>
      </c>
      <c r="AK113" s="245" t="str">
        <f t="shared" si="1"/>
        <v>⏳ بانتظار</v>
      </c>
      <c r="AL113" s="251"/>
      <c r="AM113" s="241" t="s">
        <v>1467</v>
      </c>
      <c r="AN113" s="258" t="s">
        <v>1479</v>
      </c>
      <c r="AO113" s="252"/>
      <c r="AR113" s="241" t="s">
        <v>57</v>
      </c>
      <c r="AS113" s="241" t="str">
        <f>IF(AR113="","",IF(ISNUMBER(SEARCH("جازان",AR113)),"مستشفى جازان العام",IF(ISNUMBER(SEARCH("صبيا",AR113)),"مستشفى صبيا العام",IF(ISNUMBER(SEARCH("عريش",AR113)),"مستشفى أبو عريش العام",IF(ISNUMBER(SEARCH("صامط",AR113)),"مستشفى صامطة العام",IF(ISNUMBER(SEARCH("بيش",AR113)),"مستشفى بيش العام",IF(ISNUMBER(SEARCH("فهد",AR113)),"مستشفى الملك فهد المركزي",AR113)))))))</f>
        <v>مستشفى صبيا العام</v>
      </c>
      <c r="AT113" s="241">
        <f>ROW()-1</f>
        <v>112</v>
      </c>
    </row>
    <row r="114" spans="1:46" ht="76.5">
      <c r="A114" s="167">
        <v>195</v>
      </c>
      <c r="B114" s="167">
        <v>46114.409143518496</v>
      </c>
      <c r="C114" s="167">
        <v>46114.412222222199</v>
      </c>
      <c r="D114" s="4" t="s">
        <v>662</v>
      </c>
      <c r="E114" s="1"/>
      <c r="F114" s="1" t="s">
        <v>365</v>
      </c>
      <c r="G114" s="1" t="s">
        <v>1458</v>
      </c>
      <c r="H114" s="1" t="s">
        <v>1458</v>
      </c>
      <c r="I114" s="1" t="s">
        <v>1458</v>
      </c>
      <c r="J114" s="1" t="s">
        <v>1458</v>
      </c>
      <c r="K114" s="1" t="s">
        <v>1519</v>
      </c>
      <c r="L114" s="1" t="s">
        <v>1458</v>
      </c>
      <c r="M114" s="1" t="s">
        <v>1458</v>
      </c>
      <c r="N114" s="1" t="s">
        <v>1458</v>
      </c>
      <c r="O114" s="1" t="str">
        <f>_xlfn.CONCAT(OfficeForms.Table3[[#This Row],[القطاع الغربي (Western Sector)]:[القطاع فرسان (Farasan Sector)]])</f>
        <v>الكربوس (Al-Karbous Center)</v>
      </c>
      <c r="P114" s="5">
        <v>46114</v>
      </c>
      <c r="Q114" s="5">
        <v>46077</v>
      </c>
      <c r="R114" s="6" t="s">
        <v>1520</v>
      </c>
      <c r="S114" s="15" t="s">
        <v>1521</v>
      </c>
      <c r="T114" s="1">
        <v>33</v>
      </c>
      <c r="U114" s="8" t="s">
        <v>379</v>
      </c>
      <c r="V114" s="9" t="s">
        <v>1522</v>
      </c>
      <c r="W114" s="8" t="s">
        <v>696</v>
      </c>
      <c r="X114" s="10" t="s">
        <v>702</v>
      </c>
      <c r="Y114" s="9" t="s">
        <v>1523</v>
      </c>
      <c r="Z114" s="11"/>
      <c r="AA114" s="11" t="s">
        <v>1474</v>
      </c>
      <c r="AB114" s="11"/>
      <c r="AC114" s="11"/>
      <c r="AD114" s="4" t="s">
        <v>642</v>
      </c>
      <c r="AE114" s="4"/>
      <c r="AF114" s="167"/>
      <c r="AG114" s="12" t="s">
        <v>705</v>
      </c>
      <c r="AH114" s="13"/>
      <c r="AI114" s="239">
        <v>46128</v>
      </c>
      <c r="AJ114" s="242" t="s">
        <v>1478</v>
      </c>
      <c r="AK114" s="245" t="str">
        <f t="shared" si="1"/>
        <v>❌ غير ملتزم</v>
      </c>
      <c r="AL114" s="251"/>
      <c r="AM114" s="241" t="s">
        <v>1467</v>
      </c>
      <c r="AN114" s="258" t="s">
        <v>1479</v>
      </c>
      <c r="AO114" s="252"/>
      <c r="AR114" s="241" t="s">
        <v>57</v>
      </c>
      <c r="AS114" s="241" t="str">
        <f>IF(AR114="","",IF(ISNUMBER(SEARCH("جازان",AR114)),"مستشفى جازان العام",IF(ISNUMBER(SEARCH("صبيا",AR114)),"مستشفى صبيا العام",IF(ISNUMBER(SEARCH("عريش",AR114)),"مستشفى أبو عريش العام",IF(ISNUMBER(SEARCH("صامط",AR114)),"مستشفى صامطة العام",IF(ISNUMBER(SEARCH("بيش",AR114)),"مستشفى بيش العام",IF(ISNUMBER(SEARCH("فهد",AR114)),"مستشفى الملك فهد المركزي",AR114)))))))</f>
        <v>مستشفى صبيا العام</v>
      </c>
      <c r="AT114" s="241">
        <f>ROW()-1</f>
        <v>113</v>
      </c>
    </row>
    <row r="115" spans="1:46" ht="39">
      <c r="A115" s="167">
        <v>196</v>
      </c>
      <c r="B115" s="167">
        <v>46114.434398148202</v>
      </c>
      <c r="C115" s="167">
        <v>46114.439016203702</v>
      </c>
      <c r="D115" s="4" t="s">
        <v>662</v>
      </c>
      <c r="E115" s="1"/>
      <c r="F115" s="1" t="s">
        <v>362</v>
      </c>
      <c r="G115" s="1" t="s">
        <v>1458</v>
      </c>
      <c r="H115" s="1" t="s">
        <v>1458</v>
      </c>
      <c r="I115" s="1" t="s">
        <v>1459</v>
      </c>
      <c r="J115" s="1" t="s">
        <v>1458</v>
      </c>
      <c r="K115" s="1" t="s">
        <v>1458</v>
      </c>
      <c r="L115" s="1" t="s">
        <v>1458</v>
      </c>
      <c r="M115" s="1" t="s">
        <v>1458</v>
      </c>
      <c r="N115" s="1" t="s">
        <v>1458</v>
      </c>
      <c r="O115" s="1" t="str">
        <f>_xlfn.CONCAT(OfficeForms.Table3[[#This Row],[القطاع الغربي (Western Sector)]:[القطاع فرسان (Farasan Sector)]])</f>
        <v>مركز الخشابية (Al-Khashabiyah Center)</v>
      </c>
      <c r="P115" s="5">
        <v>46114</v>
      </c>
      <c r="Q115" s="5">
        <v>45906</v>
      </c>
      <c r="R115" s="6" t="s">
        <v>1524</v>
      </c>
      <c r="S115" s="15" t="s">
        <v>1525</v>
      </c>
      <c r="T115" s="1">
        <v>34</v>
      </c>
      <c r="U115" s="8" t="s">
        <v>380</v>
      </c>
      <c r="V115" s="9" t="s">
        <v>1526</v>
      </c>
      <c r="W115" s="8" t="s">
        <v>1011</v>
      </c>
      <c r="X115" s="10" t="s">
        <v>1463</v>
      </c>
      <c r="Y115" s="9" t="s">
        <v>1527</v>
      </c>
      <c r="Z115" s="11" t="s">
        <v>1528</v>
      </c>
      <c r="AA115" s="11"/>
      <c r="AB115" s="11"/>
      <c r="AC115" s="11" t="s">
        <v>904</v>
      </c>
      <c r="AD115" s="4" t="s">
        <v>642</v>
      </c>
      <c r="AE115" s="4"/>
      <c r="AF115" s="167"/>
      <c r="AG115" s="12" t="s">
        <v>1466</v>
      </c>
      <c r="AH115" s="13" t="s">
        <v>693</v>
      </c>
      <c r="AI115" s="239">
        <v>46118</v>
      </c>
      <c r="AJ115" s="242" t="s">
        <v>1478</v>
      </c>
      <c r="AK115" s="245" t="str">
        <f t="shared" si="1"/>
        <v>✅ ملتزم</v>
      </c>
      <c r="AL115" s="251"/>
      <c r="AM115" s="241" t="s">
        <v>1467</v>
      </c>
      <c r="AN115" s="258" t="s">
        <v>1479</v>
      </c>
      <c r="AO115" s="252"/>
      <c r="AR115" s="241" t="s">
        <v>1467</v>
      </c>
      <c r="AS115" s="241" t="str">
        <f>IF(AR115="","",IF(ISNUMBER(SEARCH("جازان",AR115)),"مستشفى جازان العام",IF(ISNUMBER(SEARCH("صبيا",AR115)),"مستشفى صبيا العام",IF(ISNUMBER(SEARCH("عريش",AR115)),"مستشفى أبو عريش العام",IF(ISNUMBER(SEARCH("صامط",AR115)),"مستشفى صامطة العام",IF(ISNUMBER(SEARCH("بيش",AR115)),"مستشفى بيش العام",IF(ISNUMBER(SEARCH("فهد",AR115)),"مستشفى الملك فهد المركزي",AR115)))))))</f>
        <v>مستشفى جازان العام</v>
      </c>
      <c r="AT115" s="241">
        <f>ROW()-1</f>
        <v>114</v>
      </c>
    </row>
    <row r="116" spans="1:46" ht="102">
      <c r="A116" s="167">
        <v>197</v>
      </c>
      <c r="B116" s="167">
        <v>46114.443761574097</v>
      </c>
      <c r="C116" s="167">
        <v>46114.449259259301</v>
      </c>
      <c r="D116" s="4" t="s">
        <v>662</v>
      </c>
      <c r="E116" s="1"/>
      <c r="F116" s="1" t="s">
        <v>375</v>
      </c>
      <c r="G116" s="1" t="s">
        <v>1458</v>
      </c>
      <c r="H116" s="1" t="s">
        <v>1458</v>
      </c>
      <c r="I116" s="1" t="s">
        <v>1458</v>
      </c>
      <c r="J116" s="1" t="s">
        <v>1458</v>
      </c>
      <c r="K116" s="1" t="s">
        <v>1458</v>
      </c>
      <c r="L116" s="1" t="s">
        <v>1529</v>
      </c>
      <c r="M116" s="1" t="s">
        <v>1458</v>
      </c>
      <c r="N116" s="1" t="s">
        <v>1458</v>
      </c>
      <c r="O116" s="1" t="str">
        <f>_xlfn.CONCAT(OfficeForms.Table3[[#This Row],[القطاع الغربي (Western Sector)]:[القطاع فرسان (Farasan Sector)]])</f>
        <v>مركز العيدابي (Al-Eidabi Center)</v>
      </c>
      <c r="P116" s="5">
        <v>46114</v>
      </c>
      <c r="Q116" s="5">
        <v>46061</v>
      </c>
      <c r="R116" s="6" t="s">
        <v>673</v>
      </c>
      <c r="S116" s="15" t="s">
        <v>1530</v>
      </c>
      <c r="T116" s="1">
        <v>47</v>
      </c>
      <c r="U116" s="8" t="s">
        <v>381</v>
      </c>
      <c r="V116" s="9" t="s">
        <v>1531</v>
      </c>
      <c r="W116" s="8" t="s">
        <v>817</v>
      </c>
      <c r="X116" s="10" t="s">
        <v>1532</v>
      </c>
      <c r="Y116" s="9" t="s">
        <v>1533</v>
      </c>
      <c r="Z116" s="11" t="s">
        <v>1534</v>
      </c>
      <c r="AA116" s="11" t="s">
        <v>1510</v>
      </c>
      <c r="AB116" s="11"/>
      <c r="AC116" s="11" t="s">
        <v>1535</v>
      </c>
      <c r="AD116" s="4" t="s">
        <v>642</v>
      </c>
      <c r="AE116" s="4"/>
      <c r="AF116" s="167"/>
      <c r="AG116" s="12" t="s">
        <v>1536</v>
      </c>
      <c r="AH116" s="13"/>
      <c r="AI116" s="239">
        <v>46121</v>
      </c>
      <c r="AJ116" s="242" t="s">
        <v>1478</v>
      </c>
      <c r="AK116" s="245" t="str">
        <f t="shared" si="1"/>
        <v>❌ غير ملتزم</v>
      </c>
      <c r="AL116" s="251"/>
      <c r="AM116" s="241" t="s">
        <v>1467</v>
      </c>
      <c r="AN116" s="258" t="s">
        <v>1479</v>
      </c>
      <c r="AO116" s="252"/>
      <c r="AR116" s="241" t="s">
        <v>57</v>
      </c>
      <c r="AS116" s="241" t="str">
        <f>IF(AR116="","",IF(ISNUMBER(SEARCH("جازان",AR116)),"مستشفى جازان العام",IF(ISNUMBER(SEARCH("صبيا",AR116)),"مستشفى صبيا العام",IF(ISNUMBER(SEARCH("عريش",AR116)),"مستشفى أبو عريش العام",IF(ISNUMBER(SEARCH("صامط",AR116)),"مستشفى صامطة العام",IF(ISNUMBER(SEARCH("بيش",AR116)),"مستشفى بيش العام",IF(ISNUMBER(SEARCH("فهد",AR116)),"مستشفى الملك فهد المركزي",AR116)))))))</f>
        <v>مستشفى صبيا العام</v>
      </c>
      <c r="AT116" s="241">
        <f>ROW()-1</f>
        <v>115</v>
      </c>
    </row>
    <row r="117" spans="1:46" ht="102">
      <c r="A117" s="167">
        <v>198</v>
      </c>
      <c r="B117" s="167">
        <v>46114.4395717593</v>
      </c>
      <c r="C117" s="167">
        <v>46114.477349537003</v>
      </c>
      <c r="D117" s="4" t="s">
        <v>662</v>
      </c>
      <c r="E117" s="1"/>
      <c r="F117" s="1" t="s">
        <v>375</v>
      </c>
      <c r="G117" s="1" t="s">
        <v>1458</v>
      </c>
      <c r="H117" s="1" t="s">
        <v>1458</v>
      </c>
      <c r="I117" s="1" t="s">
        <v>1458</v>
      </c>
      <c r="J117" s="1" t="s">
        <v>1458</v>
      </c>
      <c r="K117" s="1" t="s">
        <v>1458</v>
      </c>
      <c r="L117" s="1" t="s">
        <v>1497</v>
      </c>
      <c r="M117" s="1" t="s">
        <v>1458</v>
      </c>
      <c r="N117" s="1" t="s">
        <v>1458</v>
      </c>
      <c r="O117" s="1" t="str">
        <f>_xlfn.CONCAT(OfficeForms.Table3[[#This Row],[القطاع الغربي (Western Sector)]:[القطاع فرسان (Farasan Sector)]])</f>
        <v>مركز بلغازي (Balghazi Center)</v>
      </c>
      <c r="P117" s="5">
        <v>46114</v>
      </c>
      <c r="Q117" s="5">
        <v>45878</v>
      </c>
      <c r="R117" s="6" t="s">
        <v>1191</v>
      </c>
      <c r="S117" s="15" t="s">
        <v>1537</v>
      </c>
      <c r="T117" s="1">
        <v>39</v>
      </c>
      <c r="U117" s="8" t="s">
        <v>382</v>
      </c>
      <c r="V117" s="9" t="s">
        <v>1538</v>
      </c>
      <c r="W117" s="8" t="s">
        <v>1089</v>
      </c>
      <c r="X117" s="10" t="s">
        <v>1539</v>
      </c>
      <c r="Y117" s="16">
        <v>558710894</v>
      </c>
      <c r="Z117" s="11" t="s">
        <v>1486</v>
      </c>
      <c r="AA117" s="11" t="s">
        <v>1540</v>
      </c>
      <c r="AB117" s="11"/>
      <c r="AC117" s="11" t="s">
        <v>693</v>
      </c>
      <c r="AD117" s="4" t="s">
        <v>642</v>
      </c>
      <c r="AE117" s="4"/>
      <c r="AF117" s="167"/>
      <c r="AG117" s="12" t="s">
        <v>1541</v>
      </c>
      <c r="AH117" s="13" t="s">
        <v>693</v>
      </c>
      <c r="AI117" s="239">
        <v>46121</v>
      </c>
      <c r="AJ117" s="242" t="s">
        <v>1478</v>
      </c>
      <c r="AK117" s="245" t="str">
        <f t="shared" si="1"/>
        <v>❌ غير ملتزم</v>
      </c>
      <c r="AL117" s="251"/>
      <c r="AM117" s="241" t="s">
        <v>65</v>
      </c>
      <c r="AN117" s="258" t="s">
        <v>1479</v>
      </c>
      <c r="AO117" s="252"/>
      <c r="AR117" s="241" t="s">
        <v>1467</v>
      </c>
      <c r="AS117" s="241" t="str">
        <f>IF(AR117="","",IF(ISNUMBER(SEARCH("جازان",AR117)),"مستشفى جازان العام",IF(ISNUMBER(SEARCH("صبيا",AR117)),"مستشفى صبيا العام",IF(ISNUMBER(SEARCH("عريش",AR117)),"مستشفى أبو عريش العام",IF(ISNUMBER(SEARCH("صامط",AR117)),"مستشفى صامطة العام",IF(ISNUMBER(SEARCH("بيش",AR117)),"مستشفى بيش العام",IF(ISNUMBER(SEARCH("فهد",AR117)),"مستشفى الملك فهد المركزي",AR117)))))))</f>
        <v>مستشفى جازان العام</v>
      </c>
      <c r="AT117" s="241">
        <f>ROW()-1</f>
        <v>116</v>
      </c>
    </row>
    <row r="118" spans="1:46" ht="39">
      <c r="A118" s="167">
        <v>199</v>
      </c>
      <c r="B118" s="167">
        <v>46117.355717592603</v>
      </c>
      <c r="C118" s="167">
        <v>46117.358414351896</v>
      </c>
      <c r="D118" s="4" t="s">
        <v>662</v>
      </c>
      <c r="E118" s="1"/>
      <c r="F118" s="1" t="s">
        <v>365</v>
      </c>
      <c r="G118" s="1" t="s">
        <v>1458</v>
      </c>
      <c r="H118" s="1" t="s">
        <v>1458</v>
      </c>
      <c r="I118" s="1" t="s">
        <v>1458</v>
      </c>
      <c r="J118" s="1" t="s">
        <v>1458</v>
      </c>
      <c r="K118" s="1" t="s">
        <v>1542</v>
      </c>
      <c r="L118" s="1" t="s">
        <v>1458</v>
      </c>
      <c r="M118" s="1" t="s">
        <v>1458</v>
      </c>
      <c r="N118" s="1" t="s">
        <v>1458</v>
      </c>
      <c r="O118" s="1" t="str">
        <f>_xlfn.CONCAT(OfficeForms.Table3[[#This Row],[القطاع الغربي (Western Sector)]:[القطاع فرسان (Farasan Sector)]])</f>
        <v>مركز المضايا (Al-Madayah Center)</v>
      </c>
      <c r="P118" s="5">
        <v>46117</v>
      </c>
      <c r="Q118" s="5">
        <v>45946</v>
      </c>
      <c r="R118" s="6" t="s">
        <v>881</v>
      </c>
      <c r="S118" s="15" t="s">
        <v>1543</v>
      </c>
      <c r="T118" s="1">
        <v>29</v>
      </c>
      <c r="U118" s="8" t="s">
        <v>383</v>
      </c>
      <c r="V118" s="9" t="s">
        <v>1544</v>
      </c>
      <c r="W118" s="8" t="s">
        <v>658</v>
      </c>
      <c r="X118" s="10" t="s">
        <v>1545</v>
      </c>
      <c r="Y118" s="9" t="s">
        <v>1546</v>
      </c>
      <c r="Z118" s="11" t="s">
        <v>1486</v>
      </c>
      <c r="AA118" s="11"/>
      <c r="AB118" s="11"/>
      <c r="AC118" s="11" t="s">
        <v>693</v>
      </c>
      <c r="AD118" s="4" t="s">
        <v>642</v>
      </c>
      <c r="AE118" s="4"/>
      <c r="AF118" s="167"/>
      <c r="AG118" s="12" t="s">
        <v>1547</v>
      </c>
      <c r="AH118" s="13" t="s">
        <v>962</v>
      </c>
      <c r="AI118" s="239">
        <v>46121</v>
      </c>
      <c r="AJ118" s="242" t="s">
        <v>1548</v>
      </c>
      <c r="AK118" s="245" t="str">
        <f t="shared" si="1"/>
        <v>❌ غير ملتزم</v>
      </c>
      <c r="AL118" s="251"/>
      <c r="AM118" s="241" t="s">
        <v>1467</v>
      </c>
      <c r="AN118" s="258" t="s">
        <v>1549</v>
      </c>
      <c r="AO118" s="252"/>
      <c r="AR118" s="241" t="s">
        <v>1467</v>
      </c>
      <c r="AS118" s="241" t="str">
        <f>IF(AR118="","",IF(ISNUMBER(SEARCH("جازان",AR118)),"مستشفى جازان العام",IF(ISNUMBER(SEARCH("صبيا",AR118)),"مستشفى صبيا العام",IF(ISNUMBER(SEARCH("عريش",AR118)),"مستشفى أبو عريش العام",IF(ISNUMBER(SEARCH("صامط",AR118)),"مستشفى صامطة العام",IF(ISNUMBER(SEARCH("بيش",AR118)),"مستشفى بيش العام",IF(ISNUMBER(SEARCH("فهد",AR118)),"مستشفى الملك فهد المركزي",AR118)))))))</f>
        <v>مستشفى جازان العام</v>
      </c>
      <c r="AT118" s="241">
        <f>ROW()-1</f>
        <v>117</v>
      </c>
    </row>
    <row r="119" spans="1:46" ht="39">
      <c r="A119" s="167">
        <v>200</v>
      </c>
      <c r="B119" s="167">
        <v>46117.403148148202</v>
      </c>
      <c r="C119" s="167">
        <v>46117.408738425896</v>
      </c>
      <c r="D119" s="4" t="s">
        <v>662</v>
      </c>
      <c r="E119" s="1"/>
      <c r="F119" s="1" t="s">
        <v>367</v>
      </c>
      <c r="G119" s="1" t="s">
        <v>1550</v>
      </c>
      <c r="H119" s="1" t="s">
        <v>1458</v>
      </c>
      <c r="I119" s="1" t="s">
        <v>1458</v>
      </c>
      <c r="J119" s="1" t="s">
        <v>1458</v>
      </c>
      <c r="K119" s="1" t="s">
        <v>1458</v>
      </c>
      <c r="L119" s="1" t="s">
        <v>1458</v>
      </c>
      <c r="M119" s="1" t="s">
        <v>1458</v>
      </c>
      <c r="N119" s="1" t="s">
        <v>1458</v>
      </c>
      <c r="O119" s="1" t="str">
        <f>_xlfn.CONCAT(OfficeForms.Table3[[#This Row],[القطاع الغربي (Western Sector)]:[القطاع فرسان (Farasan Sector)]])</f>
        <v>مركز الجهو (Al-Jahu Center)</v>
      </c>
      <c r="P119" s="5">
        <v>46117</v>
      </c>
      <c r="Q119" s="5">
        <v>46065</v>
      </c>
      <c r="R119" s="6" t="s">
        <v>1551</v>
      </c>
      <c r="S119" s="15" t="s">
        <v>1552</v>
      </c>
      <c r="T119" s="1">
        <v>26</v>
      </c>
      <c r="U119" s="8" t="s">
        <v>384</v>
      </c>
      <c r="V119" s="9" t="s">
        <v>1553</v>
      </c>
      <c r="W119" s="8" t="s">
        <v>1554</v>
      </c>
      <c r="X119" s="10" t="s">
        <v>1555</v>
      </c>
      <c r="Y119" s="9" t="s">
        <v>1556</v>
      </c>
      <c r="Z119" s="11" t="s">
        <v>1486</v>
      </c>
      <c r="AA119" s="11"/>
      <c r="AB119" s="11"/>
      <c r="AC119" s="11"/>
      <c r="AD119" s="4" t="s">
        <v>642</v>
      </c>
      <c r="AE119" s="4"/>
      <c r="AF119" s="167"/>
      <c r="AG119" s="12" t="s">
        <v>1557</v>
      </c>
      <c r="AH119" s="13" t="s">
        <v>693</v>
      </c>
      <c r="AI119" s="239">
        <v>46128</v>
      </c>
      <c r="AJ119" s="242" t="s">
        <v>1512</v>
      </c>
      <c r="AK119" s="245" t="str">
        <f t="shared" si="1"/>
        <v>❌ غير ملتزم</v>
      </c>
      <c r="AL119" s="251"/>
      <c r="AM119" s="241" t="s">
        <v>1467</v>
      </c>
      <c r="AN119" s="258"/>
      <c r="AO119" s="252"/>
      <c r="AR119" s="241" t="s">
        <v>1467</v>
      </c>
      <c r="AS119" s="241" t="str">
        <f>IF(AR119="","",IF(ISNUMBER(SEARCH("جازان",AR119)),"مستشفى جازان العام",IF(ISNUMBER(SEARCH("صبيا",AR119)),"مستشفى صبيا العام",IF(ISNUMBER(SEARCH("عريش",AR119)),"مستشفى أبو عريش العام",IF(ISNUMBER(SEARCH("صامط",AR119)),"مستشفى صامطة العام",IF(ISNUMBER(SEARCH("بيش",AR119)),"مستشفى بيش العام",IF(ISNUMBER(SEARCH("فهد",AR119)),"مستشفى الملك فهد المركزي",AR119)))))))</f>
        <v>مستشفى جازان العام</v>
      </c>
      <c r="AT119" s="241">
        <f>ROW()-1</f>
        <v>118</v>
      </c>
    </row>
    <row r="120" spans="1:46" ht="51">
      <c r="A120" s="167">
        <v>201</v>
      </c>
      <c r="B120" s="167">
        <v>46117.408842592602</v>
      </c>
      <c r="C120" s="167">
        <v>46117.413935185199</v>
      </c>
      <c r="D120" s="4" t="s">
        <v>662</v>
      </c>
      <c r="E120" s="1"/>
      <c r="F120" s="1" t="s">
        <v>365</v>
      </c>
      <c r="G120" s="1" t="s">
        <v>1458</v>
      </c>
      <c r="H120" s="1" t="s">
        <v>1458</v>
      </c>
      <c r="I120" s="1" t="s">
        <v>1458</v>
      </c>
      <c r="J120" s="1" t="s">
        <v>1458</v>
      </c>
      <c r="K120" s="1" t="s">
        <v>1542</v>
      </c>
      <c r="L120" s="1" t="s">
        <v>1458</v>
      </c>
      <c r="M120" s="1" t="s">
        <v>1458</v>
      </c>
      <c r="N120" s="1" t="s">
        <v>1458</v>
      </c>
      <c r="O120" s="1" t="str">
        <f>_xlfn.CONCAT(OfficeForms.Table3[[#This Row],[القطاع الغربي (Western Sector)]:[القطاع فرسان (Farasan Sector)]])</f>
        <v>مركز المضايا (Al-Madayah Center)</v>
      </c>
      <c r="P120" s="5">
        <v>46117</v>
      </c>
      <c r="Q120" s="5">
        <v>46037</v>
      </c>
      <c r="R120" s="6" t="s">
        <v>1558</v>
      </c>
      <c r="S120" s="15" t="s">
        <v>1559</v>
      </c>
      <c r="T120" s="1">
        <v>43</v>
      </c>
      <c r="U120" s="8" t="s">
        <v>385</v>
      </c>
      <c r="V120" s="9" t="s">
        <v>1560</v>
      </c>
      <c r="W120" s="8" t="s">
        <v>1561</v>
      </c>
      <c r="X120" s="10" t="s">
        <v>1562</v>
      </c>
      <c r="Y120" s="9" t="s">
        <v>1563</v>
      </c>
      <c r="Z120" s="11" t="s">
        <v>1528</v>
      </c>
      <c r="AA120" s="11" t="s">
        <v>1564</v>
      </c>
      <c r="AB120" s="11"/>
      <c r="AC120" s="11" t="s">
        <v>693</v>
      </c>
      <c r="AD120" s="4" t="s">
        <v>680</v>
      </c>
      <c r="AE120" s="4" t="s">
        <v>680</v>
      </c>
      <c r="AF120" s="167"/>
      <c r="AG120" s="12" t="s">
        <v>1547</v>
      </c>
      <c r="AH120" s="13"/>
      <c r="AI120" s="239">
        <v>46121</v>
      </c>
      <c r="AJ120" s="242" t="s">
        <v>1478</v>
      </c>
      <c r="AK120" s="245" t="str">
        <f t="shared" si="1"/>
        <v>❌ غير ملتزم</v>
      </c>
      <c r="AL120" s="251"/>
      <c r="AM120" s="241" t="s">
        <v>1467</v>
      </c>
      <c r="AN120" s="258" t="s">
        <v>1479</v>
      </c>
      <c r="AO120" s="252"/>
      <c r="AR120" s="241" t="s">
        <v>1467</v>
      </c>
      <c r="AS120" s="241" t="str">
        <f>IF(AR120="","",IF(ISNUMBER(SEARCH("جازان",AR120)),"مستشفى جازان العام",IF(ISNUMBER(SEARCH("صبيا",AR120)),"مستشفى صبيا العام",IF(ISNUMBER(SEARCH("عريش",AR120)),"مستشفى أبو عريش العام",IF(ISNUMBER(SEARCH("صامط",AR120)),"مستشفى صامطة العام",IF(ISNUMBER(SEARCH("بيش",AR120)),"مستشفى بيش العام",IF(ISNUMBER(SEARCH("فهد",AR120)),"مستشفى الملك فهد المركزي",AR120)))))))</f>
        <v>مستشفى جازان العام</v>
      </c>
      <c r="AT120" s="241">
        <f>ROW()-1</f>
        <v>119</v>
      </c>
    </row>
    <row r="121" spans="1:46" ht="39">
      <c r="A121" s="167">
        <v>202</v>
      </c>
      <c r="B121" s="167">
        <v>46117.442743055602</v>
      </c>
      <c r="C121" s="167">
        <v>46117.444606481498</v>
      </c>
      <c r="D121" s="4" t="s">
        <v>662</v>
      </c>
      <c r="E121" s="1"/>
      <c r="F121" s="1" t="s">
        <v>365</v>
      </c>
      <c r="G121" s="1" t="s">
        <v>1458</v>
      </c>
      <c r="H121" s="1" t="s">
        <v>1458</v>
      </c>
      <c r="I121" s="1" t="s">
        <v>1458</v>
      </c>
      <c r="J121" s="1" t="s">
        <v>1458</v>
      </c>
      <c r="K121" s="1" t="s">
        <v>1542</v>
      </c>
      <c r="L121" s="1" t="s">
        <v>1458</v>
      </c>
      <c r="M121" s="1" t="s">
        <v>1458</v>
      </c>
      <c r="N121" s="1" t="s">
        <v>1458</v>
      </c>
      <c r="O121" s="1" t="str">
        <f>_xlfn.CONCAT(OfficeForms.Table3[[#This Row],[القطاع الغربي (Western Sector)]:[القطاع فرسان (Farasan Sector)]])</f>
        <v>مركز المضايا (Al-Madayah Center)</v>
      </c>
      <c r="P121" s="5">
        <v>46117</v>
      </c>
      <c r="Q121" s="5">
        <v>45902</v>
      </c>
      <c r="R121" s="6" t="s">
        <v>1565</v>
      </c>
      <c r="S121" s="15" t="s">
        <v>1566</v>
      </c>
      <c r="T121" s="1">
        <v>32</v>
      </c>
      <c r="U121" s="8" t="s">
        <v>387</v>
      </c>
      <c r="V121" s="9" t="s">
        <v>1567</v>
      </c>
      <c r="W121" s="8" t="s">
        <v>658</v>
      </c>
      <c r="X121" s="10" t="s">
        <v>1277</v>
      </c>
      <c r="Y121" s="9">
        <v>566787054</v>
      </c>
      <c r="Z121" s="11" t="s">
        <v>1528</v>
      </c>
      <c r="AA121" s="11"/>
      <c r="AB121" s="11"/>
      <c r="AC121" s="11" t="s">
        <v>693</v>
      </c>
      <c r="AD121" s="4" t="s">
        <v>680</v>
      </c>
      <c r="AE121" s="4" t="s">
        <v>642</v>
      </c>
      <c r="AF121" s="167"/>
      <c r="AG121" s="12" t="s">
        <v>1547</v>
      </c>
      <c r="AH121" s="13"/>
      <c r="AI121" s="239">
        <v>46121</v>
      </c>
      <c r="AJ121" s="242" t="s">
        <v>1478</v>
      </c>
      <c r="AK121" s="245" t="str">
        <f t="shared" si="1"/>
        <v>❌ غير ملتزم</v>
      </c>
      <c r="AL121" s="251"/>
      <c r="AM121" s="241" t="s">
        <v>1467</v>
      </c>
      <c r="AN121" s="258" t="s">
        <v>1479</v>
      </c>
      <c r="AO121" s="252"/>
      <c r="AP121" s="241" t="s">
        <v>1505</v>
      </c>
      <c r="AQ121" s="263" t="s">
        <v>1505</v>
      </c>
      <c r="AR121" s="241" t="s">
        <v>1467</v>
      </c>
      <c r="AS121" s="241" t="str">
        <f>IF(AR121="","",IF(ISNUMBER(SEARCH("جازان",AR121)),"مستشفى جازان العام",IF(ISNUMBER(SEARCH("صبيا",AR121)),"مستشفى صبيا العام",IF(ISNUMBER(SEARCH("عريش",AR121)),"مستشفى أبو عريش العام",IF(ISNUMBER(SEARCH("صامط",AR121)),"مستشفى صامطة العام",IF(ISNUMBER(SEARCH("بيش",AR121)),"مستشفى بيش العام",IF(ISNUMBER(SEARCH("فهد",AR121)),"مستشفى الملك فهد المركزي",AR121)))))))</f>
        <v>مستشفى جازان العام</v>
      </c>
      <c r="AT121" s="241">
        <f>ROW()-1</f>
        <v>120</v>
      </c>
    </row>
    <row r="122" spans="1:46" ht="89.25">
      <c r="A122" s="167">
        <v>203</v>
      </c>
      <c r="B122" s="167">
        <v>46117.445231481499</v>
      </c>
      <c r="C122" s="167">
        <v>46117.4481018519</v>
      </c>
      <c r="D122" s="4" t="s">
        <v>662</v>
      </c>
      <c r="E122" s="1"/>
      <c r="F122" s="1" t="s">
        <v>362</v>
      </c>
      <c r="G122" s="1" t="s">
        <v>1458</v>
      </c>
      <c r="H122" s="1" t="s">
        <v>1458</v>
      </c>
      <c r="I122" s="1" t="s">
        <v>1568</v>
      </c>
      <c r="J122" s="1" t="s">
        <v>1458</v>
      </c>
      <c r="K122" s="1" t="s">
        <v>1458</v>
      </c>
      <c r="L122" s="1" t="s">
        <v>1458</v>
      </c>
      <c r="M122" s="1" t="s">
        <v>1458</v>
      </c>
      <c r="N122" s="1" t="s">
        <v>1458</v>
      </c>
      <c r="O122" s="1" t="str">
        <f>_xlfn.CONCAT(OfficeForms.Table3[[#This Row],[القطاع الغربي (Western Sector)]:[القطاع فرسان (Farasan Sector)]])</f>
        <v>مركز الأساملة (Al-Asamalah Center)</v>
      </c>
      <c r="P122" s="5">
        <v>46117</v>
      </c>
      <c r="Q122" s="5">
        <v>46047</v>
      </c>
      <c r="R122" s="6" t="s">
        <v>1569</v>
      </c>
      <c r="S122" s="7">
        <v>37439</v>
      </c>
      <c r="T122" s="1">
        <v>24</v>
      </c>
      <c r="U122" s="8" t="s">
        <v>389</v>
      </c>
      <c r="V122" s="9" t="s">
        <v>1570</v>
      </c>
      <c r="W122" s="8" t="s">
        <v>1571</v>
      </c>
      <c r="X122" s="10" t="s">
        <v>1572</v>
      </c>
      <c r="Y122" s="9" t="s">
        <v>1573</v>
      </c>
      <c r="Z122" s="11" t="s">
        <v>1574</v>
      </c>
      <c r="AA122" s="11"/>
      <c r="AB122" s="11"/>
      <c r="AC122" s="11" t="s">
        <v>1575</v>
      </c>
      <c r="AD122" s="4" t="s">
        <v>642</v>
      </c>
      <c r="AE122" s="4"/>
      <c r="AF122" s="167"/>
      <c r="AG122" s="12" t="s">
        <v>1576</v>
      </c>
      <c r="AH122" s="13"/>
      <c r="AI122" s="239">
        <v>46121</v>
      </c>
      <c r="AJ122" s="242" t="s">
        <v>1478</v>
      </c>
      <c r="AK122" s="245" t="str">
        <f t="shared" si="1"/>
        <v>❌ غير ملتزم</v>
      </c>
      <c r="AL122" s="251"/>
      <c r="AM122" s="241" t="s">
        <v>57</v>
      </c>
      <c r="AN122" s="258" t="s">
        <v>1479</v>
      </c>
      <c r="AO122" s="252"/>
      <c r="AP122" s="241" t="s">
        <v>1317</v>
      </c>
      <c r="AQ122" s="263" t="s">
        <v>1317</v>
      </c>
      <c r="AR122" s="241" t="s">
        <v>65</v>
      </c>
      <c r="AS122" s="241" t="str">
        <f>IF(AR122="","",IF(ISNUMBER(SEARCH("جازان",AR122)),"مستشفى جازان العام",IF(ISNUMBER(SEARCH("صبيا",AR122)),"مستشفى صبيا العام",IF(ISNUMBER(SEARCH("عريش",AR122)),"مستشفى أبو عريش العام",IF(ISNUMBER(SEARCH("صامط",AR122)),"مستشفى صامطة العام",IF(ISNUMBER(SEARCH("بيش",AR122)),"مستشفى بيش العام",IF(ISNUMBER(SEARCH("فهد",AR122)),"مستشفى الملك فهد المركزي",AR122)))))))</f>
        <v>مستشفى صامطة العام</v>
      </c>
      <c r="AT122" s="241">
        <f>ROW()-1</f>
        <v>121</v>
      </c>
    </row>
    <row r="123" spans="1:46" ht="63.75">
      <c r="A123" s="167">
        <v>204</v>
      </c>
      <c r="B123" s="167">
        <v>46117.483344907399</v>
      </c>
      <c r="C123" s="167">
        <v>46117.486481481501</v>
      </c>
      <c r="D123" s="4" t="s">
        <v>662</v>
      </c>
      <c r="E123" s="1"/>
      <c r="F123" s="1" t="s">
        <v>365</v>
      </c>
      <c r="G123" s="1" t="s">
        <v>1458</v>
      </c>
      <c r="H123" s="1" t="s">
        <v>1458</v>
      </c>
      <c r="I123" s="1" t="s">
        <v>1458</v>
      </c>
      <c r="J123" s="1" t="s">
        <v>1458</v>
      </c>
      <c r="K123" s="1" t="s">
        <v>1542</v>
      </c>
      <c r="L123" s="1" t="s">
        <v>1458</v>
      </c>
      <c r="M123" s="1" t="s">
        <v>1458</v>
      </c>
      <c r="N123" s="1" t="s">
        <v>1458</v>
      </c>
      <c r="O123" s="1" t="str">
        <f>_xlfn.CONCAT(OfficeForms.Table3[[#This Row],[القطاع الغربي (Western Sector)]:[القطاع فرسان (Farasan Sector)]])</f>
        <v>مركز المضايا (Al-Madayah Center)</v>
      </c>
      <c r="P123" s="5">
        <v>46117</v>
      </c>
      <c r="Q123" s="5">
        <v>45912</v>
      </c>
      <c r="R123" s="6" t="s">
        <v>1524</v>
      </c>
      <c r="S123" s="15" t="s">
        <v>1577</v>
      </c>
      <c r="T123" s="1">
        <v>36</v>
      </c>
      <c r="U123" s="8" t="s">
        <v>391</v>
      </c>
      <c r="V123" s="9" t="s">
        <v>1578</v>
      </c>
      <c r="W123" s="8" t="s">
        <v>658</v>
      </c>
      <c r="X123" s="10" t="s">
        <v>1277</v>
      </c>
      <c r="Y123" s="9" t="s">
        <v>1579</v>
      </c>
      <c r="Z123" s="11"/>
      <c r="AA123" s="11" t="s">
        <v>820</v>
      </c>
      <c r="AB123" s="11"/>
      <c r="AC123" s="11"/>
      <c r="AD123" s="4" t="s">
        <v>642</v>
      </c>
      <c r="AE123" s="4"/>
      <c r="AF123" s="167"/>
      <c r="AG123" s="12" t="s">
        <v>1580</v>
      </c>
      <c r="AH123" s="13" t="s">
        <v>1581</v>
      </c>
      <c r="AI123" s="239">
        <v>46121</v>
      </c>
      <c r="AJ123" s="242" t="s">
        <v>1478</v>
      </c>
      <c r="AK123" s="245" t="str">
        <f t="shared" si="1"/>
        <v>❌ غير ملتزم</v>
      </c>
      <c r="AL123" s="251"/>
      <c r="AM123" s="241" t="s">
        <v>1467</v>
      </c>
      <c r="AN123" s="258" t="s">
        <v>1479</v>
      </c>
      <c r="AO123" s="252"/>
      <c r="AR123" s="241" t="s">
        <v>1467</v>
      </c>
      <c r="AS123" s="241" t="str">
        <f>IF(AR123="","",IF(ISNUMBER(SEARCH("جازان",AR123)),"مستشفى جازان العام",IF(ISNUMBER(SEARCH("صبيا",AR123)),"مستشفى صبيا العام",IF(ISNUMBER(SEARCH("عريش",AR123)),"مستشفى أبو عريش العام",IF(ISNUMBER(SEARCH("صامط",AR123)),"مستشفى صامطة العام",IF(ISNUMBER(SEARCH("بيش",AR123)),"مستشفى بيش العام",IF(ISNUMBER(SEARCH("فهد",AR123)),"مستشفى الملك فهد المركزي",AR123)))))))</f>
        <v>مستشفى جازان العام</v>
      </c>
      <c r="AT123" s="241">
        <f>ROW()-1</f>
        <v>122</v>
      </c>
    </row>
    <row r="124" spans="1:46" ht="39">
      <c r="A124" s="167">
        <v>205</v>
      </c>
      <c r="B124" s="167">
        <v>46117.514247685198</v>
      </c>
      <c r="C124" s="167">
        <v>46117.5239351852</v>
      </c>
      <c r="D124" s="4" t="s">
        <v>662</v>
      </c>
      <c r="E124" s="1"/>
      <c r="F124" s="1" t="s">
        <v>365</v>
      </c>
      <c r="G124" s="1" t="s">
        <v>1458</v>
      </c>
      <c r="H124" s="1" t="s">
        <v>1458</v>
      </c>
      <c r="I124" s="1" t="s">
        <v>1458</v>
      </c>
      <c r="J124" s="1" t="s">
        <v>1458</v>
      </c>
      <c r="K124" s="1" t="s">
        <v>1582</v>
      </c>
      <c r="L124" s="1" t="s">
        <v>1458</v>
      </c>
      <c r="M124" s="1" t="s">
        <v>1458</v>
      </c>
      <c r="N124" s="1" t="s">
        <v>1458</v>
      </c>
      <c r="O124" s="1" t="str">
        <f>_xlfn.CONCAT(OfficeForms.Table3[[#This Row],[القطاع الغربي (Western Sector)]:[القطاع فرسان (Farasan Sector)]])</f>
        <v>مركز مخطط 5 (Mukhattat 5 Center)</v>
      </c>
      <c r="P124" s="5">
        <v>46117</v>
      </c>
      <c r="Q124" s="5">
        <v>46048</v>
      </c>
      <c r="R124" s="6" t="s">
        <v>1583</v>
      </c>
      <c r="S124" s="15" t="s">
        <v>1584</v>
      </c>
      <c r="T124" s="1">
        <v>29</v>
      </c>
      <c r="U124" s="8" t="s">
        <v>393</v>
      </c>
      <c r="V124" s="9" t="s">
        <v>1585</v>
      </c>
      <c r="W124" s="8" t="s">
        <v>1586</v>
      </c>
      <c r="X124" s="10" t="s">
        <v>1587</v>
      </c>
      <c r="Y124" s="9" t="s">
        <v>1588</v>
      </c>
      <c r="Z124" s="11" t="s">
        <v>1534</v>
      </c>
      <c r="AA124" s="11"/>
      <c r="AB124" s="11"/>
      <c r="AC124" s="11" t="s">
        <v>693</v>
      </c>
      <c r="AD124" s="4" t="s">
        <v>642</v>
      </c>
      <c r="AE124" s="4"/>
      <c r="AF124" s="167"/>
      <c r="AG124" s="12" t="s">
        <v>1589</v>
      </c>
      <c r="AH124" s="13" t="s">
        <v>1590</v>
      </c>
      <c r="AI124" s="239">
        <v>46121</v>
      </c>
      <c r="AJ124" s="242" t="s">
        <v>1478</v>
      </c>
      <c r="AK124" s="245" t="str">
        <f t="shared" si="1"/>
        <v>❌ غير ملتزم</v>
      </c>
      <c r="AL124" s="251"/>
      <c r="AM124" s="241" t="s">
        <v>1467</v>
      </c>
      <c r="AN124" s="258" t="s">
        <v>1479</v>
      </c>
      <c r="AO124" s="252"/>
      <c r="AR124" s="241" t="s">
        <v>1467</v>
      </c>
      <c r="AS124" s="241" t="str">
        <f>IF(AR124="","",IF(ISNUMBER(SEARCH("جازان",AR124)),"مستشفى جازان العام",IF(ISNUMBER(SEARCH("صبيا",AR124)),"مستشفى صبيا العام",IF(ISNUMBER(SEARCH("عريش",AR124)),"مستشفى أبو عريش العام",IF(ISNUMBER(SEARCH("صامط",AR124)),"مستشفى صامطة العام",IF(ISNUMBER(SEARCH("بيش",AR124)),"مستشفى بيش العام",IF(ISNUMBER(SEARCH("فهد",AR124)),"مستشفى الملك فهد المركزي",AR124)))))))</f>
        <v>مستشفى جازان العام</v>
      </c>
      <c r="AT124" s="241">
        <f>ROW()-1</f>
        <v>123</v>
      </c>
    </row>
    <row r="125" spans="1:46" ht="76.5">
      <c r="A125" s="167">
        <v>206</v>
      </c>
      <c r="B125" s="167">
        <v>46117.559733796297</v>
      </c>
      <c r="C125" s="167">
        <v>46117.565891203703</v>
      </c>
      <c r="D125" s="4" t="s">
        <v>662</v>
      </c>
      <c r="E125" s="1"/>
      <c r="F125" s="1" t="s">
        <v>395</v>
      </c>
      <c r="G125" s="1" t="s">
        <v>1458</v>
      </c>
      <c r="H125" s="1" t="s">
        <v>1591</v>
      </c>
      <c r="I125" s="1" t="s">
        <v>1458</v>
      </c>
      <c r="J125" s="1" t="s">
        <v>1458</v>
      </c>
      <c r="K125" s="1" t="s">
        <v>1458</v>
      </c>
      <c r="L125" s="1" t="s">
        <v>1458</v>
      </c>
      <c r="M125" s="1" t="s">
        <v>1458</v>
      </c>
      <c r="N125" s="1" t="s">
        <v>1458</v>
      </c>
      <c r="O125" s="1" t="str">
        <f>_xlfn.CONCAT(OfficeForms.Table3[[#This Row],[القطاع الغربي (Western Sector)]:[القطاع فرسان (Farasan Sector)]])</f>
        <v>مركز الخوالف (Al-Khawalif Center)</v>
      </c>
      <c r="P125" s="5">
        <v>46117</v>
      </c>
      <c r="Q125" s="5">
        <v>45713</v>
      </c>
      <c r="R125" s="6" t="s">
        <v>1243</v>
      </c>
      <c r="S125" s="15" t="s">
        <v>1592</v>
      </c>
      <c r="T125" s="1">
        <v>33</v>
      </c>
      <c r="U125" s="8" t="s">
        <v>394</v>
      </c>
      <c r="V125" s="17">
        <v>1081663989</v>
      </c>
      <c r="W125" s="8" t="s">
        <v>1593</v>
      </c>
      <c r="X125" s="13">
        <v>530050617</v>
      </c>
      <c r="Y125" s="18">
        <v>554981502</v>
      </c>
      <c r="Z125" s="11" t="s">
        <v>1594</v>
      </c>
      <c r="AA125" s="11"/>
      <c r="AB125" s="11"/>
      <c r="AC125" s="11" t="s">
        <v>693</v>
      </c>
      <c r="AD125" s="4" t="s">
        <v>642</v>
      </c>
      <c r="AE125" s="4"/>
      <c r="AF125" s="167"/>
      <c r="AG125" s="12" t="s">
        <v>1595</v>
      </c>
      <c r="AH125" s="13" t="s">
        <v>1596</v>
      </c>
      <c r="AI125" s="239">
        <v>46120</v>
      </c>
      <c r="AJ125" s="242" t="s">
        <v>1478</v>
      </c>
      <c r="AK125" s="245" t="str">
        <f t="shared" si="1"/>
        <v>✅ ملتزم</v>
      </c>
      <c r="AL125" s="251"/>
      <c r="AM125" s="241" t="s">
        <v>65</v>
      </c>
      <c r="AN125" s="258" t="s">
        <v>1479</v>
      </c>
      <c r="AO125" s="252"/>
      <c r="AR125" s="241" t="s">
        <v>67</v>
      </c>
      <c r="AS125" s="241" t="str">
        <f>IF(AR125="","",IF(ISNUMBER(SEARCH("جازان",AR125)),"مستشفى جازان العام",IF(ISNUMBER(SEARCH("صبيا",AR125)),"مستشفى صبيا العام",IF(ISNUMBER(SEARCH("عريش",AR125)),"مستشفى أبو عريش العام",IF(ISNUMBER(SEARCH("صامط",AR125)),"مستشفى صامطة العام",IF(ISNUMBER(SEARCH("بيش",AR125)),"مستشفى بيش العام",IF(ISNUMBER(SEARCH("فهد",AR125)),"مستشفى الملك فهد المركزي",AR125)))))))</f>
        <v>مستشفى بيش العام</v>
      </c>
      <c r="AT125" s="241">
        <f>ROW()-1</f>
        <v>124</v>
      </c>
    </row>
    <row r="126" spans="1:46" ht="76.5">
      <c r="A126" s="167">
        <v>207</v>
      </c>
      <c r="B126" s="167">
        <v>46117.592881944402</v>
      </c>
      <c r="C126" s="167">
        <v>46117.596990740698</v>
      </c>
      <c r="D126" s="4" t="s">
        <v>662</v>
      </c>
      <c r="E126" s="1"/>
      <c r="F126" s="1" t="s">
        <v>365</v>
      </c>
      <c r="G126" s="1" t="s">
        <v>1458</v>
      </c>
      <c r="H126" s="1" t="s">
        <v>1458</v>
      </c>
      <c r="I126" s="1" t="s">
        <v>1458</v>
      </c>
      <c r="J126" s="1" t="s">
        <v>1458</v>
      </c>
      <c r="K126" s="1" t="s">
        <v>1597</v>
      </c>
      <c r="L126" s="1" t="s">
        <v>1458</v>
      </c>
      <c r="M126" s="1" t="s">
        <v>1458</v>
      </c>
      <c r="N126" s="1" t="s">
        <v>1458</v>
      </c>
      <c r="O126" s="1" t="str">
        <f>_xlfn.CONCAT(OfficeForms.Table3[[#This Row],[القطاع الغربي (Western Sector)]:[القطاع فرسان (Farasan Sector)]])</f>
        <v>مركز القعارية (Al-Qaariah Center)</v>
      </c>
      <c r="P126" s="5">
        <v>46117</v>
      </c>
      <c r="Q126" s="5">
        <v>45969</v>
      </c>
      <c r="R126" s="6" t="s">
        <v>1598</v>
      </c>
      <c r="S126" s="15" t="s">
        <v>1599</v>
      </c>
      <c r="T126" s="1">
        <v>42</v>
      </c>
      <c r="U126" s="8" t="s">
        <v>397</v>
      </c>
      <c r="V126" s="9" t="s">
        <v>1600</v>
      </c>
      <c r="W126" s="8" t="s">
        <v>1601</v>
      </c>
      <c r="X126" s="10" t="s">
        <v>1602</v>
      </c>
      <c r="Y126" s="9" t="s">
        <v>1603</v>
      </c>
      <c r="Z126" s="11" t="s">
        <v>1604</v>
      </c>
      <c r="AA126" s="11" t="s">
        <v>1494</v>
      </c>
      <c r="AB126" s="11"/>
      <c r="AC126" s="11" t="s">
        <v>693</v>
      </c>
      <c r="AD126" s="4" t="s">
        <v>642</v>
      </c>
      <c r="AE126" s="4"/>
      <c r="AF126" s="167"/>
      <c r="AG126" s="12" t="s">
        <v>1605</v>
      </c>
      <c r="AH126" s="13"/>
      <c r="AI126" s="239">
        <v>46121</v>
      </c>
      <c r="AJ126" s="242" t="s">
        <v>1478</v>
      </c>
      <c r="AK126" s="245" t="str">
        <f t="shared" si="1"/>
        <v>❌ غير ملتزم</v>
      </c>
      <c r="AL126" s="251"/>
      <c r="AM126" s="241" t="s">
        <v>1467</v>
      </c>
      <c r="AN126" s="258" t="s">
        <v>1479</v>
      </c>
      <c r="AO126" s="252"/>
      <c r="AR126" s="241" t="s">
        <v>65</v>
      </c>
      <c r="AS126" s="241" t="str">
        <f>IF(AR126="","",IF(ISNUMBER(SEARCH("جازان",AR126)),"مستشفى جازان العام",IF(ISNUMBER(SEARCH("صبيا",AR126)),"مستشفى صبيا العام",IF(ISNUMBER(SEARCH("عريش",AR126)),"مستشفى أبو عريش العام",IF(ISNUMBER(SEARCH("صامط",AR126)),"مستشفى صامطة العام",IF(ISNUMBER(SEARCH("بيش",AR126)),"مستشفى بيش العام",IF(ISNUMBER(SEARCH("فهد",AR126)),"مستشفى الملك فهد المركزي",AR126)))))))</f>
        <v>مستشفى صامطة العام</v>
      </c>
      <c r="AT126" s="241">
        <f>ROW()-1</f>
        <v>125</v>
      </c>
    </row>
    <row r="127" spans="1:46" ht="39">
      <c r="A127" s="167">
        <v>208</v>
      </c>
      <c r="B127" s="167">
        <v>46117.546817129602</v>
      </c>
      <c r="C127" s="167">
        <v>46117.632800925901</v>
      </c>
      <c r="D127" s="4" t="s">
        <v>662</v>
      </c>
      <c r="E127" s="1"/>
      <c r="F127" s="1" t="s">
        <v>362</v>
      </c>
      <c r="G127" s="1" t="s">
        <v>1458</v>
      </c>
      <c r="H127" s="1" t="s">
        <v>1458</v>
      </c>
      <c r="I127" s="1" t="s">
        <v>1459</v>
      </c>
      <c r="J127" s="1" t="s">
        <v>1458</v>
      </c>
      <c r="K127" s="1" t="s">
        <v>1458</v>
      </c>
      <c r="L127" s="1" t="s">
        <v>1458</v>
      </c>
      <c r="M127" s="1" t="s">
        <v>1458</v>
      </c>
      <c r="N127" s="1" t="s">
        <v>1458</v>
      </c>
      <c r="O127" s="1" t="str">
        <f>_xlfn.CONCAT(OfficeForms.Table3[[#This Row],[القطاع الغربي (Western Sector)]:[القطاع فرسان (Farasan Sector)]])</f>
        <v>مركز الخشابية (Al-Khashabiyah Center)</v>
      </c>
      <c r="P127" s="5">
        <v>46117</v>
      </c>
      <c r="Q127" s="5">
        <v>45870</v>
      </c>
      <c r="R127" s="6" t="s">
        <v>1606</v>
      </c>
      <c r="S127" s="15" t="s">
        <v>1607</v>
      </c>
      <c r="T127" s="1">
        <v>36</v>
      </c>
      <c r="U127" s="167" t="s">
        <v>399</v>
      </c>
      <c r="V127" s="167">
        <v>1096237886</v>
      </c>
      <c r="W127" s="167" t="s">
        <v>1011</v>
      </c>
      <c r="X127" s="10" t="s">
        <v>1374</v>
      </c>
      <c r="Y127" s="9" t="s">
        <v>1608</v>
      </c>
      <c r="Z127" s="11" t="s">
        <v>1528</v>
      </c>
      <c r="AA127" s="11"/>
      <c r="AB127" s="11"/>
      <c r="AC127" s="11" t="s">
        <v>693</v>
      </c>
      <c r="AD127" s="4" t="s">
        <v>680</v>
      </c>
      <c r="AE127" s="4" t="s">
        <v>680</v>
      </c>
      <c r="AF127" s="167"/>
      <c r="AG127" s="12" t="s">
        <v>1609</v>
      </c>
      <c r="AH127" s="13" t="s">
        <v>1610</v>
      </c>
      <c r="AI127" s="239">
        <v>46134</v>
      </c>
      <c r="AJ127" s="242" t="s">
        <v>1478</v>
      </c>
      <c r="AK127" s="245" t="str">
        <f t="shared" si="1"/>
        <v>❌ غير ملتزم</v>
      </c>
      <c r="AL127" s="251"/>
      <c r="AM127" s="241" t="s">
        <v>67</v>
      </c>
      <c r="AN127" s="258" t="s">
        <v>1479</v>
      </c>
      <c r="AO127" s="252" t="s">
        <v>1611</v>
      </c>
      <c r="AR127" s="241" t="s">
        <v>57</v>
      </c>
      <c r="AS127" s="241" t="str">
        <f>IF(AR127="","",IF(ISNUMBER(SEARCH("جازان",AR127)),"مستشفى جازان العام",IF(ISNUMBER(SEARCH("صبيا",AR127)),"مستشفى صبيا العام",IF(ISNUMBER(SEARCH("عريش",AR127)),"مستشفى أبو عريش العام",IF(ISNUMBER(SEARCH("صامط",AR127)),"مستشفى صامطة العام",IF(ISNUMBER(SEARCH("بيش",AR127)),"مستشفى بيش العام",IF(ISNUMBER(SEARCH("فهد",AR127)),"مستشفى الملك فهد المركزي",AR127)))))))</f>
        <v>مستشفى صبيا العام</v>
      </c>
      <c r="AT127" s="241">
        <f>ROW()-1</f>
        <v>126</v>
      </c>
    </row>
    <row r="128" spans="1:46" ht="39">
      <c r="A128" s="167">
        <v>209</v>
      </c>
      <c r="B128" s="167">
        <v>46117.64875</v>
      </c>
      <c r="C128" s="167">
        <v>46117.659293981502</v>
      </c>
      <c r="D128" s="4" t="s">
        <v>662</v>
      </c>
      <c r="E128" s="1"/>
      <c r="F128" s="1" t="s">
        <v>402</v>
      </c>
      <c r="G128" s="1" t="s">
        <v>1458</v>
      </c>
      <c r="H128" s="1" t="s">
        <v>1458</v>
      </c>
      <c r="I128" s="1" t="s">
        <v>1458</v>
      </c>
      <c r="J128" s="1" t="s">
        <v>1612</v>
      </c>
      <c r="K128" s="1" t="s">
        <v>1458</v>
      </c>
      <c r="L128" s="1" t="s">
        <v>1458</v>
      </c>
      <c r="M128" s="1" t="s">
        <v>1458</v>
      </c>
      <c r="N128" s="1" t="s">
        <v>1458</v>
      </c>
      <c r="O128" s="1" t="str">
        <f>_xlfn.CONCAT(OfficeForms.Table3[[#This Row],[القطاع الغربي (Western Sector)]:[القطاع فرسان (Farasan Sector)]])</f>
        <v>مركز الريث (Al-Rayth Center)</v>
      </c>
      <c r="P128" s="5">
        <v>46117</v>
      </c>
      <c r="Q128" s="5">
        <v>45942</v>
      </c>
      <c r="R128" s="6" t="s">
        <v>1613</v>
      </c>
      <c r="S128" s="15" t="s">
        <v>1614</v>
      </c>
      <c r="T128" s="1">
        <v>34</v>
      </c>
      <c r="U128" s="8" t="s">
        <v>401</v>
      </c>
      <c r="V128" s="19">
        <v>1077958971</v>
      </c>
      <c r="W128" s="8" t="s">
        <v>1615</v>
      </c>
      <c r="X128" s="13">
        <v>558001389</v>
      </c>
      <c r="Y128" s="9" t="s">
        <v>1616</v>
      </c>
      <c r="Z128" s="11"/>
      <c r="AA128" s="11" t="s">
        <v>1494</v>
      </c>
      <c r="AB128" s="11" t="s">
        <v>1617</v>
      </c>
      <c r="AC128" s="11"/>
      <c r="AD128" s="4" t="s">
        <v>680</v>
      </c>
      <c r="AE128" s="4" t="s">
        <v>642</v>
      </c>
      <c r="AF128" s="167"/>
      <c r="AG128" s="12" t="s">
        <v>1618</v>
      </c>
      <c r="AH128" s="13"/>
      <c r="AI128" s="239">
        <v>46120</v>
      </c>
      <c r="AJ128" s="242" t="s">
        <v>1478</v>
      </c>
      <c r="AK128" s="245" t="str">
        <f t="shared" si="1"/>
        <v>✅ ملتزم</v>
      </c>
      <c r="AL128" s="251"/>
      <c r="AM128" s="241" t="s">
        <v>65</v>
      </c>
      <c r="AN128" s="258" t="s">
        <v>1479</v>
      </c>
      <c r="AO128" s="252"/>
      <c r="AP128" s="241" t="s">
        <v>1619</v>
      </c>
      <c r="AQ128" s="241" t="s">
        <v>1505</v>
      </c>
      <c r="AR128" s="241" t="s">
        <v>57</v>
      </c>
      <c r="AS128" s="241" t="str">
        <f>IF(AR128="","",IF(ISNUMBER(SEARCH("جازان",AR128)),"مستشفى جازان العام",IF(ISNUMBER(SEARCH("صبيا",AR128)),"مستشفى صبيا العام",IF(ISNUMBER(SEARCH("عريش",AR128)),"مستشفى أبو عريش العام",IF(ISNUMBER(SEARCH("صامط",AR128)),"مستشفى صامطة العام",IF(ISNUMBER(SEARCH("بيش",AR128)),"مستشفى بيش العام",IF(ISNUMBER(SEARCH("فهد",AR128)),"مستشفى الملك فهد المركزي",AR128)))))))</f>
        <v>مستشفى صبيا العام</v>
      </c>
      <c r="AT128" s="241">
        <f>ROW()-1</f>
        <v>127</v>
      </c>
    </row>
    <row r="129" spans="1:46" ht="39">
      <c r="A129" s="167">
        <v>213</v>
      </c>
      <c r="B129" s="167">
        <v>46118.444016203699</v>
      </c>
      <c r="C129" s="167">
        <v>46118.448460648098</v>
      </c>
      <c r="D129" s="4" t="s">
        <v>662</v>
      </c>
      <c r="E129" s="1"/>
      <c r="F129" s="1" t="s">
        <v>395</v>
      </c>
      <c r="G129" s="1" t="s">
        <v>1458</v>
      </c>
      <c r="H129" s="1" t="s">
        <v>1591</v>
      </c>
      <c r="I129" s="1" t="s">
        <v>1458</v>
      </c>
      <c r="J129" s="1" t="s">
        <v>1458</v>
      </c>
      <c r="K129" s="1" t="s">
        <v>1458</v>
      </c>
      <c r="L129" s="1" t="s">
        <v>1458</v>
      </c>
      <c r="M129" s="1" t="s">
        <v>1458</v>
      </c>
      <c r="N129" s="1" t="s">
        <v>1458</v>
      </c>
      <c r="O129" s="1" t="str">
        <f>_xlfn.CONCAT(OfficeForms.Table3[[#This Row],[القطاع الغربي (Western Sector)]:[القطاع فرسان (Farasan Sector)]])</f>
        <v>مركز الخوالف (Al-Khawalif Center)</v>
      </c>
      <c r="P129" s="5">
        <v>46118</v>
      </c>
      <c r="Q129" s="5">
        <v>46108</v>
      </c>
      <c r="R129" s="6" t="s">
        <v>1620</v>
      </c>
      <c r="S129" s="15" t="s">
        <v>1621</v>
      </c>
      <c r="T129" s="1">
        <v>27</v>
      </c>
      <c r="U129" s="8" t="s">
        <v>404</v>
      </c>
      <c r="V129" s="17">
        <v>1133657294</v>
      </c>
      <c r="W129" s="8" t="s">
        <v>1622</v>
      </c>
      <c r="X129" s="13">
        <v>530050617</v>
      </c>
      <c r="Y129" s="18">
        <v>537884423</v>
      </c>
      <c r="Z129" s="11" t="s">
        <v>1528</v>
      </c>
      <c r="AA129" s="11"/>
      <c r="AB129" s="11"/>
      <c r="AC129" s="11" t="s">
        <v>1317</v>
      </c>
      <c r="AD129" s="4" t="s">
        <v>642</v>
      </c>
      <c r="AE129" s="4"/>
      <c r="AF129" s="167"/>
      <c r="AG129" s="12" t="s">
        <v>1595</v>
      </c>
      <c r="AH129" s="13" t="s">
        <v>693</v>
      </c>
      <c r="AI129" s="239">
        <v>46120</v>
      </c>
      <c r="AJ129" s="242" t="s">
        <v>1478</v>
      </c>
      <c r="AK129" s="245" t="str">
        <f t="shared" si="1"/>
        <v>✅ ملتزم</v>
      </c>
      <c r="AL129" s="251"/>
      <c r="AM129" s="241" t="s">
        <v>67</v>
      </c>
      <c r="AN129" s="258" t="s">
        <v>1479</v>
      </c>
      <c r="AO129" s="252"/>
      <c r="AP129" s="241" t="s">
        <v>1317</v>
      </c>
      <c r="AQ129" s="264" t="s">
        <v>1623</v>
      </c>
      <c r="AR129" s="241" t="s">
        <v>61</v>
      </c>
      <c r="AS129" s="241" t="str">
        <f>IF(AR129="","",IF(ISNUMBER(SEARCH("جازان",AR129)),"مستشفى جازان العام",IF(ISNUMBER(SEARCH("صبيا",AR129)),"مستشفى صبيا العام",IF(ISNUMBER(SEARCH("عريش",AR129)),"مستشفى أبو عريش العام",IF(ISNUMBER(SEARCH("صامط",AR129)),"مستشفى صامطة العام",IF(ISNUMBER(SEARCH("بيش",AR129)),"مستشفى بيش العام",IF(ISNUMBER(SEARCH("فهد",AR129)),"مستشفى الملك فهد المركزي",AR129)))))))</f>
        <v>مستشفى أبو عريش العام</v>
      </c>
      <c r="AT129" s="241">
        <f>ROW()-1</f>
        <v>128</v>
      </c>
    </row>
    <row r="130" spans="1:46" ht="39">
      <c r="A130" s="167">
        <v>214</v>
      </c>
      <c r="B130" s="167">
        <v>46118.436273148203</v>
      </c>
      <c r="C130" s="167">
        <v>46118.4531712963</v>
      </c>
      <c r="D130" s="4" t="s">
        <v>662</v>
      </c>
      <c r="E130" s="1"/>
      <c r="F130" s="1" t="s">
        <v>402</v>
      </c>
      <c r="G130" s="1" t="s">
        <v>1458</v>
      </c>
      <c r="H130" s="1" t="s">
        <v>1458</v>
      </c>
      <c r="I130" s="1" t="s">
        <v>1458</v>
      </c>
      <c r="J130" s="1" t="s">
        <v>1612</v>
      </c>
      <c r="K130" s="1" t="s">
        <v>1458</v>
      </c>
      <c r="L130" s="1" t="s">
        <v>1458</v>
      </c>
      <c r="M130" s="1" t="s">
        <v>1458</v>
      </c>
      <c r="N130" s="1" t="s">
        <v>1458</v>
      </c>
      <c r="O130" s="1" t="str">
        <f>_xlfn.CONCAT(OfficeForms.Table3[[#This Row],[القطاع الغربي (Western Sector)]:[القطاع فرسان (Farasan Sector)]])</f>
        <v>مركز الريث (Al-Rayth Center)</v>
      </c>
      <c r="P130" s="5">
        <v>46118</v>
      </c>
      <c r="Q130" s="5">
        <v>45869</v>
      </c>
      <c r="R130" s="6" t="s">
        <v>1624</v>
      </c>
      <c r="S130" s="15" t="s">
        <v>1625</v>
      </c>
      <c r="T130" s="1">
        <v>38</v>
      </c>
      <c r="U130" s="8" t="s">
        <v>406</v>
      </c>
      <c r="V130" s="19">
        <v>1073801175</v>
      </c>
      <c r="W130" s="8" t="s">
        <v>1615</v>
      </c>
      <c r="X130" s="10" t="s">
        <v>770</v>
      </c>
      <c r="Y130" s="9">
        <v>555646907</v>
      </c>
      <c r="Z130" s="11" t="s">
        <v>1486</v>
      </c>
      <c r="AA130" s="11"/>
      <c r="AB130" s="11"/>
      <c r="AC130" s="11"/>
      <c r="AD130" s="4" t="s">
        <v>642</v>
      </c>
      <c r="AE130" s="4"/>
      <c r="AF130" s="167"/>
      <c r="AG130" s="12" t="s">
        <v>1301</v>
      </c>
      <c r="AH130" s="13" t="s">
        <v>1626</v>
      </c>
      <c r="AI130" s="239">
        <v>46120</v>
      </c>
      <c r="AJ130" s="242" t="s">
        <v>1478</v>
      </c>
      <c r="AK130" s="245" t="str">
        <f t="shared" si="1"/>
        <v>✅ ملتزم</v>
      </c>
      <c r="AL130" s="251"/>
      <c r="AM130" s="241" t="s">
        <v>1467</v>
      </c>
      <c r="AN130" s="258" t="s">
        <v>1479</v>
      </c>
      <c r="AO130" s="252"/>
      <c r="AR130" s="241" t="s">
        <v>57</v>
      </c>
      <c r="AS130" s="241" t="str">
        <f>IF(AR130="","",IF(ISNUMBER(SEARCH("جازان",AR130)),"مستشفى جازان العام",IF(ISNUMBER(SEARCH("صبيا",AR130)),"مستشفى صبيا العام",IF(ISNUMBER(SEARCH("عريش",AR130)),"مستشفى أبو عريش العام",IF(ISNUMBER(SEARCH("صامط",AR130)),"مستشفى صامطة العام",IF(ISNUMBER(SEARCH("بيش",AR130)),"مستشفى بيش العام",IF(ISNUMBER(SEARCH("فهد",AR130)),"مستشفى الملك فهد المركزي",AR130)))))))</f>
        <v>مستشفى صبيا العام</v>
      </c>
      <c r="AT130" s="241">
        <f>ROW()-1</f>
        <v>129</v>
      </c>
    </row>
    <row r="131" spans="1:46" ht="114.75">
      <c r="A131" s="167">
        <v>216</v>
      </c>
      <c r="B131" s="167">
        <v>46118.519027777802</v>
      </c>
      <c r="C131" s="167">
        <v>46118.5449884259</v>
      </c>
      <c r="D131" s="4" t="s">
        <v>662</v>
      </c>
      <c r="E131" s="1"/>
      <c r="F131" s="1" t="s">
        <v>375</v>
      </c>
      <c r="G131" s="1" t="s">
        <v>1458</v>
      </c>
      <c r="H131" s="1" t="s">
        <v>1458</v>
      </c>
      <c r="I131" s="1" t="s">
        <v>1458</v>
      </c>
      <c r="J131" s="1" t="s">
        <v>1458</v>
      </c>
      <c r="K131" s="1" t="s">
        <v>1458</v>
      </c>
      <c r="L131" s="1" t="s">
        <v>1529</v>
      </c>
      <c r="M131" s="1" t="s">
        <v>1458</v>
      </c>
      <c r="N131" s="1" t="s">
        <v>1458</v>
      </c>
      <c r="O131" s="1" t="str">
        <f>_xlfn.CONCAT(OfficeForms.Table3[[#This Row],[القطاع الغربي (Western Sector)]:[القطاع فرسان (Farasan Sector)]])</f>
        <v>مركز العيدابي (Al-Eidabi Center)</v>
      </c>
      <c r="P131" s="5">
        <v>46118</v>
      </c>
      <c r="Q131" s="5">
        <v>45970</v>
      </c>
      <c r="R131" s="6" t="s">
        <v>1627</v>
      </c>
      <c r="S131" s="15" t="s">
        <v>1628</v>
      </c>
      <c r="T131" s="1">
        <v>20</v>
      </c>
      <c r="U131" s="8" t="s">
        <v>408</v>
      </c>
      <c r="V131" s="9" t="s">
        <v>1629</v>
      </c>
      <c r="W131" s="8" t="s">
        <v>817</v>
      </c>
      <c r="X131" s="10" t="s">
        <v>1532</v>
      </c>
      <c r="Y131" s="9" t="s">
        <v>1630</v>
      </c>
      <c r="Z131" s="11"/>
      <c r="AA131" s="11"/>
      <c r="AB131" s="11" t="s">
        <v>1631</v>
      </c>
      <c r="AC131" s="11"/>
      <c r="AD131" s="4" t="s">
        <v>642</v>
      </c>
      <c r="AE131" s="4"/>
      <c r="AF131" s="167"/>
      <c r="AG131" s="12" t="s">
        <v>1536</v>
      </c>
      <c r="AH131" s="13"/>
      <c r="AI131" s="239">
        <v>46121</v>
      </c>
      <c r="AJ131" s="242" t="s">
        <v>1478</v>
      </c>
      <c r="AK131" s="245" t="str">
        <f t="shared" ref="AK131:AK194" si="2">IF(OR(P131="",AI131=""),"⏳ بانتظار",IF(ISNUMBER(AI131),IF(NETWORKDAYS.INTL(P131,AI131,"0000011")-1&lt;=2,"✅ ملتزم","❌ غير ملتزم"),IFERROR(IF(NETWORKDAYS.INTL(P131,DATEVALUE(AI131),"0000011")-1&lt;=2,"✅ ملتزم","❌ غير ملتزم"),IFERROR(IF(NETWORKDAYS.INTL(P131,DATE(RIGHT(AI131,4),MID(AI131,FIND("/",AI131)+1,FIND("/",AI131,FIND("/",AI131)+1)-FIND("/",AI131)-1),LEFT(AI131,FIND("/",AI131)-1)),"0000011")-1&lt;=2,"✅ ملتزم","❌ غير ملتزم"),"⏳ بانتظار"))))</f>
        <v>❌ غير ملتزم</v>
      </c>
      <c r="AL131" s="251"/>
      <c r="AM131" s="241" t="s">
        <v>1467</v>
      </c>
      <c r="AN131" s="258" t="s">
        <v>1479</v>
      </c>
      <c r="AO131" s="252"/>
      <c r="AR131" s="241" t="s">
        <v>57</v>
      </c>
      <c r="AS131" s="241" t="str">
        <f>IF(AR131="","",IF(ISNUMBER(SEARCH("جازان",AR131)),"مستشفى جازان العام",IF(ISNUMBER(SEARCH("صبيا",AR131)),"مستشفى صبيا العام",IF(ISNUMBER(SEARCH("عريش",AR131)),"مستشفى أبو عريش العام",IF(ISNUMBER(SEARCH("صامط",AR131)),"مستشفى صامطة العام",IF(ISNUMBER(SEARCH("بيش",AR131)),"مستشفى بيش العام",IF(ISNUMBER(SEARCH("فهد",AR131)),"مستشفى الملك فهد المركزي",AR131)))))))</f>
        <v>مستشفى صبيا العام</v>
      </c>
      <c r="AT131" s="241">
        <f>ROW()-1</f>
        <v>130</v>
      </c>
    </row>
    <row r="132" spans="1:46" ht="89.25">
      <c r="A132" s="167">
        <v>220</v>
      </c>
      <c r="B132" s="167">
        <v>46119.385092592602</v>
      </c>
      <c r="C132" s="167">
        <v>46119.392766203702</v>
      </c>
      <c r="D132" s="4" t="s">
        <v>662</v>
      </c>
      <c r="E132" s="1"/>
      <c r="F132" s="1" t="s">
        <v>367</v>
      </c>
      <c r="G132" s="1" t="s">
        <v>1480</v>
      </c>
      <c r="H132" s="1" t="s">
        <v>1458</v>
      </c>
      <c r="I132" s="1" t="s">
        <v>1458</v>
      </c>
      <c r="J132" s="1" t="s">
        <v>1458</v>
      </c>
      <c r="K132" s="1" t="s">
        <v>1458</v>
      </c>
      <c r="L132" s="1" t="s">
        <v>1458</v>
      </c>
      <c r="M132" s="1" t="s">
        <v>1458</v>
      </c>
      <c r="N132" s="1" t="s">
        <v>1458</v>
      </c>
      <c r="O132" s="1" t="str">
        <f>_xlfn.CONCAT(OfficeForms.Table3[[#This Row],[القطاع الغربي (Western Sector)]:[القطاع فرسان (Farasan Sector)]])</f>
        <v>مركز العريش (Al-Arees Center)</v>
      </c>
      <c r="P132" s="5">
        <v>46119</v>
      </c>
      <c r="Q132" s="5">
        <v>45890</v>
      </c>
      <c r="R132" s="6" t="s">
        <v>1191</v>
      </c>
      <c r="S132" s="15" t="s">
        <v>1632</v>
      </c>
      <c r="T132" s="1">
        <v>28</v>
      </c>
      <c r="U132" s="8" t="s">
        <v>409</v>
      </c>
      <c r="V132" s="9" t="s">
        <v>1633</v>
      </c>
      <c r="W132" s="8" t="s">
        <v>1484</v>
      </c>
      <c r="X132" s="10" t="s">
        <v>960</v>
      </c>
      <c r="Y132" s="9" t="s">
        <v>1634</v>
      </c>
      <c r="Z132" s="11"/>
      <c r="AA132" s="11"/>
      <c r="AB132" s="11" t="s">
        <v>1635</v>
      </c>
      <c r="AC132" s="11"/>
      <c r="AD132" s="4" t="s">
        <v>642</v>
      </c>
      <c r="AE132" s="4"/>
      <c r="AF132" s="167"/>
      <c r="AG132" s="12" t="s">
        <v>1636</v>
      </c>
      <c r="AH132" s="13" t="s">
        <v>1637</v>
      </c>
      <c r="AI132" s="239">
        <v>46121</v>
      </c>
      <c r="AJ132" s="242" t="s">
        <v>1478</v>
      </c>
      <c r="AK132" s="245" t="str">
        <f t="shared" si="2"/>
        <v>✅ ملتزم</v>
      </c>
      <c r="AL132" s="251"/>
      <c r="AM132" s="241" t="s">
        <v>1467</v>
      </c>
      <c r="AN132" s="258" t="s">
        <v>1479</v>
      </c>
      <c r="AO132" s="252"/>
      <c r="AR132" s="241" t="s">
        <v>1467</v>
      </c>
      <c r="AS132" s="241" t="str">
        <f>IF(AR132="","",IF(ISNUMBER(SEARCH("جازان",AR132)),"مستشفى جازان العام",IF(ISNUMBER(SEARCH("صبيا",AR132)),"مستشفى صبيا العام",IF(ISNUMBER(SEARCH("عريش",AR132)),"مستشفى أبو عريش العام",IF(ISNUMBER(SEARCH("صامط",AR132)),"مستشفى صامطة العام",IF(ISNUMBER(SEARCH("بيش",AR132)),"مستشفى بيش العام",IF(ISNUMBER(SEARCH("فهد",AR132)),"مستشفى الملك فهد المركزي",AR132)))))))</f>
        <v>مستشفى جازان العام</v>
      </c>
      <c r="AT132" s="241">
        <f>ROW()-1</f>
        <v>131</v>
      </c>
    </row>
    <row r="133" spans="1:46" ht="39">
      <c r="A133" s="167">
        <v>221</v>
      </c>
      <c r="B133" s="167">
        <v>46119.433518518497</v>
      </c>
      <c r="C133" s="167">
        <v>46119.442129629599</v>
      </c>
      <c r="D133" s="4" t="s">
        <v>662</v>
      </c>
      <c r="E133" s="1"/>
      <c r="F133" s="1" t="s">
        <v>367</v>
      </c>
      <c r="G133" s="1" t="s">
        <v>1638</v>
      </c>
      <c r="H133" s="1" t="s">
        <v>1458</v>
      </c>
      <c r="I133" s="1" t="s">
        <v>1458</v>
      </c>
      <c r="J133" s="1" t="s">
        <v>1458</v>
      </c>
      <c r="K133" s="1" t="s">
        <v>1458</v>
      </c>
      <c r="L133" s="1" t="s">
        <v>1458</v>
      </c>
      <c r="M133" s="1" t="s">
        <v>1458</v>
      </c>
      <c r="N133" s="1" t="s">
        <v>1458</v>
      </c>
      <c r="O133" s="1" t="str">
        <f>_xlfn.CONCAT(OfficeForms.Table3[[#This Row],[القطاع الغربي (Western Sector)]:[القطاع فرسان (Farasan Sector)]])</f>
        <v>مركز ضمد الشمالي (Northern Dhamad Center)</v>
      </c>
      <c r="P133" s="5">
        <v>46119</v>
      </c>
      <c r="Q133" s="5">
        <v>46074</v>
      </c>
      <c r="R133" s="6" t="s">
        <v>945</v>
      </c>
      <c r="S133" s="15" t="s">
        <v>1639</v>
      </c>
      <c r="T133" s="1">
        <v>26</v>
      </c>
      <c r="U133" s="8" t="s">
        <v>410</v>
      </c>
      <c r="V133" s="9" t="s">
        <v>1640</v>
      </c>
      <c r="W133" s="8" t="s">
        <v>1641</v>
      </c>
      <c r="X133" s="10" t="s">
        <v>1359</v>
      </c>
      <c r="Y133" s="9" t="s">
        <v>1642</v>
      </c>
      <c r="Z133" s="11" t="s">
        <v>1643</v>
      </c>
      <c r="AA133" s="11"/>
      <c r="AB133" s="11"/>
      <c r="AC133" s="11"/>
      <c r="AD133" s="4" t="s">
        <v>642</v>
      </c>
      <c r="AE133" s="4"/>
      <c r="AF133" s="167"/>
      <c r="AG133" s="12" t="s">
        <v>1644</v>
      </c>
      <c r="AH133" s="13"/>
      <c r="AI133" s="239">
        <v>46135</v>
      </c>
      <c r="AJ133" s="242" t="s">
        <v>1478</v>
      </c>
      <c r="AK133" s="245" t="str">
        <f t="shared" si="2"/>
        <v>❌ غير ملتزم</v>
      </c>
      <c r="AL133" s="251"/>
      <c r="AM133" s="241" t="s">
        <v>1467</v>
      </c>
      <c r="AN133" s="258" t="s">
        <v>1479</v>
      </c>
      <c r="AO133" s="252" t="s">
        <v>1645</v>
      </c>
      <c r="AR133" s="241" t="s">
        <v>57</v>
      </c>
      <c r="AS133" s="241" t="str">
        <f>IF(AR133="","",IF(ISNUMBER(SEARCH("جازان",AR133)),"مستشفى جازان العام",IF(ISNUMBER(SEARCH("صبيا",AR133)),"مستشفى صبيا العام",IF(ISNUMBER(SEARCH("عريش",AR133)),"مستشفى أبو عريش العام",IF(ISNUMBER(SEARCH("صامط",AR133)),"مستشفى صامطة العام",IF(ISNUMBER(SEARCH("بيش",AR133)),"مستشفى بيش العام",IF(ISNUMBER(SEARCH("فهد",AR133)),"مستشفى الملك فهد المركزي",AR133)))))))</f>
        <v>مستشفى صبيا العام</v>
      </c>
      <c r="AT133" s="241">
        <f>ROW()-1</f>
        <v>132</v>
      </c>
    </row>
    <row r="134" spans="1:46" ht="76.5">
      <c r="A134" s="167">
        <v>222</v>
      </c>
      <c r="B134" s="167">
        <v>46119.436851851897</v>
      </c>
      <c r="C134" s="167">
        <v>46119.443877314799</v>
      </c>
      <c r="D134" s="4" t="s">
        <v>662</v>
      </c>
      <c r="E134" s="1"/>
      <c r="F134" s="1" t="s">
        <v>365</v>
      </c>
      <c r="G134" s="1" t="s">
        <v>1458</v>
      </c>
      <c r="H134" s="1" t="s">
        <v>1458</v>
      </c>
      <c r="I134" s="1" t="s">
        <v>1458</v>
      </c>
      <c r="J134" s="1" t="s">
        <v>1458</v>
      </c>
      <c r="K134" s="1" t="s">
        <v>1646</v>
      </c>
      <c r="L134" s="1" t="s">
        <v>1458</v>
      </c>
      <c r="M134" s="1" t="s">
        <v>1458</v>
      </c>
      <c r="N134" s="1" t="s">
        <v>1458</v>
      </c>
      <c r="O134" s="1" t="str">
        <f>_xlfn.CONCAT(OfficeForms.Table3[[#This Row],[القطاع الغربي (Western Sector)]:[القطاع فرسان (Farasan Sector)]])</f>
        <v>مركز محلية (Mahaliyah Center)</v>
      </c>
      <c r="P134" s="5">
        <v>46119</v>
      </c>
      <c r="Q134" s="5">
        <v>45880</v>
      </c>
      <c r="R134" s="6" t="s">
        <v>1095</v>
      </c>
      <c r="S134" s="20" t="s">
        <v>1647</v>
      </c>
      <c r="T134" s="1">
        <v>42</v>
      </c>
      <c r="U134" s="8" t="s">
        <v>411</v>
      </c>
      <c r="V134" s="9" t="s">
        <v>1647</v>
      </c>
      <c r="W134" s="8" t="s">
        <v>701</v>
      </c>
      <c r="X134" s="10" t="s">
        <v>1648</v>
      </c>
      <c r="Y134" s="9" t="s">
        <v>1649</v>
      </c>
      <c r="Z134" s="11" t="s">
        <v>1486</v>
      </c>
      <c r="AA134" s="11" t="s">
        <v>1650</v>
      </c>
      <c r="AB134" s="11"/>
      <c r="AC134" s="11" t="s">
        <v>1651</v>
      </c>
      <c r="AD134" s="4" t="s">
        <v>680</v>
      </c>
      <c r="AE134" s="4" t="s">
        <v>680</v>
      </c>
      <c r="AF134" s="167"/>
      <c r="AG134" s="12" t="s">
        <v>1652</v>
      </c>
      <c r="AH134" s="13" t="s">
        <v>693</v>
      </c>
      <c r="AI134" s="239">
        <v>46121</v>
      </c>
      <c r="AJ134" s="242" t="s">
        <v>1478</v>
      </c>
      <c r="AK134" s="245" t="str">
        <f t="shared" si="2"/>
        <v>✅ ملتزم</v>
      </c>
      <c r="AL134" s="251"/>
      <c r="AM134" s="241" t="s">
        <v>1467</v>
      </c>
      <c r="AN134" s="258" t="s">
        <v>1479</v>
      </c>
      <c r="AO134" s="252"/>
      <c r="AR134" s="241" t="s">
        <v>61</v>
      </c>
      <c r="AS134" s="241" t="str">
        <f>IF(AR134="","",IF(ISNUMBER(SEARCH("جازان",AR134)),"مستشفى جازان العام",IF(ISNUMBER(SEARCH("صبيا",AR134)),"مستشفى صبيا العام",IF(ISNUMBER(SEARCH("عريش",AR134)),"مستشفى أبو عريش العام",IF(ISNUMBER(SEARCH("صامط",AR134)),"مستشفى صامطة العام",IF(ISNUMBER(SEARCH("بيش",AR134)),"مستشفى بيش العام",IF(ISNUMBER(SEARCH("فهد",AR134)),"مستشفى الملك فهد المركزي",AR134)))))))</f>
        <v>مستشفى أبو عريش العام</v>
      </c>
      <c r="AT134" s="241">
        <f>ROW()-1</f>
        <v>133</v>
      </c>
    </row>
    <row r="135" spans="1:46" ht="102">
      <c r="A135" s="167">
        <v>223</v>
      </c>
      <c r="B135" s="167">
        <v>46119.454687500001</v>
      </c>
      <c r="C135" s="167">
        <v>46119.458912037</v>
      </c>
      <c r="D135" s="4" t="s">
        <v>662</v>
      </c>
      <c r="E135" s="1"/>
      <c r="F135" s="1" t="s">
        <v>365</v>
      </c>
      <c r="G135" s="1" t="s">
        <v>1458</v>
      </c>
      <c r="H135" s="1" t="s">
        <v>1458</v>
      </c>
      <c r="I135" s="1" t="s">
        <v>1458</v>
      </c>
      <c r="J135" s="1" t="s">
        <v>1458</v>
      </c>
      <c r="K135" s="1" t="s">
        <v>1653</v>
      </c>
      <c r="L135" s="1" t="s">
        <v>1458</v>
      </c>
      <c r="M135" s="1" t="s">
        <v>1458</v>
      </c>
      <c r="N135" s="1" t="s">
        <v>1458</v>
      </c>
      <c r="O135" s="1" t="str">
        <f>_xlfn.CONCAT(OfficeForms.Table3[[#This Row],[القطاع الغربي (Western Sector)]:[القطاع فرسان (Farasan Sector)]])</f>
        <v>مركز المعبوج (Al-Maabooj Center)</v>
      </c>
      <c r="P135" s="5">
        <v>46119</v>
      </c>
      <c r="Q135" s="5">
        <v>45998</v>
      </c>
      <c r="R135" s="6" t="s">
        <v>1310</v>
      </c>
      <c r="S135" s="7">
        <v>32451</v>
      </c>
      <c r="T135" s="1">
        <v>38</v>
      </c>
      <c r="U135" s="8" t="s">
        <v>412</v>
      </c>
      <c r="V135" s="9" t="s">
        <v>1654</v>
      </c>
      <c r="W135" s="8" t="s">
        <v>875</v>
      </c>
      <c r="X135" s="10" t="s">
        <v>1382</v>
      </c>
      <c r="Y135" s="9" t="s">
        <v>1655</v>
      </c>
      <c r="Z135" s="11" t="s">
        <v>1656</v>
      </c>
      <c r="AA135" s="11" t="s">
        <v>1657</v>
      </c>
      <c r="AB135" s="11"/>
      <c r="AC135" s="11"/>
      <c r="AD135" s="4" t="s">
        <v>680</v>
      </c>
      <c r="AE135" s="4" t="s">
        <v>680</v>
      </c>
      <c r="AF135" s="167"/>
      <c r="AG135" s="12" t="s">
        <v>1415</v>
      </c>
      <c r="AH135" s="13"/>
      <c r="AI135" s="239">
        <v>46121</v>
      </c>
      <c r="AJ135" s="242" t="s">
        <v>1478</v>
      </c>
      <c r="AK135" s="245" t="str">
        <f t="shared" si="2"/>
        <v>✅ ملتزم</v>
      </c>
      <c r="AL135" s="251"/>
      <c r="AM135" s="241" t="s">
        <v>57</v>
      </c>
      <c r="AN135" s="258" t="s">
        <v>1479</v>
      </c>
      <c r="AO135" s="252" t="s">
        <v>1658</v>
      </c>
      <c r="AR135" s="241" t="s">
        <v>1467</v>
      </c>
      <c r="AS135" s="241" t="str">
        <f>IF(AR135="","",IF(ISNUMBER(SEARCH("جازان",AR135)),"مستشفى جازان العام",IF(ISNUMBER(SEARCH("صبيا",AR135)),"مستشفى صبيا العام",IF(ISNUMBER(SEARCH("عريش",AR135)),"مستشفى أبو عريش العام",IF(ISNUMBER(SEARCH("صامط",AR135)),"مستشفى صامطة العام",IF(ISNUMBER(SEARCH("بيش",AR135)),"مستشفى بيش العام",IF(ISNUMBER(SEARCH("فهد",AR135)),"مستشفى الملك فهد المركزي",AR135)))))))</f>
        <v>مستشفى جازان العام</v>
      </c>
      <c r="AT135" s="241">
        <f>ROW()-1</f>
        <v>134</v>
      </c>
    </row>
    <row r="136" spans="1:46" ht="39">
      <c r="A136" s="167">
        <v>224</v>
      </c>
      <c r="B136" s="167">
        <v>46119.467187499999</v>
      </c>
      <c r="C136" s="167">
        <v>46119.469664351898</v>
      </c>
      <c r="D136" s="4" t="s">
        <v>662</v>
      </c>
      <c r="E136" s="1"/>
      <c r="F136" s="1" t="s">
        <v>367</v>
      </c>
      <c r="G136" s="1" t="s">
        <v>1659</v>
      </c>
      <c r="H136" s="1" t="s">
        <v>1458</v>
      </c>
      <c r="I136" s="1" t="s">
        <v>1458</v>
      </c>
      <c r="J136" s="1" t="s">
        <v>1458</v>
      </c>
      <c r="K136" s="1" t="s">
        <v>1458</v>
      </c>
      <c r="L136" s="1" t="s">
        <v>1458</v>
      </c>
      <c r="M136" s="1" t="s">
        <v>1458</v>
      </c>
      <c r="N136" s="1" t="s">
        <v>1458</v>
      </c>
      <c r="O136" s="1" t="str">
        <f>_xlfn.CONCAT(OfficeForms.Table3[[#This Row],[القطاع الغربي (Western Sector)]:[القطاع فرسان (Farasan Sector)]])</f>
        <v>مركز الصهاليل (Al-Sahalil Center)</v>
      </c>
      <c r="P136" s="5">
        <v>46119</v>
      </c>
      <c r="Q136" s="5">
        <v>45879</v>
      </c>
      <c r="R136" s="6" t="s">
        <v>1660</v>
      </c>
      <c r="S136" s="15" t="s">
        <v>1661</v>
      </c>
      <c r="T136" s="1">
        <v>24</v>
      </c>
      <c r="U136" s="8" t="s">
        <v>413</v>
      </c>
      <c r="V136" s="9" t="s">
        <v>1662</v>
      </c>
      <c r="W136" s="8" t="s">
        <v>1663</v>
      </c>
      <c r="X136" s="10" t="s">
        <v>808</v>
      </c>
      <c r="Y136" s="9" t="s">
        <v>1664</v>
      </c>
      <c r="Z136" s="11" t="s">
        <v>1528</v>
      </c>
      <c r="AA136" s="11"/>
      <c r="AB136" s="11"/>
      <c r="AC136" s="11"/>
      <c r="AD136" s="4" t="s">
        <v>642</v>
      </c>
      <c r="AE136" s="4"/>
      <c r="AF136" s="167"/>
      <c r="AG136" s="12" t="s">
        <v>810</v>
      </c>
      <c r="AH136" s="13" t="s">
        <v>1665</v>
      </c>
      <c r="AI136" s="239">
        <v>46121</v>
      </c>
      <c r="AJ136" s="242" t="s">
        <v>1478</v>
      </c>
      <c r="AK136" s="245" t="str">
        <f t="shared" si="2"/>
        <v>✅ ملتزم</v>
      </c>
      <c r="AL136" s="251"/>
      <c r="AM136" s="241" t="s">
        <v>1467</v>
      </c>
      <c r="AN136" s="258" t="s">
        <v>1479</v>
      </c>
      <c r="AO136" s="252"/>
      <c r="AP136" s="241" t="s">
        <v>1505</v>
      </c>
      <c r="AQ136" s="241" t="s">
        <v>1505</v>
      </c>
      <c r="AR136" s="241" t="s">
        <v>1467</v>
      </c>
      <c r="AS136" s="241" t="str">
        <f>IF(AR136="","",IF(ISNUMBER(SEARCH("جازان",AR136)),"مستشفى جازان العام",IF(ISNUMBER(SEARCH("صبيا",AR136)),"مستشفى صبيا العام",IF(ISNUMBER(SEARCH("عريش",AR136)),"مستشفى أبو عريش العام",IF(ISNUMBER(SEARCH("صامط",AR136)),"مستشفى صامطة العام",IF(ISNUMBER(SEARCH("بيش",AR136)),"مستشفى بيش العام",IF(ISNUMBER(SEARCH("فهد",AR136)),"مستشفى الملك فهد المركزي",AR136)))))))</f>
        <v>مستشفى جازان العام</v>
      </c>
      <c r="AT136" s="241">
        <f>ROW()-1</f>
        <v>135</v>
      </c>
    </row>
    <row r="137" spans="1:46" ht="39">
      <c r="A137" s="167">
        <v>225</v>
      </c>
      <c r="B137" s="167">
        <v>46118.651620370401</v>
      </c>
      <c r="C137" s="167">
        <v>46119.595312500001</v>
      </c>
      <c r="D137" s="4" t="s">
        <v>662</v>
      </c>
      <c r="E137" s="1"/>
      <c r="F137" s="1" t="s">
        <v>362</v>
      </c>
      <c r="G137" s="1" t="s">
        <v>1458</v>
      </c>
      <c r="H137" s="1" t="s">
        <v>1458</v>
      </c>
      <c r="I137" s="1" t="s">
        <v>1666</v>
      </c>
      <c r="J137" s="1" t="s">
        <v>1458</v>
      </c>
      <c r="K137" s="1" t="s">
        <v>1458</v>
      </c>
      <c r="L137" s="1" t="s">
        <v>1458</v>
      </c>
      <c r="M137" s="1" t="s">
        <v>1458</v>
      </c>
      <c r="N137" s="1" t="s">
        <v>1458</v>
      </c>
      <c r="O137" s="1" t="str">
        <f>_xlfn.CONCAT(OfficeForms.Table3[[#This Row],[القطاع الغربي (Western Sector)]:[القطاع فرسان (Farasan Sector)]])</f>
        <v>مركز الواصلي (Al-Wasli Center)</v>
      </c>
      <c r="P137" s="5">
        <v>46118</v>
      </c>
      <c r="Q137" s="5">
        <v>46118</v>
      </c>
      <c r="R137" s="6" t="s">
        <v>1667</v>
      </c>
      <c r="S137" s="15" t="s">
        <v>1668</v>
      </c>
      <c r="T137" s="1">
        <v>36</v>
      </c>
      <c r="U137" s="8" t="s">
        <v>414</v>
      </c>
      <c r="V137" s="9" t="s">
        <v>1669</v>
      </c>
      <c r="W137" s="8" t="s">
        <v>1590</v>
      </c>
      <c r="X137" s="10" t="s">
        <v>1670</v>
      </c>
      <c r="Y137" s="9" t="s">
        <v>1671</v>
      </c>
      <c r="Z137" s="11"/>
      <c r="AA137" s="11" t="s">
        <v>1494</v>
      </c>
      <c r="AB137" s="11"/>
      <c r="AC137" s="11" t="s">
        <v>693</v>
      </c>
      <c r="AD137" s="4" t="s">
        <v>642</v>
      </c>
      <c r="AE137" s="4"/>
      <c r="AF137" s="167"/>
      <c r="AG137" s="12" t="s">
        <v>1672</v>
      </c>
      <c r="AH137" s="13" t="s">
        <v>1673</v>
      </c>
      <c r="AI137" s="239">
        <v>46121</v>
      </c>
      <c r="AJ137" s="242" t="s">
        <v>1548</v>
      </c>
      <c r="AK137" s="245" t="str">
        <f t="shared" si="2"/>
        <v>❌ غير ملتزم</v>
      </c>
      <c r="AL137" s="251"/>
      <c r="AM137" s="241" t="s">
        <v>61</v>
      </c>
      <c r="AN137" s="258" t="s">
        <v>1468</v>
      </c>
      <c r="AO137" s="252"/>
      <c r="AP137" s="241" t="s">
        <v>1505</v>
      </c>
      <c r="AQ137" s="241" t="s">
        <v>1505</v>
      </c>
      <c r="AR137" s="241" t="s">
        <v>1467</v>
      </c>
      <c r="AS137" s="241" t="str">
        <f>IF(AR137="","",IF(ISNUMBER(SEARCH("جازان",AR137)),"مستشفى جازان العام",IF(ISNUMBER(SEARCH("صبيا",AR137)),"مستشفى صبيا العام",IF(ISNUMBER(SEARCH("عريش",AR137)),"مستشفى أبو عريش العام",IF(ISNUMBER(SEARCH("صامط",AR137)),"مستشفى صامطة العام",IF(ISNUMBER(SEARCH("بيش",AR137)),"مستشفى بيش العام",IF(ISNUMBER(SEARCH("فهد",AR137)),"مستشفى الملك فهد المركزي",AR137)))))))</f>
        <v>مستشفى جازان العام</v>
      </c>
      <c r="AT137" s="241">
        <f>ROW()-1</f>
        <v>136</v>
      </c>
    </row>
    <row r="138" spans="1:46" ht="140.25">
      <c r="A138" s="167">
        <v>226</v>
      </c>
      <c r="B138" s="167">
        <v>46120.377002314803</v>
      </c>
      <c r="C138" s="167">
        <v>46120.379571759302</v>
      </c>
      <c r="D138" s="4" t="s">
        <v>662</v>
      </c>
      <c r="E138" s="1"/>
      <c r="F138" s="1" t="s">
        <v>365</v>
      </c>
      <c r="G138" s="1" t="s">
        <v>1458</v>
      </c>
      <c r="H138" s="1" t="s">
        <v>1458</v>
      </c>
      <c r="I138" s="1" t="s">
        <v>1458</v>
      </c>
      <c r="J138" s="1" t="s">
        <v>1458</v>
      </c>
      <c r="K138" s="1" t="s">
        <v>1674</v>
      </c>
      <c r="L138" s="1" t="s">
        <v>1458</v>
      </c>
      <c r="M138" s="1" t="s">
        <v>1458</v>
      </c>
      <c r="N138" s="1" t="s">
        <v>1458</v>
      </c>
      <c r="O138" s="1" t="str">
        <f>_xlfn.CONCAT(OfficeForms.Table3[[#This Row],[القطاع الغربي (Western Sector)]:[القطاع فرسان (Farasan Sector)]])</f>
        <v>مركز مخطط 6 (Mukhattat 6 Center)</v>
      </c>
      <c r="P138" s="5">
        <v>46120</v>
      </c>
      <c r="Q138" s="5">
        <v>46076</v>
      </c>
      <c r="R138" s="6" t="s">
        <v>945</v>
      </c>
      <c r="S138" s="15" t="s">
        <v>1675</v>
      </c>
      <c r="T138" s="1">
        <v>27</v>
      </c>
      <c r="U138" s="8" t="s">
        <v>415</v>
      </c>
      <c r="V138" s="9" t="s">
        <v>1676</v>
      </c>
      <c r="W138" s="8" t="s">
        <v>875</v>
      </c>
      <c r="X138" s="10" t="s">
        <v>876</v>
      </c>
      <c r="Y138" s="9" t="s">
        <v>1677</v>
      </c>
      <c r="Z138" s="11"/>
      <c r="AA138" s="11"/>
      <c r="AB138" s="11" t="s">
        <v>1678</v>
      </c>
      <c r="AC138" s="11"/>
      <c r="AD138" s="4" t="s">
        <v>642</v>
      </c>
      <c r="AE138" s="4"/>
      <c r="AF138" s="167"/>
      <c r="AG138" s="12" t="s">
        <v>879</v>
      </c>
      <c r="AH138" s="13"/>
      <c r="AI138" s="239">
        <v>46121</v>
      </c>
      <c r="AJ138" s="242" t="s">
        <v>1478</v>
      </c>
      <c r="AK138" s="245" t="str">
        <f t="shared" si="2"/>
        <v>✅ ملتزم</v>
      </c>
      <c r="AL138" s="251"/>
      <c r="AM138" s="241" t="s">
        <v>1467</v>
      </c>
      <c r="AN138" s="258" t="s">
        <v>1479</v>
      </c>
      <c r="AO138" s="252"/>
      <c r="AR138" s="241" t="s">
        <v>61</v>
      </c>
      <c r="AS138" s="241" t="str">
        <f>IF(AR138="","",IF(ISNUMBER(SEARCH("جازان",AR138)),"مستشفى جازان العام",IF(ISNUMBER(SEARCH("صبيا",AR138)),"مستشفى صبيا العام",IF(ISNUMBER(SEARCH("عريش",AR138)),"مستشفى أبو عريش العام",IF(ISNUMBER(SEARCH("صامط",AR138)),"مستشفى صامطة العام",IF(ISNUMBER(SEARCH("بيش",AR138)),"مستشفى بيش العام",IF(ISNUMBER(SEARCH("فهد",AR138)),"مستشفى الملك فهد المركزي",AR138)))))))</f>
        <v>مستشفى أبو عريش العام</v>
      </c>
      <c r="AT138" s="241">
        <f>ROW()-1</f>
        <v>137</v>
      </c>
    </row>
    <row r="139" spans="1:46" ht="51">
      <c r="A139" s="167">
        <v>227</v>
      </c>
      <c r="B139" s="167">
        <v>46120.387152777803</v>
      </c>
      <c r="C139" s="167">
        <v>46120.3915277778</v>
      </c>
      <c r="D139" s="4" t="s">
        <v>662</v>
      </c>
      <c r="E139" s="1"/>
      <c r="F139" s="1" t="s">
        <v>365</v>
      </c>
      <c r="G139" s="1" t="s">
        <v>1458</v>
      </c>
      <c r="H139" s="1" t="s">
        <v>1458</v>
      </c>
      <c r="I139" s="1" t="s">
        <v>1458</v>
      </c>
      <c r="J139" s="1" t="s">
        <v>1458</v>
      </c>
      <c r="K139" s="1" t="s">
        <v>1470</v>
      </c>
      <c r="L139" s="1" t="s">
        <v>1458</v>
      </c>
      <c r="M139" s="1" t="s">
        <v>1458</v>
      </c>
      <c r="N139" s="1" t="s">
        <v>1458</v>
      </c>
      <c r="O139" s="1" t="str">
        <f>_xlfn.CONCAT(OfficeForms.Table3[[#This Row],[القطاع الغربي (Western Sector)]:[القطاع فرسان (Farasan Sector)]])</f>
        <v>مركز الشاطىء (Al-Shati Center)</v>
      </c>
      <c r="P139" s="5">
        <v>46120</v>
      </c>
      <c r="Q139" s="5">
        <v>46071</v>
      </c>
      <c r="R139" s="6" t="s">
        <v>1679</v>
      </c>
      <c r="S139" s="15" t="s">
        <v>1680</v>
      </c>
      <c r="T139" s="1">
        <v>36</v>
      </c>
      <c r="U139" s="8" t="s">
        <v>416</v>
      </c>
      <c r="V139" s="9" t="s">
        <v>1681</v>
      </c>
      <c r="W139" s="8" t="s">
        <v>1682</v>
      </c>
      <c r="X139" s="10" t="s">
        <v>668</v>
      </c>
      <c r="Y139" s="9" t="s">
        <v>1683</v>
      </c>
      <c r="Z139" s="11"/>
      <c r="AA139" s="11" t="s">
        <v>1684</v>
      </c>
      <c r="AB139" s="11" t="s">
        <v>1617</v>
      </c>
      <c r="AC139" s="11"/>
      <c r="AD139" s="4" t="s">
        <v>642</v>
      </c>
      <c r="AE139" s="4"/>
      <c r="AF139" s="167"/>
      <c r="AG139" s="12" t="s">
        <v>643</v>
      </c>
      <c r="AH139" s="13"/>
      <c r="AI139" s="239">
        <v>46132</v>
      </c>
      <c r="AJ139" s="242" t="s">
        <v>1478</v>
      </c>
      <c r="AK139" s="245" t="str">
        <f t="shared" si="2"/>
        <v>❌ غير ملتزم</v>
      </c>
      <c r="AL139" s="251"/>
      <c r="AM139" s="241" t="s">
        <v>1074</v>
      </c>
      <c r="AN139" s="258" t="s">
        <v>1479</v>
      </c>
      <c r="AO139" s="252"/>
      <c r="AR139" s="241" t="s">
        <v>1467</v>
      </c>
      <c r="AS139" s="241" t="str">
        <f>IF(AR139="","",IF(ISNUMBER(SEARCH("جازان",AR139)),"مستشفى جازان العام",IF(ISNUMBER(SEARCH("صبيا",AR139)),"مستشفى صبيا العام",IF(ISNUMBER(SEARCH("عريش",AR139)),"مستشفى أبو عريش العام",IF(ISNUMBER(SEARCH("صامط",AR139)),"مستشفى صامطة العام",IF(ISNUMBER(SEARCH("بيش",AR139)),"مستشفى بيش العام",IF(ISNUMBER(SEARCH("فهد",AR139)),"مستشفى الملك فهد المركزي",AR139)))))))</f>
        <v>مستشفى جازان العام</v>
      </c>
      <c r="AT139" s="241">
        <f>ROW()-1</f>
        <v>138</v>
      </c>
    </row>
    <row r="140" spans="1:46" ht="51">
      <c r="A140" s="167">
        <v>228</v>
      </c>
      <c r="B140" s="167">
        <v>46120.417777777802</v>
      </c>
      <c r="C140" s="167">
        <v>46120.420127314799</v>
      </c>
      <c r="D140" s="4" t="s">
        <v>662</v>
      </c>
      <c r="E140" s="1"/>
      <c r="F140" s="1" t="s">
        <v>365</v>
      </c>
      <c r="G140" s="1" t="s">
        <v>1458</v>
      </c>
      <c r="H140" s="1" t="s">
        <v>1458</v>
      </c>
      <c r="I140" s="1" t="s">
        <v>1458</v>
      </c>
      <c r="J140" s="1" t="s">
        <v>1458</v>
      </c>
      <c r="K140" s="1" t="s">
        <v>1470</v>
      </c>
      <c r="L140" s="1"/>
      <c r="M140" s="1"/>
      <c r="N140" s="1"/>
      <c r="O140" s="1" t="str">
        <f>_xlfn.CONCAT(OfficeForms.Table3[[#This Row],[القطاع الغربي (Western Sector)]:[القطاع فرسان (Farasan Sector)]])</f>
        <v>مركز الشاطىء (Al-Shati Center)</v>
      </c>
      <c r="P140" s="5">
        <v>46120</v>
      </c>
      <c r="Q140" s="5">
        <v>45954</v>
      </c>
      <c r="R140" s="6" t="s">
        <v>1685</v>
      </c>
      <c r="S140" s="15" t="s">
        <v>1686</v>
      </c>
      <c r="T140" s="1">
        <v>35</v>
      </c>
      <c r="U140" s="8" t="s">
        <v>417</v>
      </c>
      <c r="V140" s="9" t="s">
        <v>1687</v>
      </c>
      <c r="W140" s="8" t="s">
        <v>1688</v>
      </c>
      <c r="X140" s="10" t="s">
        <v>668</v>
      </c>
      <c r="Y140" s="9" t="s">
        <v>1689</v>
      </c>
      <c r="Z140" s="13" t="s">
        <v>1528</v>
      </c>
      <c r="AA140" s="13" t="s">
        <v>1690</v>
      </c>
      <c r="AB140" s="13"/>
      <c r="AC140" s="13"/>
      <c r="AD140" s="4" t="s">
        <v>642</v>
      </c>
      <c r="AE140" s="4"/>
      <c r="AF140" s="167"/>
      <c r="AG140" s="12" t="s">
        <v>643</v>
      </c>
      <c r="AH140" s="13"/>
      <c r="AI140" s="239">
        <v>46121</v>
      </c>
      <c r="AJ140" s="242" t="s">
        <v>1478</v>
      </c>
      <c r="AK140" s="245" t="str">
        <f t="shared" si="2"/>
        <v>✅ ملتزم</v>
      </c>
      <c r="AL140" s="251"/>
      <c r="AM140" s="241" t="s">
        <v>1467</v>
      </c>
      <c r="AN140" s="258" t="s">
        <v>1479</v>
      </c>
      <c r="AO140" s="252"/>
      <c r="AR140" s="241" t="s">
        <v>1467</v>
      </c>
      <c r="AS140" s="241" t="str">
        <f>IF(AR140="","",IF(ISNUMBER(SEARCH("جازان",AR140)),"مستشفى جازان العام",IF(ISNUMBER(SEARCH("صبيا",AR140)),"مستشفى صبيا العام",IF(ISNUMBER(SEARCH("عريش",AR140)),"مستشفى أبو عريش العام",IF(ISNUMBER(SEARCH("صامط",AR140)),"مستشفى صامطة العام",IF(ISNUMBER(SEARCH("بيش",AR140)),"مستشفى بيش العام",IF(ISNUMBER(SEARCH("فهد",AR140)),"مستشفى الملك فهد المركزي",AR140)))))))</f>
        <v>مستشفى جازان العام</v>
      </c>
      <c r="AT140" s="241">
        <f>ROW()-1</f>
        <v>139</v>
      </c>
    </row>
    <row r="141" spans="1:46" ht="63.75">
      <c r="A141" s="167">
        <v>229</v>
      </c>
      <c r="B141" s="167">
        <v>46120.426319444399</v>
      </c>
      <c r="C141" s="167">
        <v>46120.431423611102</v>
      </c>
      <c r="D141" s="4" t="s">
        <v>662</v>
      </c>
      <c r="E141" s="1"/>
      <c r="F141" s="1" t="s">
        <v>419</v>
      </c>
      <c r="G141" s="1" t="s">
        <v>1458</v>
      </c>
      <c r="H141" s="1" t="s">
        <v>1458</v>
      </c>
      <c r="I141" s="1" t="s">
        <v>1458</v>
      </c>
      <c r="J141" s="1" t="s">
        <v>1458</v>
      </c>
      <c r="K141" s="1" t="s">
        <v>1458</v>
      </c>
      <c r="L141" s="1"/>
      <c r="M141" s="1"/>
      <c r="N141" s="1"/>
      <c r="O141" s="1" t="str">
        <f>_xlfn.CONCAT(OfficeForms.Table3[[#This Row],[القطاع الغربي (Western Sector)]:[القطاع فرسان (Farasan Sector)]])</f>
        <v/>
      </c>
      <c r="P141" s="5">
        <v>46120</v>
      </c>
      <c r="Q141" s="5">
        <v>45861</v>
      </c>
      <c r="R141" s="6" t="s">
        <v>1507</v>
      </c>
      <c r="S141" s="15" t="s">
        <v>1691</v>
      </c>
      <c r="T141" s="1">
        <v>27</v>
      </c>
      <c r="U141" s="8" t="s">
        <v>418</v>
      </c>
      <c r="V141" s="9" t="s">
        <v>1692</v>
      </c>
      <c r="W141" s="8" t="s">
        <v>1693</v>
      </c>
      <c r="X141" s="10" t="s">
        <v>1694</v>
      </c>
      <c r="Y141" s="9" t="s">
        <v>1695</v>
      </c>
      <c r="Z141" s="13"/>
      <c r="AA141" s="13" t="s">
        <v>1696</v>
      </c>
      <c r="AB141" s="13"/>
      <c r="AC141" s="13"/>
      <c r="AD141" s="4" t="s">
        <v>642</v>
      </c>
      <c r="AE141" s="4"/>
      <c r="AF141" s="167"/>
      <c r="AG141" s="12" t="s">
        <v>1697</v>
      </c>
      <c r="AH141" s="13"/>
      <c r="AI141" s="239">
        <v>46121</v>
      </c>
      <c r="AJ141" s="242" t="s">
        <v>1512</v>
      </c>
      <c r="AK141" s="245" t="str">
        <f t="shared" si="2"/>
        <v>✅ ملتزم</v>
      </c>
      <c r="AL141" s="251"/>
      <c r="AM141" s="241" t="s">
        <v>1467</v>
      </c>
      <c r="AN141" s="258" t="s">
        <v>1479</v>
      </c>
      <c r="AO141" s="252"/>
      <c r="AR141" s="241" t="s">
        <v>61</v>
      </c>
      <c r="AS141" s="241" t="str">
        <f>IF(AR141="","",IF(ISNUMBER(SEARCH("جازان",AR141)),"مستشفى جازان العام",IF(ISNUMBER(SEARCH("صبيا",AR141)),"مستشفى صبيا العام",IF(ISNUMBER(SEARCH("عريش",AR141)),"مستشفى أبو عريش العام",IF(ISNUMBER(SEARCH("صامط",AR141)),"مستشفى صامطة العام",IF(ISNUMBER(SEARCH("بيش",AR141)),"مستشفى بيش العام",IF(ISNUMBER(SEARCH("فهد",AR141)),"مستشفى الملك فهد المركزي",AR141)))))))</f>
        <v>مستشفى أبو عريش العام</v>
      </c>
      <c r="AT141" s="241">
        <f>ROW()-1</f>
        <v>140</v>
      </c>
    </row>
    <row r="142" spans="1:46" ht="39">
      <c r="A142" s="167">
        <v>230</v>
      </c>
      <c r="B142" s="167">
        <v>46120.434201388904</v>
      </c>
      <c r="C142" s="167">
        <v>46120.435983796298</v>
      </c>
      <c r="D142" s="4" t="s">
        <v>662</v>
      </c>
      <c r="E142" s="1"/>
      <c r="F142" s="1" t="s">
        <v>365</v>
      </c>
      <c r="G142" s="1" t="s">
        <v>1458</v>
      </c>
      <c r="H142" s="1" t="s">
        <v>1458</v>
      </c>
      <c r="I142" s="1" t="s">
        <v>1458</v>
      </c>
      <c r="J142" s="1" t="s">
        <v>1458</v>
      </c>
      <c r="K142" s="1" t="s">
        <v>1470</v>
      </c>
      <c r="L142" s="1"/>
      <c r="M142" s="1"/>
      <c r="N142" s="1"/>
      <c r="O142" s="1" t="str">
        <f>_xlfn.CONCAT(OfficeForms.Table3[[#This Row],[القطاع الغربي (Western Sector)]:[القطاع فرسان (Farasan Sector)]])</f>
        <v>مركز الشاطىء (Al-Shati Center)</v>
      </c>
      <c r="P142" s="5">
        <v>46120</v>
      </c>
      <c r="Q142" s="5">
        <v>46023</v>
      </c>
      <c r="R142" s="6" t="s">
        <v>1698</v>
      </c>
      <c r="S142" s="7">
        <v>46244</v>
      </c>
      <c r="T142" s="1">
        <v>28</v>
      </c>
      <c r="U142" s="8" t="s">
        <v>420</v>
      </c>
      <c r="V142" s="9" t="s">
        <v>1699</v>
      </c>
      <c r="W142" s="8" t="s">
        <v>1700</v>
      </c>
      <c r="X142" s="10" t="s">
        <v>668</v>
      </c>
      <c r="Y142" s="9" t="s">
        <v>1701</v>
      </c>
      <c r="Z142" s="13" t="s">
        <v>1528</v>
      </c>
      <c r="AA142" s="13"/>
      <c r="AB142" s="13"/>
      <c r="AC142" s="13"/>
      <c r="AD142" s="4" t="s">
        <v>642</v>
      </c>
      <c r="AE142" s="4"/>
      <c r="AF142" s="167"/>
      <c r="AG142" s="12" t="s">
        <v>643</v>
      </c>
      <c r="AH142" s="13"/>
      <c r="AI142" s="239">
        <v>46141</v>
      </c>
      <c r="AJ142" s="242"/>
      <c r="AK142" s="245" t="str">
        <f t="shared" si="2"/>
        <v>❌ غير ملتزم</v>
      </c>
      <c r="AL142" s="251"/>
      <c r="AM142" s="241" t="s">
        <v>1467</v>
      </c>
      <c r="AN142" s="258" t="s">
        <v>1401</v>
      </c>
      <c r="AO142" s="252"/>
      <c r="AR142" s="241" t="s">
        <v>1467</v>
      </c>
      <c r="AS142" s="241" t="str">
        <f>IF(AR142="","",IF(ISNUMBER(SEARCH("جازان",AR142)),"مستشفى جازان العام",IF(ISNUMBER(SEARCH("صبيا",AR142)),"مستشفى صبيا العام",IF(ISNUMBER(SEARCH("عريش",AR142)),"مستشفى أبو عريش العام",IF(ISNUMBER(SEARCH("صامط",AR142)),"مستشفى صامطة العام",IF(ISNUMBER(SEARCH("بيش",AR142)),"مستشفى بيش العام",IF(ISNUMBER(SEARCH("فهد",AR142)),"مستشفى الملك فهد المركزي",AR142)))))))</f>
        <v>مستشفى جازان العام</v>
      </c>
      <c r="AT142" s="241">
        <f>ROW()-1</f>
        <v>141</v>
      </c>
    </row>
    <row r="143" spans="1:46" ht="102">
      <c r="A143" s="167">
        <v>231</v>
      </c>
      <c r="B143" s="167">
        <v>46120.486643518503</v>
      </c>
      <c r="C143" s="167">
        <v>46120.489120370403</v>
      </c>
      <c r="D143" s="4" t="s">
        <v>662</v>
      </c>
      <c r="E143" s="1"/>
      <c r="F143" s="1" t="s">
        <v>365</v>
      </c>
      <c r="G143" s="1" t="s">
        <v>1458</v>
      </c>
      <c r="H143" s="1" t="s">
        <v>1458</v>
      </c>
      <c r="I143" s="1" t="s">
        <v>1458</v>
      </c>
      <c r="J143" s="1" t="s">
        <v>1458</v>
      </c>
      <c r="K143" s="1" t="s">
        <v>1674</v>
      </c>
      <c r="L143" s="1"/>
      <c r="M143" s="1"/>
      <c r="N143" s="1"/>
      <c r="O143" s="1" t="str">
        <f>_xlfn.CONCAT(OfficeForms.Table3[[#This Row],[القطاع الغربي (Western Sector)]:[القطاع فرسان (Farasan Sector)]])</f>
        <v>مركز مخطط 6 (Mukhattat 6 Center)</v>
      </c>
      <c r="P143" s="5">
        <v>46120</v>
      </c>
      <c r="Q143" s="5">
        <v>45933</v>
      </c>
      <c r="R143" s="6" t="s">
        <v>1702</v>
      </c>
      <c r="S143" s="7">
        <v>32633</v>
      </c>
      <c r="T143" s="1">
        <v>36</v>
      </c>
      <c r="U143" s="8" t="s">
        <v>421</v>
      </c>
      <c r="V143" s="9" t="s">
        <v>1703</v>
      </c>
      <c r="W143" s="8" t="s">
        <v>875</v>
      </c>
      <c r="X143" s="10" t="s">
        <v>876</v>
      </c>
      <c r="Y143" s="9" t="s">
        <v>1704</v>
      </c>
      <c r="Z143" s="13" t="s">
        <v>1705</v>
      </c>
      <c r="AA143" s="13" t="s">
        <v>1706</v>
      </c>
      <c r="AB143" s="13"/>
      <c r="AC143" s="13"/>
      <c r="AD143" s="4"/>
      <c r="AE143" s="4" t="s">
        <v>680</v>
      </c>
      <c r="AF143" s="167" t="s">
        <v>680</v>
      </c>
      <c r="AG143" s="12" t="s">
        <v>879</v>
      </c>
      <c r="AH143" s="13"/>
      <c r="AI143" s="239">
        <v>46121</v>
      </c>
      <c r="AJ143" s="242" t="s">
        <v>1478</v>
      </c>
      <c r="AK143" s="245" t="str">
        <f t="shared" si="2"/>
        <v>✅ ملتزم</v>
      </c>
      <c r="AL143" s="251"/>
      <c r="AM143" s="241" t="s">
        <v>1467</v>
      </c>
      <c r="AN143" s="258"/>
      <c r="AO143" s="252"/>
      <c r="AR143" s="241" t="s">
        <v>1467</v>
      </c>
      <c r="AS143" s="241" t="str">
        <f>IF(AR143="","",IF(ISNUMBER(SEARCH("جازان",AR143)),"مستشفى جازان العام",IF(ISNUMBER(SEARCH("صبيا",AR143)),"مستشفى صبيا العام",IF(ISNUMBER(SEARCH("عريش",AR143)),"مستشفى أبو عريش العام",IF(ISNUMBER(SEARCH("صامط",AR143)),"مستشفى صامطة العام",IF(ISNUMBER(SEARCH("بيش",AR143)),"مستشفى بيش العام",IF(ISNUMBER(SEARCH("فهد",AR143)),"مستشفى الملك فهد المركزي",AR143)))))))</f>
        <v>مستشفى جازان العام</v>
      </c>
      <c r="AT143" s="241">
        <f>ROW()-1</f>
        <v>142</v>
      </c>
    </row>
    <row r="144" spans="1:46" ht="39">
      <c r="A144" s="1">
        <v>233</v>
      </c>
      <c r="B144" s="1">
        <v>46121.361307870371</v>
      </c>
      <c r="C144" s="1">
        <v>46121.380011574074</v>
      </c>
      <c r="D144" s="1" t="s">
        <v>636</v>
      </c>
      <c r="E144" s="1"/>
      <c r="F144" s="1" t="s">
        <v>423</v>
      </c>
      <c r="G144" s="1"/>
      <c r="H144" s="1"/>
      <c r="I144" s="1"/>
      <c r="J144" s="1"/>
      <c r="K144" s="1"/>
      <c r="L144" s="1"/>
      <c r="M144" s="1" t="s">
        <v>1707</v>
      </c>
      <c r="N144" s="1"/>
      <c r="O144" s="1" t="str">
        <f>_xlfn.CONCAT(OfficeForms.Table3[[#This Row],[القطاع الغربي (Western Sector)]:[القطاع فرسان (Farasan Sector)]])</f>
        <v>مركز الجانبة (Al-Janabah Center)</v>
      </c>
      <c r="P144" s="2">
        <v>46121</v>
      </c>
      <c r="Q144" s="2">
        <v>46032</v>
      </c>
      <c r="R144" s="21" t="s">
        <v>1667</v>
      </c>
      <c r="S144" s="3" t="s">
        <v>1708</v>
      </c>
      <c r="T144" s="21" t="s">
        <v>1191</v>
      </c>
      <c r="U144" s="1" t="s">
        <v>422</v>
      </c>
      <c r="V144" s="21" t="s">
        <v>1709</v>
      </c>
      <c r="W144" s="1" t="s">
        <v>1710</v>
      </c>
      <c r="X144" s="10" t="s">
        <v>1694</v>
      </c>
      <c r="Y144" s="21" t="s">
        <v>1711</v>
      </c>
      <c r="Z144" s="1" t="s">
        <v>1528</v>
      </c>
      <c r="AA144" s="1"/>
      <c r="AB144" s="1"/>
      <c r="AC144" s="21" t="s">
        <v>1005</v>
      </c>
      <c r="AD144" s="1" t="s">
        <v>642</v>
      </c>
      <c r="AE144" s="1"/>
      <c r="AF144" s="1"/>
      <c r="AG144" s="4" t="s">
        <v>1712</v>
      </c>
      <c r="AH144" s="10" t="s">
        <v>1590</v>
      </c>
      <c r="AI144" s="239">
        <v>46132</v>
      </c>
      <c r="AJ144" s="242" t="s">
        <v>1478</v>
      </c>
      <c r="AK144" s="245" t="str">
        <f t="shared" si="2"/>
        <v>❌ غير ملتزم</v>
      </c>
      <c r="AL144" s="251"/>
      <c r="AM144" s="241" t="s">
        <v>1467</v>
      </c>
      <c r="AN144" s="258" t="s">
        <v>1479</v>
      </c>
      <c r="AO144" s="252"/>
      <c r="AR144" s="241" t="s">
        <v>61</v>
      </c>
      <c r="AS144" s="241" t="str">
        <f>IF(AR144="","",IF(ISNUMBER(SEARCH("جازان",AR144)),"مستشفى جازان العام",IF(ISNUMBER(SEARCH("صبيا",AR144)),"مستشفى صبيا العام",IF(ISNUMBER(SEARCH("عريش",AR144)),"مستشفى أبو عريش العام",IF(ISNUMBER(SEARCH("صامط",AR144)),"مستشفى صامطة العام",IF(ISNUMBER(SEARCH("بيش",AR144)),"مستشفى بيش العام",IF(ISNUMBER(SEARCH("فهد",AR144)),"مستشفى الملك فهد المركزي",AR144)))))))</f>
        <v>مستشفى أبو عريش العام</v>
      </c>
      <c r="AT144" s="241">
        <f>ROW()-1</f>
        <v>143</v>
      </c>
    </row>
    <row r="145" spans="1:46" ht="102">
      <c r="A145" s="1">
        <v>235</v>
      </c>
      <c r="B145" s="1">
        <v>46121.408425925925</v>
      </c>
      <c r="C145" s="1">
        <v>46121.411203703705</v>
      </c>
      <c r="D145" s="1" t="s">
        <v>636</v>
      </c>
      <c r="E145" s="1"/>
      <c r="F145" s="1" t="s">
        <v>425</v>
      </c>
      <c r="G145" s="1"/>
      <c r="H145" s="1"/>
      <c r="I145" s="1" t="s">
        <v>1568</v>
      </c>
      <c r="J145" s="1"/>
      <c r="K145" s="1"/>
      <c r="L145" s="1"/>
      <c r="M145" s="1"/>
      <c r="N145" s="1"/>
      <c r="O145" s="1" t="str">
        <f>_xlfn.CONCAT(OfficeForms.Table3[[#This Row],[القطاع الغربي (Western Sector)]:[القطاع فرسان (Farasan Sector)]])</f>
        <v>مركز الأساملة (Al-Asamalah Center)</v>
      </c>
      <c r="P145" s="2">
        <v>46121</v>
      </c>
      <c r="Q145" s="2">
        <v>46075</v>
      </c>
      <c r="R145" s="1" t="s">
        <v>1713</v>
      </c>
      <c r="S145" s="3" t="s">
        <v>1714</v>
      </c>
      <c r="T145" s="21" t="s">
        <v>1715</v>
      </c>
      <c r="U145" s="1" t="s">
        <v>424</v>
      </c>
      <c r="V145" s="21" t="s">
        <v>1716</v>
      </c>
      <c r="W145" s="1" t="s">
        <v>1717</v>
      </c>
      <c r="X145" s="10" t="s">
        <v>1572</v>
      </c>
      <c r="Y145" s="21" t="s">
        <v>1718</v>
      </c>
      <c r="Z145" s="1"/>
      <c r="AA145" s="1" t="s">
        <v>1510</v>
      </c>
      <c r="AB145" s="1"/>
      <c r="AC145" s="1"/>
      <c r="AD145" s="1" t="s">
        <v>642</v>
      </c>
      <c r="AE145" s="1"/>
      <c r="AF145" s="1"/>
      <c r="AG145" s="4" t="s">
        <v>1576</v>
      </c>
      <c r="AH145" s="13"/>
      <c r="AI145" s="239">
        <v>46126</v>
      </c>
      <c r="AJ145" s="242" t="s">
        <v>1478</v>
      </c>
      <c r="AK145" s="245" t="str">
        <f t="shared" si="2"/>
        <v>❌ غير ملتزم</v>
      </c>
      <c r="AL145" s="251"/>
      <c r="AM145" s="241" t="s">
        <v>1467</v>
      </c>
      <c r="AN145" s="258" t="s">
        <v>1479</v>
      </c>
      <c r="AO145" s="252"/>
      <c r="AQ145" s="241" t="s">
        <v>1505</v>
      </c>
      <c r="AR145" s="241" t="s">
        <v>1467</v>
      </c>
      <c r="AS145" s="241" t="str">
        <f>IF(AR145="","",IF(ISNUMBER(SEARCH("جازان",AR145)),"مستشفى جازان العام",IF(ISNUMBER(SEARCH("صبيا",AR145)),"مستشفى صبيا العام",IF(ISNUMBER(SEARCH("عريش",AR145)),"مستشفى أبو عريش العام",IF(ISNUMBER(SEARCH("صامط",AR145)),"مستشفى صامطة العام",IF(ISNUMBER(SEARCH("بيش",AR145)),"مستشفى بيش العام",IF(ISNUMBER(SEARCH("فهد",AR145)),"مستشفى الملك فهد المركزي",AR145)))))))</f>
        <v>مستشفى جازان العام</v>
      </c>
      <c r="AT145" s="241">
        <f>ROW()-1</f>
        <v>144</v>
      </c>
    </row>
    <row r="146" spans="1:46" ht="63.75">
      <c r="A146" s="1">
        <v>237</v>
      </c>
      <c r="B146" s="1">
        <v>46121.517048611102</v>
      </c>
      <c r="C146" s="1">
        <v>46121.520555555602</v>
      </c>
      <c r="D146" s="1" t="s">
        <v>662</v>
      </c>
      <c r="E146" s="1"/>
      <c r="F146" s="1" t="s">
        <v>427</v>
      </c>
      <c r="G146" s="1" t="s">
        <v>1659</v>
      </c>
      <c r="H146" s="1"/>
      <c r="I146" s="1"/>
      <c r="J146" s="1"/>
      <c r="K146" s="1"/>
      <c r="L146" s="1"/>
      <c r="M146" s="1"/>
      <c r="N146" s="1"/>
      <c r="O146" s="1" t="str">
        <f>_xlfn.CONCAT(OfficeForms.Table3[[#This Row],[القطاع الغربي (Western Sector)]:[القطاع فرسان (Farasan Sector)]])</f>
        <v>مركز الصهاليل (Al-Sahalil Center)</v>
      </c>
      <c r="P146" s="2">
        <v>46121</v>
      </c>
      <c r="Q146" s="2">
        <v>45961</v>
      </c>
      <c r="R146" s="21" t="s">
        <v>1719</v>
      </c>
      <c r="S146" s="3" t="s">
        <v>1720</v>
      </c>
      <c r="T146" s="21" t="s">
        <v>1565</v>
      </c>
      <c r="U146" s="1" t="s">
        <v>426</v>
      </c>
      <c r="V146" s="21" t="s">
        <v>1721</v>
      </c>
      <c r="W146" s="1" t="s">
        <v>1663</v>
      </c>
      <c r="X146" s="10" t="s">
        <v>808</v>
      </c>
      <c r="Y146" s="10" t="s">
        <v>1722</v>
      </c>
      <c r="Z146" s="13" t="s">
        <v>1723</v>
      </c>
      <c r="AA146" s="13" t="s">
        <v>1494</v>
      </c>
      <c r="AB146" s="13"/>
      <c r="AC146" s="13"/>
      <c r="AD146" s="13" t="s">
        <v>642</v>
      </c>
      <c r="AE146" s="13"/>
      <c r="AF146" s="1"/>
      <c r="AG146" s="4" t="s">
        <v>810</v>
      </c>
      <c r="AH146" s="13"/>
      <c r="AI146" s="239">
        <v>46128</v>
      </c>
      <c r="AJ146" s="242" t="s">
        <v>1548</v>
      </c>
      <c r="AK146" s="245" t="str">
        <f t="shared" si="2"/>
        <v>❌ غير ملتزم</v>
      </c>
      <c r="AL146" s="251"/>
      <c r="AM146" s="241" t="s">
        <v>1467</v>
      </c>
      <c r="AN146" s="258" t="s">
        <v>1468</v>
      </c>
      <c r="AO146" s="252"/>
      <c r="AR146" s="241" t="s">
        <v>57</v>
      </c>
      <c r="AS146" s="241" t="str">
        <f>IF(AR146="","",IF(ISNUMBER(SEARCH("جازان",AR146)),"مستشفى جازان العام",IF(ISNUMBER(SEARCH("صبيا",AR146)),"مستشفى صبيا العام",IF(ISNUMBER(SEARCH("عريش",AR146)),"مستشفى أبو عريش العام",IF(ISNUMBER(SEARCH("صامط",AR146)),"مستشفى صامطة العام",IF(ISNUMBER(SEARCH("بيش",AR146)),"مستشفى بيش العام",IF(ISNUMBER(SEARCH("فهد",AR146)),"مستشفى الملك فهد المركزي",AR146)))))))</f>
        <v>مستشفى صبيا العام</v>
      </c>
      <c r="AT146" s="241">
        <f>ROW()-1</f>
        <v>145</v>
      </c>
    </row>
    <row r="147" spans="1:46" ht="39">
      <c r="A147" s="1">
        <v>240</v>
      </c>
      <c r="B147" s="1">
        <v>46124.35125</v>
      </c>
      <c r="C147" s="1">
        <v>46124.355509259301</v>
      </c>
      <c r="D147" s="1" t="s">
        <v>662</v>
      </c>
      <c r="E147" s="1"/>
      <c r="F147" s="1" t="s">
        <v>365</v>
      </c>
      <c r="G147" s="1"/>
      <c r="H147" s="1"/>
      <c r="I147" s="1"/>
      <c r="J147" s="1"/>
      <c r="K147" s="1" t="s">
        <v>1724</v>
      </c>
      <c r="L147" s="1"/>
      <c r="M147" s="1"/>
      <c r="N147" s="1"/>
      <c r="O147" s="1" t="str">
        <f>_xlfn.CONCAT(OfficeForms.Table3[[#This Row],[القطاع الغربي (Western Sector)]:[القطاع فرسان (Farasan Sector)]])</f>
        <v>مركز العشوة (Sanbah Center)</v>
      </c>
      <c r="P147" s="2">
        <v>46124</v>
      </c>
      <c r="Q147" s="2">
        <v>46065</v>
      </c>
      <c r="R147" s="21" t="s">
        <v>924</v>
      </c>
      <c r="S147" s="3" t="s">
        <v>1725</v>
      </c>
      <c r="T147" s="21" t="s">
        <v>999</v>
      </c>
      <c r="U147" s="1" t="s">
        <v>429</v>
      </c>
      <c r="V147" s="21" t="s">
        <v>1726</v>
      </c>
      <c r="W147" s="1" t="s">
        <v>875</v>
      </c>
      <c r="X147" s="10" t="s">
        <v>1382</v>
      </c>
      <c r="Y147" s="10" t="s">
        <v>1727</v>
      </c>
      <c r="Z147" s="13" t="s">
        <v>1728</v>
      </c>
      <c r="AA147" s="13" t="s">
        <v>1729</v>
      </c>
      <c r="AB147" s="13"/>
      <c r="AC147" s="13"/>
      <c r="AD147" s="13" t="s">
        <v>642</v>
      </c>
      <c r="AE147" s="13"/>
      <c r="AF147" s="1"/>
      <c r="AG147" s="13" t="s">
        <v>1415</v>
      </c>
      <c r="AH147" s="13" t="s">
        <v>1730</v>
      </c>
      <c r="AI147" s="239">
        <v>46134</v>
      </c>
      <c r="AJ147" s="242" t="s">
        <v>1478</v>
      </c>
      <c r="AK147" s="245" t="str">
        <f t="shared" si="2"/>
        <v>❌ غير ملتزم</v>
      </c>
      <c r="AL147" s="251"/>
      <c r="AM147" s="241" t="s">
        <v>57</v>
      </c>
      <c r="AN147" s="258" t="s">
        <v>1401</v>
      </c>
      <c r="AO147" s="252"/>
      <c r="AR147" s="241" t="s">
        <v>1467</v>
      </c>
      <c r="AS147" s="241" t="str">
        <f>IF(AR147="","",IF(ISNUMBER(SEARCH("جازان",AR147)),"مستشفى جازان العام",IF(ISNUMBER(SEARCH("صبيا",AR147)),"مستشفى صبيا العام",IF(ISNUMBER(SEARCH("عريش",AR147)),"مستشفى أبو عريش العام",IF(ISNUMBER(SEARCH("صامط",AR147)),"مستشفى صامطة العام",IF(ISNUMBER(SEARCH("بيش",AR147)),"مستشفى بيش العام",IF(ISNUMBER(SEARCH("فهد",AR147)),"مستشفى الملك فهد المركزي",AR147)))))))</f>
        <v>مستشفى جازان العام</v>
      </c>
      <c r="AT147" s="241">
        <f>ROW()-1</f>
        <v>146</v>
      </c>
    </row>
    <row r="148" spans="1:46" ht="39">
      <c r="A148" s="1">
        <v>243</v>
      </c>
      <c r="B148" s="1">
        <v>46124.502164351899</v>
      </c>
      <c r="C148" s="1">
        <v>46124.507280092599</v>
      </c>
      <c r="D148" s="1" t="s">
        <v>662</v>
      </c>
      <c r="E148" s="1"/>
      <c r="F148" s="1" t="s">
        <v>431</v>
      </c>
      <c r="G148" s="1"/>
      <c r="H148" s="1"/>
      <c r="I148" s="1"/>
      <c r="J148" s="1"/>
      <c r="K148" s="1" t="s">
        <v>1731</v>
      </c>
      <c r="L148" s="1"/>
      <c r="M148" s="1"/>
      <c r="N148" s="1"/>
      <c r="O148" s="1" t="str">
        <f>_xlfn.CONCAT(OfficeForms.Table3[[#This Row],[القطاع الغربي (Western Sector)]:[القطاع فرسان (Farasan Sector)]])</f>
        <v>مركز المطار (Al-Matar Center)</v>
      </c>
      <c r="P148" s="2">
        <v>46124</v>
      </c>
      <c r="Q148" s="2">
        <v>46255</v>
      </c>
      <c r="R148" s="21" t="s">
        <v>1243</v>
      </c>
      <c r="S148" s="3">
        <v>46209</v>
      </c>
      <c r="T148" s="21" t="s">
        <v>1565</v>
      </c>
      <c r="U148" s="1" t="s">
        <v>430</v>
      </c>
      <c r="V148" s="21" t="s">
        <v>1732</v>
      </c>
      <c r="W148" s="1" t="s">
        <v>1733</v>
      </c>
      <c r="X148" s="1" t="s">
        <v>1734</v>
      </c>
      <c r="Y148" s="10" t="s">
        <v>1735</v>
      </c>
      <c r="Z148" s="13"/>
      <c r="AA148" s="13" t="s">
        <v>1729</v>
      </c>
      <c r="AB148" s="13"/>
      <c r="AC148" s="13"/>
      <c r="AD148" s="13" t="s">
        <v>642</v>
      </c>
      <c r="AE148" s="13"/>
      <c r="AF148" s="1"/>
      <c r="AG148" s="13" t="s">
        <v>1734</v>
      </c>
      <c r="AH148" s="13"/>
      <c r="AI148" s="239">
        <v>46134</v>
      </c>
      <c r="AJ148" s="242" t="s">
        <v>1478</v>
      </c>
      <c r="AK148" s="245" t="str">
        <f t="shared" si="2"/>
        <v>❌ غير ملتزم</v>
      </c>
      <c r="AL148" s="251"/>
      <c r="AM148" s="241" t="s">
        <v>57</v>
      </c>
      <c r="AN148" s="258" t="s">
        <v>1479</v>
      </c>
      <c r="AO148" s="252"/>
      <c r="AR148" s="241" t="s">
        <v>1467</v>
      </c>
      <c r="AS148" s="241" t="str">
        <f>IF(AR148="","",IF(ISNUMBER(SEARCH("جازان",AR148)),"مستشفى جازان العام",IF(ISNUMBER(SEARCH("صبيا",AR148)),"مستشفى صبيا العام",IF(ISNUMBER(SEARCH("عريش",AR148)),"مستشفى أبو عريش العام",IF(ISNUMBER(SEARCH("صامط",AR148)),"مستشفى صامطة العام",IF(ISNUMBER(SEARCH("بيش",AR148)),"مستشفى بيش العام",IF(ISNUMBER(SEARCH("فهد",AR148)),"مستشفى الملك فهد المركزي",AR148)))))))</f>
        <v>مستشفى جازان العام</v>
      </c>
      <c r="AT148" s="241">
        <f>ROW()-1</f>
        <v>147</v>
      </c>
    </row>
    <row r="149" spans="1:46" ht="89.25">
      <c r="A149" s="1">
        <v>244</v>
      </c>
      <c r="B149" s="1">
        <v>46124.520868055602</v>
      </c>
      <c r="C149" s="1">
        <v>46124.524212962999</v>
      </c>
      <c r="D149" s="1" t="s">
        <v>662</v>
      </c>
      <c r="E149" s="1"/>
      <c r="F149" s="1" t="s">
        <v>431</v>
      </c>
      <c r="G149" s="1"/>
      <c r="H149" s="1"/>
      <c r="I149" s="1"/>
      <c r="J149" s="1"/>
      <c r="K149" s="1" t="s">
        <v>1470</v>
      </c>
      <c r="L149" s="1"/>
      <c r="M149" s="1"/>
      <c r="N149" s="1"/>
      <c r="O149" s="1" t="str">
        <f>_xlfn.CONCAT(OfficeForms.Table3[[#This Row],[القطاع الغربي (Western Sector)]:[القطاع فرسان (Farasan Sector)]])</f>
        <v>مركز الشاطىء (Al-Shati Center)</v>
      </c>
      <c r="P149" s="2">
        <v>46124</v>
      </c>
      <c r="Q149" s="2">
        <v>45921</v>
      </c>
      <c r="R149" s="21" t="s">
        <v>1524</v>
      </c>
      <c r="S149" s="3" t="s">
        <v>1736</v>
      </c>
      <c r="T149" s="21" t="s">
        <v>1737</v>
      </c>
      <c r="U149" s="1" t="s">
        <v>432</v>
      </c>
      <c r="V149" s="21" t="s">
        <v>1738</v>
      </c>
      <c r="W149" s="1" t="s">
        <v>1739</v>
      </c>
      <c r="X149" s="21" t="s">
        <v>668</v>
      </c>
      <c r="Y149" s="10" t="s">
        <v>1740</v>
      </c>
      <c r="Z149" s="13" t="s">
        <v>1741</v>
      </c>
      <c r="AA149" s="13"/>
      <c r="AB149" s="13"/>
      <c r="AC149" s="13"/>
      <c r="AD149" s="13" t="s">
        <v>642</v>
      </c>
      <c r="AE149" s="13"/>
      <c r="AF149" s="1"/>
      <c r="AG149" s="13" t="s">
        <v>643</v>
      </c>
      <c r="AH149" s="13"/>
      <c r="AI149" s="239">
        <v>46133</v>
      </c>
      <c r="AJ149" s="242" t="s">
        <v>1478</v>
      </c>
      <c r="AK149" s="245" t="str">
        <f t="shared" si="2"/>
        <v>❌ غير ملتزم</v>
      </c>
      <c r="AL149" s="251"/>
      <c r="AM149" s="241" t="s">
        <v>1467</v>
      </c>
      <c r="AN149" s="258" t="s">
        <v>1479</v>
      </c>
      <c r="AO149" s="252"/>
      <c r="AR149" s="241" t="s">
        <v>65</v>
      </c>
      <c r="AS149" s="241" t="str">
        <f>IF(AR149="","",IF(ISNUMBER(SEARCH("جازان",AR149)),"مستشفى جازان العام",IF(ISNUMBER(SEARCH("صبيا",AR149)),"مستشفى صبيا العام",IF(ISNUMBER(SEARCH("عريش",AR149)),"مستشفى أبو عريش العام",IF(ISNUMBER(SEARCH("صامط",AR149)),"مستشفى صامطة العام",IF(ISNUMBER(SEARCH("بيش",AR149)),"مستشفى بيش العام",IF(ISNUMBER(SEARCH("فهد",AR149)),"مستشفى الملك فهد المركزي",AR149)))))))</f>
        <v>مستشفى صامطة العام</v>
      </c>
      <c r="AT149" s="241">
        <f>ROW()-1</f>
        <v>148</v>
      </c>
    </row>
    <row r="150" spans="1:46" ht="39">
      <c r="A150" s="1">
        <v>245</v>
      </c>
      <c r="B150" s="1">
        <v>46124.549375000002</v>
      </c>
      <c r="C150" s="1">
        <v>46124.5546875</v>
      </c>
      <c r="D150" s="1" t="s">
        <v>662</v>
      </c>
      <c r="E150" s="1"/>
      <c r="F150" s="1" t="s">
        <v>431</v>
      </c>
      <c r="G150" s="1"/>
      <c r="H150" s="1"/>
      <c r="I150" s="1"/>
      <c r="J150" s="1"/>
      <c r="K150" s="1" t="s">
        <v>1470</v>
      </c>
      <c r="L150" s="1"/>
      <c r="M150" s="1"/>
      <c r="N150" s="1"/>
      <c r="O150" s="1" t="str">
        <f>_xlfn.CONCAT(OfficeForms.Table3[[#This Row],[القطاع الغربي (Western Sector)]:[القطاع فرسان (Farasan Sector)]])</f>
        <v>مركز الشاطىء (Al-Shati Center)</v>
      </c>
      <c r="P150" s="2">
        <v>46124</v>
      </c>
      <c r="Q150" s="2">
        <v>45917</v>
      </c>
      <c r="R150" s="21" t="s">
        <v>1524</v>
      </c>
      <c r="S150" s="3" t="s">
        <v>1742</v>
      </c>
      <c r="T150" s="21" t="s">
        <v>1095</v>
      </c>
      <c r="U150" s="1" t="s">
        <v>433</v>
      </c>
      <c r="V150" s="21" t="s">
        <v>1743</v>
      </c>
      <c r="W150" s="1" t="s">
        <v>1147</v>
      </c>
      <c r="X150" s="21" t="s">
        <v>668</v>
      </c>
      <c r="Y150" s="10" t="s">
        <v>1744</v>
      </c>
      <c r="Z150" s="13" t="s">
        <v>1745</v>
      </c>
      <c r="AA150" s="13"/>
      <c r="AB150" s="13"/>
      <c r="AC150" s="13"/>
      <c r="AD150" s="13" t="s">
        <v>642</v>
      </c>
      <c r="AE150" s="13"/>
      <c r="AF150" s="1"/>
      <c r="AG150" s="13" t="s">
        <v>1746</v>
      </c>
      <c r="AH150" s="13"/>
      <c r="AI150" s="239">
        <v>46134</v>
      </c>
      <c r="AJ150" s="242" t="s">
        <v>1478</v>
      </c>
      <c r="AK150" s="245" t="str">
        <f t="shared" si="2"/>
        <v>❌ غير ملتزم</v>
      </c>
      <c r="AL150" s="251"/>
      <c r="AM150" s="241" t="s">
        <v>61</v>
      </c>
      <c r="AN150" s="258" t="s">
        <v>1479</v>
      </c>
      <c r="AO150" s="252"/>
      <c r="AR150" s="241" t="s">
        <v>1467</v>
      </c>
      <c r="AS150" s="241" t="str">
        <f>IF(AR150="","",IF(ISNUMBER(SEARCH("جازان",AR150)),"مستشفى جازان العام",IF(ISNUMBER(SEARCH("صبيا",AR150)),"مستشفى صبيا العام",IF(ISNUMBER(SEARCH("عريش",AR150)),"مستشفى أبو عريش العام",IF(ISNUMBER(SEARCH("صامط",AR150)),"مستشفى صامطة العام",IF(ISNUMBER(SEARCH("بيش",AR150)),"مستشفى بيش العام",IF(ISNUMBER(SEARCH("فهد",AR150)),"مستشفى الملك فهد المركزي",AR150)))))))</f>
        <v>مستشفى جازان العام</v>
      </c>
      <c r="AT150" s="241">
        <f>ROW()-1</f>
        <v>149</v>
      </c>
    </row>
    <row r="151" spans="1:46" ht="39">
      <c r="A151" s="1">
        <v>247</v>
      </c>
      <c r="B151" s="1">
        <v>46124.573865740698</v>
      </c>
      <c r="C151" s="1">
        <v>46124.577731481499</v>
      </c>
      <c r="D151" s="1" t="s">
        <v>662</v>
      </c>
      <c r="E151" s="1"/>
      <c r="F151" s="1" t="s">
        <v>435</v>
      </c>
      <c r="G151" s="1"/>
      <c r="H151" s="1" t="s">
        <v>1747</v>
      </c>
      <c r="I151" s="1"/>
      <c r="J151" s="1"/>
      <c r="K151" s="1"/>
      <c r="L151" s="1"/>
      <c r="M151" s="1"/>
      <c r="N151" s="1"/>
      <c r="O151" s="1" t="str">
        <f>_xlfn.CONCAT(OfficeForms.Table3[[#This Row],[القطاع الغربي (Western Sector)]:[القطاع فرسان (Farasan Sector)]])</f>
        <v>مركز الدريعية (Al-Durayiyah Center)</v>
      </c>
      <c r="P151" s="2">
        <v>46124</v>
      </c>
      <c r="Q151" s="2">
        <v>46025</v>
      </c>
      <c r="R151" s="21" t="s">
        <v>1748</v>
      </c>
      <c r="S151" s="3" t="s">
        <v>1749</v>
      </c>
      <c r="T151" s="21" t="s">
        <v>1086</v>
      </c>
      <c r="U151" s="1" t="s">
        <v>434</v>
      </c>
      <c r="V151" s="21" t="s">
        <v>1750</v>
      </c>
      <c r="W151" s="1" t="s">
        <v>1751</v>
      </c>
      <c r="X151" s="21" t="s">
        <v>1137</v>
      </c>
      <c r="Y151" s="10" t="s">
        <v>1752</v>
      </c>
      <c r="Z151" s="13" t="s">
        <v>1528</v>
      </c>
      <c r="AA151" s="13"/>
      <c r="AB151" s="13"/>
      <c r="AC151" s="13" t="s">
        <v>693</v>
      </c>
      <c r="AD151" s="13" t="s">
        <v>642</v>
      </c>
      <c r="AE151" s="13"/>
      <c r="AF151" s="1"/>
      <c r="AG151" s="13" t="s">
        <v>1753</v>
      </c>
      <c r="AH151" s="13"/>
      <c r="AI151" s="239">
        <v>46131</v>
      </c>
      <c r="AJ151" s="242" t="s">
        <v>1478</v>
      </c>
      <c r="AK151" s="245" t="str">
        <f t="shared" si="2"/>
        <v>❌ غير ملتزم</v>
      </c>
      <c r="AL151" s="251"/>
      <c r="AM151" s="241" t="s">
        <v>65</v>
      </c>
      <c r="AN151" s="258" t="s">
        <v>1479</v>
      </c>
      <c r="AO151" s="252"/>
      <c r="AR151" s="241" t="s">
        <v>65</v>
      </c>
      <c r="AS151" s="241" t="str">
        <f>IF(AR151="","",IF(ISNUMBER(SEARCH("جازان",AR151)),"مستشفى جازان العام",IF(ISNUMBER(SEARCH("صبيا",AR151)),"مستشفى صبيا العام",IF(ISNUMBER(SEARCH("عريش",AR151)),"مستشفى أبو عريش العام",IF(ISNUMBER(SEARCH("صامط",AR151)),"مستشفى صامطة العام",IF(ISNUMBER(SEARCH("بيش",AR151)),"مستشفى بيش العام",IF(ISNUMBER(SEARCH("فهد",AR151)),"مستشفى الملك فهد المركزي",AR151)))))))</f>
        <v>مستشفى صامطة العام</v>
      </c>
      <c r="AT151" s="241">
        <f>ROW()-1</f>
        <v>150</v>
      </c>
    </row>
    <row r="152" spans="1:46" ht="102">
      <c r="A152" s="1">
        <v>248</v>
      </c>
      <c r="B152" s="1">
        <v>46124.605347222197</v>
      </c>
      <c r="C152" s="1">
        <v>46124.618680555599</v>
      </c>
      <c r="D152" s="1" t="s">
        <v>662</v>
      </c>
      <c r="E152" s="1"/>
      <c r="F152" s="1" t="s">
        <v>435</v>
      </c>
      <c r="G152" s="1"/>
      <c r="H152" s="1" t="s">
        <v>1754</v>
      </c>
      <c r="I152" s="1"/>
      <c r="J152" s="1"/>
      <c r="K152" s="1"/>
      <c r="L152" s="1"/>
      <c r="M152" s="1"/>
      <c r="N152" s="1"/>
      <c r="O152" s="1" t="str">
        <f>_xlfn.CONCAT(OfficeForms.Table3[[#This Row],[القطاع الغربي (Western Sector)]:[القطاع فرسان (Farasan Sector)]])</f>
        <v>مركز الخارش (Al-Kharsh Center)</v>
      </c>
      <c r="P152" s="2">
        <v>46124</v>
      </c>
      <c r="Q152" s="2">
        <v>45942</v>
      </c>
      <c r="R152" s="21" t="s">
        <v>1702</v>
      </c>
      <c r="S152" s="3" t="s">
        <v>1755</v>
      </c>
      <c r="T152" s="21" t="s">
        <v>1756</v>
      </c>
      <c r="U152" s="1" t="s">
        <v>437</v>
      </c>
      <c r="V152" s="21" t="s">
        <v>1757</v>
      </c>
      <c r="W152" s="1" t="s">
        <v>1758</v>
      </c>
      <c r="X152" s="21" t="s">
        <v>1314</v>
      </c>
      <c r="Y152" s="10" t="s">
        <v>1759</v>
      </c>
      <c r="Z152" s="13"/>
      <c r="AA152" s="13" t="s">
        <v>1760</v>
      </c>
      <c r="AB152" s="13"/>
      <c r="AC152" s="13"/>
      <c r="AD152" s="13" t="s">
        <v>642</v>
      </c>
      <c r="AE152" s="13"/>
      <c r="AF152" s="1"/>
      <c r="AG152" s="13" t="s">
        <v>1761</v>
      </c>
      <c r="AH152" s="13"/>
      <c r="AI152" s="239">
        <v>46140</v>
      </c>
      <c r="AJ152" s="242" t="s">
        <v>1478</v>
      </c>
      <c r="AK152" s="245" t="str">
        <f t="shared" si="2"/>
        <v>❌ غير ملتزم</v>
      </c>
      <c r="AL152" s="251"/>
      <c r="AM152" s="241" t="s">
        <v>61</v>
      </c>
      <c r="AN152" s="258" t="s">
        <v>1479</v>
      </c>
      <c r="AO152" s="252" t="s">
        <v>1762</v>
      </c>
      <c r="AR152" s="241" t="s">
        <v>65</v>
      </c>
      <c r="AS152" s="241" t="str">
        <f>IF(AR152="","",IF(ISNUMBER(SEARCH("جازان",AR152)),"مستشفى جازان العام",IF(ISNUMBER(SEARCH("صبيا",AR152)),"مستشفى صبيا العام",IF(ISNUMBER(SEARCH("عريش",AR152)),"مستشفى أبو عريش العام",IF(ISNUMBER(SEARCH("صامط",AR152)),"مستشفى صامطة العام",IF(ISNUMBER(SEARCH("بيش",AR152)),"مستشفى بيش العام",IF(ISNUMBER(SEARCH("فهد",AR152)),"مستشفى الملك فهد المركزي",AR152)))))))</f>
        <v>مستشفى صامطة العام</v>
      </c>
      <c r="AT152" s="241">
        <f>ROW()-1</f>
        <v>151</v>
      </c>
    </row>
    <row r="153" spans="1:46" ht="114.75">
      <c r="A153" s="1">
        <v>250</v>
      </c>
      <c r="B153" s="1">
        <v>46124.619629629597</v>
      </c>
      <c r="C153" s="1">
        <v>46124.624131944402</v>
      </c>
      <c r="D153" s="1" t="s">
        <v>662</v>
      </c>
      <c r="E153" s="1"/>
      <c r="F153" s="1" t="s">
        <v>431</v>
      </c>
      <c r="G153" s="1"/>
      <c r="H153" s="1"/>
      <c r="I153" s="1"/>
      <c r="J153" s="1"/>
      <c r="K153" s="1" t="s">
        <v>1763</v>
      </c>
      <c r="L153" s="1"/>
      <c r="M153" s="1"/>
      <c r="N153" s="1"/>
      <c r="O153" s="1" t="str">
        <f>_xlfn.CONCAT(OfficeForms.Table3[[#This Row],[القطاع الغربي (Western Sector)]:[القطاع فرسان (Farasan Sector)]])</f>
        <v>مركز مزهرة (Mazharah Center)</v>
      </c>
      <c r="P153" s="2">
        <v>46124</v>
      </c>
      <c r="Q153" s="2">
        <v>46008</v>
      </c>
      <c r="R153" s="21" t="s">
        <v>1045</v>
      </c>
      <c r="S153" s="3" t="s">
        <v>1340</v>
      </c>
      <c r="T153" s="21" t="s">
        <v>1764</v>
      </c>
      <c r="U153" s="1" t="s">
        <v>438</v>
      </c>
      <c r="V153" s="21" t="s">
        <v>1765</v>
      </c>
      <c r="W153" s="1" t="s">
        <v>1766</v>
      </c>
      <c r="X153" s="21" t="s">
        <v>702</v>
      </c>
      <c r="Y153" s="10" t="s">
        <v>1767</v>
      </c>
      <c r="Z153" s="13"/>
      <c r="AA153" s="13"/>
      <c r="AB153" s="13" t="s">
        <v>1768</v>
      </c>
      <c r="AC153" s="13"/>
      <c r="AD153" s="13" t="s">
        <v>642</v>
      </c>
      <c r="AE153" s="13"/>
      <c r="AF153" s="1"/>
      <c r="AG153" s="13" t="s">
        <v>862</v>
      </c>
      <c r="AH153" s="13"/>
      <c r="AI153" s="239">
        <v>46132</v>
      </c>
      <c r="AJ153" s="242" t="s">
        <v>1478</v>
      </c>
      <c r="AK153" s="245" t="str">
        <f t="shared" si="2"/>
        <v>❌ غير ملتزم</v>
      </c>
      <c r="AL153" s="251"/>
      <c r="AM153" s="241" t="s">
        <v>67</v>
      </c>
      <c r="AN153" s="258" t="s">
        <v>1479</v>
      </c>
      <c r="AO153" s="252"/>
      <c r="AR153" s="241" t="s">
        <v>65</v>
      </c>
      <c r="AS153" s="241" t="str">
        <f>IF(AR153="","",IF(ISNUMBER(SEARCH("جازان",AR153)),"مستشفى جازان العام",IF(ISNUMBER(SEARCH("صبيا",AR153)),"مستشفى صبيا العام",IF(ISNUMBER(SEARCH("عريش",AR153)),"مستشفى أبو عريش العام",IF(ISNUMBER(SEARCH("صامط",AR153)),"مستشفى صامطة العام",IF(ISNUMBER(SEARCH("بيش",AR153)),"مستشفى بيش العام",IF(ISNUMBER(SEARCH("فهد",AR153)),"مستشفى الملك فهد المركزي",AR153)))))))</f>
        <v>مستشفى صامطة العام</v>
      </c>
      <c r="AT153" s="241">
        <f>ROW()-1</f>
        <v>152</v>
      </c>
    </row>
    <row r="154" spans="1:46" ht="127.5">
      <c r="A154" s="1">
        <v>251</v>
      </c>
      <c r="B154" s="1">
        <v>46124.628449074102</v>
      </c>
      <c r="C154" s="1">
        <v>46124.635995370401</v>
      </c>
      <c r="D154" s="1" t="s">
        <v>662</v>
      </c>
      <c r="E154" s="1"/>
      <c r="F154" s="1" t="s">
        <v>435</v>
      </c>
      <c r="G154" s="1"/>
      <c r="H154" s="1" t="s">
        <v>1591</v>
      </c>
      <c r="I154" s="1"/>
      <c r="J154" s="1"/>
      <c r="K154" s="1"/>
      <c r="L154" s="1"/>
      <c r="M154" s="1"/>
      <c r="N154" s="1"/>
      <c r="O154" s="1" t="str">
        <f>_xlfn.CONCAT(OfficeForms.Table3[[#This Row],[القطاع الغربي (Western Sector)]:[القطاع فرسان (Farasan Sector)]])</f>
        <v>مركز الخوالف (Al-Khawalif Center)</v>
      </c>
      <c r="P154" s="2">
        <v>46124</v>
      </c>
      <c r="Q154" s="2">
        <v>45977</v>
      </c>
      <c r="R154" s="21" t="s">
        <v>1627</v>
      </c>
      <c r="S154" s="3" t="s">
        <v>1769</v>
      </c>
      <c r="T154" s="21" t="s">
        <v>1737</v>
      </c>
      <c r="U154" s="1" t="s">
        <v>439</v>
      </c>
      <c r="V154" s="21" t="s">
        <v>1770</v>
      </c>
      <c r="W154" s="1" t="s">
        <v>743</v>
      </c>
      <c r="X154" s="21" t="s">
        <v>1453</v>
      </c>
      <c r="Y154" s="10" t="s">
        <v>1771</v>
      </c>
      <c r="Z154" s="13" t="s">
        <v>1528</v>
      </c>
      <c r="AA154" s="13"/>
      <c r="AB154" s="13" t="s">
        <v>1772</v>
      </c>
      <c r="AC154" s="13"/>
      <c r="AD154" s="13" t="s">
        <v>642</v>
      </c>
      <c r="AE154" s="13"/>
      <c r="AF154" s="1"/>
      <c r="AG154" s="13" t="s">
        <v>1773</v>
      </c>
      <c r="AH154" s="13"/>
      <c r="AI154" s="239">
        <v>46133</v>
      </c>
      <c r="AJ154" s="242" t="s">
        <v>1478</v>
      </c>
      <c r="AK154" s="245" t="str">
        <f t="shared" si="2"/>
        <v>❌ غير ملتزم</v>
      </c>
      <c r="AL154" s="251"/>
      <c r="AM154" s="241" t="s">
        <v>1467</v>
      </c>
      <c r="AN154" s="258" t="s">
        <v>1479</v>
      </c>
      <c r="AO154" s="252"/>
      <c r="AR154" s="241" t="s">
        <v>65</v>
      </c>
      <c r="AS154" s="241" t="str">
        <f>IF(AR154="","",IF(ISNUMBER(SEARCH("جازان",AR154)),"مستشفى جازان العام",IF(ISNUMBER(SEARCH("صبيا",AR154)),"مستشفى صبيا العام",IF(ISNUMBER(SEARCH("عريش",AR154)),"مستشفى أبو عريش العام",IF(ISNUMBER(SEARCH("صامط",AR154)),"مستشفى صامطة العام",IF(ISNUMBER(SEARCH("بيش",AR154)),"مستشفى بيش العام",IF(ISNUMBER(SEARCH("فهد",AR154)),"مستشفى الملك فهد المركزي",AR154)))))))</f>
        <v>مستشفى صامطة العام</v>
      </c>
      <c r="AT154" s="241">
        <f>ROW()-1</f>
        <v>153</v>
      </c>
    </row>
    <row r="155" spans="1:46" ht="51">
      <c r="A155" s="1">
        <v>252</v>
      </c>
      <c r="B155" s="1">
        <v>46125.351620370398</v>
      </c>
      <c r="C155" s="1">
        <v>46125.356145833299</v>
      </c>
      <c r="D155" s="1" t="s">
        <v>662</v>
      </c>
      <c r="E155" s="1"/>
      <c r="F155" s="1" t="s">
        <v>431</v>
      </c>
      <c r="G155" s="1"/>
      <c r="H155" s="1"/>
      <c r="I155" s="1"/>
      <c r="J155" s="1"/>
      <c r="K155" s="1" t="s">
        <v>1653</v>
      </c>
      <c r="L155" s="1"/>
      <c r="M155" s="1"/>
      <c r="N155" s="1"/>
      <c r="O155" s="1" t="str">
        <f>_xlfn.CONCAT(OfficeForms.Table3[[#This Row],[القطاع الغربي (Western Sector)]:[القطاع فرسان (Farasan Sector)]])</f>
        <v>مركز المعبوج (Al-Maabooj Center)</v>
      </c>
      <c r="P155" s="2">
        <v>46125</v>
      </c>
      <c r="Q155" s="2">
        <v>46036</v>
      </c>
      <c r="R155" s="21" t="s">
        <v>1774</v>
      </c>
      <c r="S155" s="3">
        <v>32664</v>
      </c>
      <c r="T155" s="21" t="s">
        <v>1086</v>
      </c>
      <c r="U155" s="1" t="s">
        <v>440</v>
      </c>
      <c r="V155" s="21" t="s">
        <v>1775</v>
      </c>
      <c r="W155" s="1" t="s">
        <v>928</v>
      </c>
      <c r="X155" s="21" t="s">
        <v>702</v>
      </c>
      <c r="Y155" s="10" t="s">
        <v>1776</v>
      </c>
      <c r="Z155" s="13" t="s">
        <v>1777</v>
      </c>
      <c r="AA155" s="13"/>
      <c r="AB155" s="13"/>
      <c r="AC155" s="13"/>
      <c r="AD155" s="13" t="s">
        <v>642</v>
      </c>
      <c r="AE155" s="13"/>
      <c r="AF155" s="1"/>
      <c r="AG155" s="13" t="s">
        <v>838</v>
      </c>
      <c r="AH155" s="13"/>
      <c r="AI155" s="239">
        <v>46131</v>
      </c>
      <c r="AJ155" s="242" t="s">
        <v>1478</v>
      </c>
      <c r="AK155" s="245" t="str">
        <f t="shared" si="2"/>
        <v>❌ غير ملتزم</v>
      </c>
      <c r="AL155" s="251"/>
      <c r="AM155" s="241" t="s">
        <v>61</v>
      </c>
      <c r="AN155" s="258" t="s">
        <v>1479</v>
      </c>
      <c r="AO155" s="252"/>
      <c r="AR155" s="241" t="s">
        <v>1467</v>
      </c>
      <c r="AS155" s="241" t="str">
        <f>IF(AR155="","",IF(ISNUMBER(SEARCH("جازان",AR155)),"مستشفى جازان العام",IF(ISNUMBER(SEARCH("صبيا",AR155)),"مستشفى صبيا العام",IF(ISNUMBER(SEARCH("عريش",AR155)),"مستشفى أبو عريش العام",IF(ISNUMBER(SEARCH("صامط",AR155)),"مستشفى صامطة العام",IF(ISNUMBER(SEARCH("بيش",AR155)),"مستشفى بيش العام",IF(ISNUMBER(SEARCH("فهد",AR155)),"مستشفى الملك فهد المركزي",AR155)))))))</f>
        <v>مستشفى جازان العام</v>
      </c>
      <c r="AT155" s="241">
        <f>ROW()-1</f>
        <v>154</v>
      </c>
    </row>
    <row r="156" spans="1:46" ht="39">
      <c r="A156" s="1">
        <v>255</v>
      </c>
      <c r="B156" s="1">
        <v>46125.554710648197</v>
      </c>
      <c r="C156" s="1">
        <v>46125.557951388902</v>
      </c>
      <c r="D156" s="1" t="s">
        <v>662</v>
      </c>
      <c r="E156" s="1"/>
      <c r="F156" s="1" t="s">
        <v>431</v>
      </c>
      <c r="G156" s="1"/>
      <c r="H156" s="1"/>
      <c r="I156" s="1"/>
      <c r="J156" s="1"/>
      <c r="K156" s="1" t="s">
        <v>1674</v>
      </c>
      <c r="L156" s="1"/>
      <c r="M156" s="1"/>
      <c r="N156" s="1"/>
      <c r="O156" s="1" t="str">
        <f>_xlfn.CONCAT(OfficeForms.Table3[[#This Row],[القطاع الغربي (Western Sector)]:[القطاع فرسان (Farasan Sector)]])</f>
        <v>مركز مخطط 6 (Mukhattat 6 Center)</v>
      </c>
      <c r="P156" s="2">
        <v>46125</v>
      </c>
      <c r="Q156" s="2">
        <v>46091</v>
      </c>
      <c r="R156" s="21" t="s">
        <v>945</v>
      </c>
      <c r="S156" s="3">
        <v>39697</v>
      </c>
      <c r="T156" s="21" t="s">
        <v>442</v>
      </c>
      <c r="U156" s="1" t="s">
        <v>441</v>
      </c>
      <c r="V156" s="21" t="s">
        <v>1778</v>
      </c>
      <c r="W156" s="1" t="s">
        <v>875</v>
      </c>
      <c r="X156" s="21" t="s">
        <v>876</v>
      </c>
      <c r="Y156" s="10" t="s">
        <v>1779</v>
      </c>
      <c r="Z156" s="13"/>
      <c r="AA156" s="13" t="s">
        <v>1780</v>
      </c>
      <c r="AB156" s="13"/>
      <c r="AC156" s="13"/>
      <c r="AD156" s="13" t="s">
        <v>642</v>
      </c>
      <c r="AE156" s="13"/>
      <c r="AF156" s="1"/>
      <c r="AG156" s="13" t="s">
        <v>879</v>
      </c>
      <c r="AH156" s="13"/>
      <c r="AI156" s="239">
        <v>46147</v>
      </c>
      <c r="AJ156" s="242" t="s">
        <v>1478</v>
      </c>
      <c r="AK156" s="245" t="str">
        <f t="shared" si="2"/>
        <v>❌ غير ملتزم</v>
      </c>
      <c r="AL156" s="251"/>
      <c r="AM156" s="241" t="s">
        <v>1467</v>
      </c>
      <c r="AN156" s="258" t="s">
        <v>1479</v>
      </c>
      <c r="AO156" s="252" t="s">
        <v>1645</v>
      </c>
      <c r="AR156" s="241" t="s">
        <v>1467</v>
      </c>
      <c r="AS156" s="241" t="str">
        <f>IF(AR156="","",IF(ISNUMBER(SEARCH("جازان",AR156)),"مستشفى جازان العام",IF(ISNUMBER(SEARCH("صبيا",AR156)),"مستشفى صبيا العام",IF(ISNUMBER(SEARCH("عريش",AR156)),"مستشفى أبو عريش العام",IF(ISNUMBER(SEARCH("صامط",AR156)),"مستشفى صامطة العام",IF(ISNUMBER(SEARCH("بيش",AR156)),"مستشفى بيش العام",IF(ISNUMBER(SEARCH("فهد",AR156)),"مستشفى الملك فهد المركزي",AR156)))))))</f>
        <v>مستشفى جازان العام</v>
      </c>
      <c r="AT156" s="241">
        <f>ROW()-1</f>
        <v>155</v>
      </c>
    </row>
    <row r="157" spans="1:46" ht="76.5">
      <c r="A157" s="1">
        <v>256</v>
      </c>
      <c r="B157" s="1">
        <v>46125.571990740696</v>
      </c>
      <c r="C157" s="1">
        <v>46125.574976851902</v>
      </c>
      <c r="D157" s="1" t="s">
        <v>662</v>
      </c>
      <c r="E157" s="1"/>
      <c r="F157" s="1" t="s">
        <v>431</v>
      </c>
      <c r="G157" s="1"/>
      <c r="H157" s="1"/>
      <c r="I157" s="1"/>
      <c r="J157" s="1"/>
      <c r="K157" s="1" t="s">
        <v>1724</v>
      </c>
      <c r="L157" s="1"/>
      <c r="M157" s="1"/>
      <c r="N157" s="1"/>
      <c r="O157" s="1" t="str">
        <f>_xlfn.CONCAT(OfficeForms.Table3[[#This Row],[القطاع الغربي (Western Sector)]:[القطاع فرسان (Farasan Sector)]])</f>
        <v>مركز العشوة (Sanbah Center)</v>
      </c>
      <c r="P157" s="2">
        <v>46125</v>
      </c>
      <c r="Q157" s="2">
        <v>46066</v>
      </c>
      <c r="R157" s="21" t="s">
        <v>673</v>
      </c>
      <c r="S157" s="3">
        <v>32331</v>
      </c>
      <c r="T157" s="21" t="s">
        <v>1507</v>
      </c>
      <c r="U157" s="1" t="s">
        <v>443</v>
      </c>
      <c r="V157" s="21" t="s">
        <v>1781</v>
      </c>
      <c r="W157" s="1" t="s">
        <v>667</v>
      </c>
      <c r="X157" s="21" t="s">
        <v>1382</v>
      </c>
      <c r="Y157" s="10" t="s">
        <v>1782</v>
      </c>
      <c r="Z157" s="13" t="s">
        <v>1604</v>
      </c>
      <c r="AA157" s="13"/>
      <c r="AB157" s="13"/>
      <c r="AC157" s="13"/>
      <c r="AD157" s="13" t="s">
        <v>642</v>
      </c>
      <c r="AE157" s="13"/>
      <c r="AF157" s="1"/>
      <c r="AG157" s="13" t="s">
        <v>1415</v>
      </c>
      <c r="AH157" s="13"/>
      <c r="AI157" s="239">
        <v>46131</v>
      </c>
      <c r="AJ157" s="242" t="s">
        <v>1478</v>
      </c>
      <c r="AK157" s="245" t="str">
        <f t="shared" si="2"/>
        <v>❌ غير ملتزم</v>
      </c>
      <c r="AL157" s="251"/>
      <c r="AM157" s="241" t="s">
        <v>1467</v>
      </c>
      <c r="AN157" s="258" t="s">
        <v>1479</v>
      </c>
      <c r="AO157" s="252"/>
      <c r="AR157" s="241" t="s">
        <v>1467</v>
      </c>
      <c r="AS157" s="241" t="str">
        <f>IF(AR157="","",IF(ISNUMBER(SEARCH("جازان",AR157)),"مستشفى جازان العام",IF(ISNUMBER(SEARCH("صبيا",AR157)),"مستشفى صبيا العام",IF(ISNUMBER(SEARCH("عريش",AR157)),"مستشفى أبو عريش العام",IF(ISNUMBER(SEARCH("صامط",AR157)),"مستشفى صامطة العام",IF(ISNUMBER(SEARCH("بيش",AR157)),"مستشفى بيش العام",IF(ISNUMBER(SEARCH("فهد",AR157)),"مستشفى الملك فهد المركزي",AR157)))))))</f>
        <v>مستشفى جازان العام</v>
      </c>
      <c r="AT157" s="241">
        <f>ROW()-1</f>
        <v>156</v>
      </c>
    </row>
    <row r="158" spans="1:46" ht="39">
      <c r="A158" s="1">
        <v>258</v>
      </c>
      <c r="B158" s="1">
        <v>46126.402592592603</v>
      </c>
      <c r="C158" s="1">
        <v>46126.405335648102</v>
      </c>
      <c r="D158" s="1" t="s">
        <v>662</v>
      </c>
      <c r="E158" s="1"/>
      <c r="F158" s="1" t="s">
        <v>445</v>
      </c>
      <c r="G158" s="1"/>
      <c r="H158" s="1"/>
      <c r="I158" s="1"/>
      <c r="J158" s="1"/>
      <c r="K158" s="1"/>
      <c r="L158" s="1" t="s">
        <v>1529</v>
      </c>
      <c r="M158" s="1"/>
      <c r="N158" s="1"/>
      <c r="O158" s="1" t="str">
        <f>_xlfn.CONCAT(OfficeForms.Table3[[#This Row],[القطاع الغربي (Western Sector)]:[القطاع فرسان (Farasan Sector)]])</f>
        <v>مركز العيدابي (Al-Eidabi Center)</v>
      </c>
      <c r="P158" s="2">
        <v>46126</v>
      </c>
      <c r="Q158" s="2">
        <v>46044</v>
      </c>
      <c r="R158" s="21" t="s">
        <v>1558</v>
      </c>
      <c r="S158" s="3" t="s">
        <v>1783</v>
      </c>
      <c r="T158" s="21" t="s">
        <v>896</v>
      </c>
      <c r="U158" s="1" t="s">
        <v>444</v>
      </c>
      <c r="V158" s="21" t="s">
        <v>1784</v>
      </c>
      <c r="W158" s="1" t="s">
        <v>817</v>
      </c>
      <c r="X158" s="21" t="s">
        <v>1532</v>
      </c>
      <c r="Y158" s="10" t="s">
        <v>1785</v>
      </c>
      <c r="Z158" s="13" t="s">
        <v>1534</v>
      </c>
      <c r="AA158" s="13"/>
      <c r="AB158" s="13"/>
      <c r="AC158" s="13"/>
      <c r="AD158" s="13" t="s">
        <v>680</v>
      </c>
      <c r="AE158" s="13" t="s">
        <v>680</v>
      </c>
      <c r="AF158" s="1"/>
      <c r="AG158" s="13" t="s">
        <v>1536</v>
      </c>
      <c r="AH158" s="13"/>
      <c r="AI158" s="239">
        <v>46135</v>
      </c>
      <c r="AJ158" s="242" t="s">
        <v>1478</v>
      </c>
      <c r="AK158" s="245" t="str">
        <f t="shared" si="2"/>
        <v>❌ غير ملتزم</v>
      </c>
      <c r="AL158" s="251"/>
      <c r="AM158" s="241" t="s">
        <v>1467</v>
      </c>
      <c r="AN158" s="258" t="s">
        <v>1479</v>
      </c>
      <c r="AO158" s="252"/>
      <c r="AR158" s="241" t="s">
        <v>57</v>
      </c>
      <c r="AS158" s="241" t="str">
        <f>IF(AR158="","",IF(ISNUMBER(SEARCH("جازان",AR158)),"مستشفى جازان العام",IF(ISNUMBER(SEARCH("صبيا",AR158)),"مستشفى صبيا العام",IF(ISNUMBER(SEARCH("عريش",AR158)),"مستشفى أبو عريش العام",IF(ISNUMBER(SEARCH("صامط",AR158)),"مستشفى صامطة العام",IF(ISNUMBER(SEARCH("بيش",AR158)),"مستشفى بيش العام",IF(ISNUMBER(SEARCH("فهد",AR158)),"مستشفى الملك فهد المركزي",AR158)))))))</f>
        <v>مستشفى صبيا العام</v>
      </c>
      <c r="AT158" s="241">
        <f>ROW()-1</f>
        <v>157</v>
      </c>
    </row>
    <row r="159" spans="1:46" ht="39">
      <c r="A159" s="1">
        <v>259</v>
      </c>
      <c r="B159" s="1">
        <v>46126.485729166699</v>
      </c>
      <c r="C159" s="1">
        <v>46126.489849537</v>
      </c>
      <c r="D159" s="1" t="s">
        <v>662</v>
      </c>
      <c r="E159" s="1"/>
      <c r="F159" s="1" t="s">
        <v>435</v>
      </c>
      <c r="G159" s="1"/>
      <c r="H159" s="1" t="s">
        <v>1754</v>
      </c>
      <c r="I159" s="1"/>
      <c r="J159" s="1"/>
      <c r="K159" s="1"/>
      <c r="L159" s="1"/>
      <c r="M159" s="1"/>
      <c r="N159" s="1"/>
      <c r="O159" s="1" t="str">
        <f>_xlfn.CONCAT(OfficeForms.Table3[[#This Row],[القطاع الغربي (Western Sector)]:[القطاع فرسان (Farasan Sector)]])</f>
        <v>مركز الخارش (Al-Kharsh Center)</v>
      </c>
      <c r="P159" s="2">
        <v>46126</v>
      </c>
      <c r="Q159" s="2">
        <v>46080</v>
      </c>
      <c r="R159" s="21" t="s">
        <v>945</v>
      </c>
      <c r="S159" s="3" t="s">
        <v>1786</v>
      </c>
      <c r="T159" s="21" t="s">
        <v>896</v>
      </c>
      <c r="U159" s="1" t="s">
        <v>446</v>
      </c>
      <c r="V159" s="21" t="s">
        <v>1787</v>
      </c>
      <c r="W159" s="1" t="s">
        <v>1105</v>
      </c>
      <c r="X159" s="21" t="s">
        <v>744</v>
      </c>
      <c r="Y159" s="10" t="s">
        <v>1788</v>
      </c>
      <c r="Z159" s="13" t="s">
        <v>1643</v>
      </c>
      <c r="AA159" s="13"/>
      <c r="AB159" s="13"/>
      <c r="AC159" s="13" t="s">
        <v>747</v>
      </c>
      <c r="AD159" s="13" t="s">
        <v>642</v>
      </c>
      <c r="AE159" s="13"/>
      <c r="AF159" s="1"/>
      <c r="AG159" s="13" t="s">
        <v>748</v>
      </c>
      <c r="AH159" s="13"/>
      <c r="AI159" s="239">
        <v>46133</v>
      </c>
      <c r="AJ159" s="242" t="s">
        <v>1478</v>
      </c>
      <c r="AK159" s="245" t="str">
        <f t="shared" si="2"/>
        <v>❌ غير ملتزم</v>
      </c>
      <c r="AL159" s="251"/>
      <c r="AM159" s="241" t="s">
        <v>57</v>
      </c>
      <c r="AN159" s="258" t="s">
        <v>1479</v>
      </c>
      <c r="AO159" s="252"/>
      <c r="AR159" s="241" t="s">
        <v>61</v>
      </c>
      <c r="AS159" s="241" t="str">
        <f>IF(AR159="","",IF(ISNUMBER(SEARCH("جازان",AR159)),"مستشفى جازان العام",IF(ISNUMBER(SEARCH("صبيا",AR159)),"مستشفى صبيا العام",IF(ISNUMBER(SEARCH("عريش",AR159)),"مستشفى أبو عريش العام",IF(ISNUMBER(SEARCH("صامط",AR159)),"مستشفى صامطة العام",IF(ISNUMBER(SEARCH("بيش",AR159)),"مستشفى بيش العام",IF(ISNUMBER(SEARCH("فهد",AR159)),"مستشفى الملك فهد المركزي",AR159)))))))</f>
        <v>مستشفى أبو عريش العام</v>
      </c>
      <c r="AT159" s="241">
        <f>ROW()-1</f>
        <v>158</v>
      </c>
    </row>
    <row r="160" spans="1:46" ht="39">
      <c r="A160" s="1">
        <v>260</v>
      </c>
      <c r="B160" s="1">
        <v>46126.505763888897</v>
      </c>
      <c r="C160" s="1">
        <v>46126.508391203701</v>
      </c>
      <c r="D160" s="1" t="s">
        <v>662</v>
      </c>
      <c r="E160" s="1"/>
      <c r="F160" s="1" t="s">
        <v>445</v>
      </c>
      <c r="G160" s="1"/>
      <c r="H160" s="1"/>
      <c r="I160" s="1"/>
      <c r="J160" s="1"/>
      <c r="K160" s="1"/>
      <c r="L160" s="1" t="s">
        <v>1529</v>
      </c>
      <c r="M160" s="1"/>
      <c r="N160" s="1"/>
      <c r="O160" s="1" t="str">
        <f>_xlfn.CONCAT(OfficeForms.Table3[[#This Row],[القطاع الغربي (Western Sector)]:[القطاع فرسان (Farasan Sector)]])</f>
        <v>مركز العيدابي (Al-Eidabi Center)</v>
      </c>
      <c r="P160" s="2">
        <v>46126</v>
      </c>
      <c r="Q160" s="2">
        <v>45896</v>
      </c>
      <c r="R160" s="21" t="s">
        <v>1243</v>
      </c>
      <c r="S160" s="3">
        <v>46087</v>
      </c>
      <c r="T160" s="21" t="s">
        <v>1789</v>
      </c>
      <c r="U160" s="1" t="s">
        <v>447</v>
      </c>
      <c r="V160" s="21" t="s">
        <v>1790</v>
      </c>
      <c r="W160" s="1" t="s">
        <v>817</v>
      </c>
      <c r="X160" s="21" t="s">
        <v>1532</v>
      </c>
      <c r="Y160" s="10" t="s">
        <v>1791</v>
      </c>
      <c r="Z160" s="13" t="s">
        <v>1792</v>
      </c>
      <c r="AA160" s="13"/>
      <c r="AB160" s="13"/>
      <c r="AC160" s="13"/>
      <c r="AD160" s="13" t="s">
        <v>680</v>
      </c>
      <c r="AE160" s="13" t="s">
        <v>680</v>
      </c>
      <c r="AF160" s="1"/>
      <c r="AG160" s="13" t="s">
        <v>1536</v>
      </c>
      <c r="AH160" s="13"/>
      <c r="AI160" s="239">
        <v>46131</v>
      </c>
      <c r="AJ160" s="242" t="s">
        <v>1478</v>
      </c>
      <c r="AK160" s="245" t="str">
        <f t="shared" si="2"/>
        <v>❌ غير ملتزم</v>
      </c>
      <c r="AL160" s="251"/>
      <c r="AM160" s="241" t="s">
        <v>1467</v>
      </c>
      <c r="AN160" s="258" t="s">
        <v>1479</v>
      </c>
      <c r="AO160" s="252"/>
      <c r="AR160" s="241" t="s">
        <v>1467</v>
      </c>
      <c r="AS160" s="241" t="str">
        <f>IF(AR160="","",IF(ISNUMBER(SEARCH("جازان",AR160)),"مستشفى جازان العام",IF(ISNUMBER(SEARCH("صبيا",AR160)),"مستشفى صبيا العام",IF(ISNUMBER(SEARCH("عريش",AR160)),"مستشفى أبو عريش العام",IF(ISNUMBER(SEARCH("صامط",AR160)),"مستشفى صامطة العام",IF(ISNUMBER(SEARCH("بيش",AR160)),"مستشفى بيش العام",IF(ISNUMBER(SEARCH("فهد",AR160)),"مستشفى الملك فهد المركزي",AR160)))))))</f>
        <v>مستشفى جازان العام</v>
      </c>
      <c r="AT160" s="241">
        <f>ROW()-1</f>
        <v>159</v>
      </c>
    </row>
    <row r="161" spans="1:46" ht="39">
      <c r="A161" s="1">
        <v>261</v>
      </c>
      <c r="B161" s="1">
        <v>46126.508773148104</v>
      </c>
      <c r="C161" s="1">
        <v>46126.513449074097</v>
      </c>
      <c r="D161" s="1" t="s">
        <v>662</v>
      </c>
      <c r="E161" s="1"/>
      <c r="F161" s="1" t="s">
        <v>435</v>
      </c>
      <c r="G161" s="1"/>
      <c r="H161" s="1" t="s">
        <v>1591</v>
      </c>
      <c r="I161" s="1"/>
      <c r="J161" s="1"/>
      <c r="K161" s="1"/>
      <c r="L161" s="1"/>
      <c r="M161" s="1"/>
      <c r="N161" s="1"/>
      <c r="O161" s="1" t="str">
        <f>_xlfn.CONCAT(OfficeForms.Table3[[#This Row],[القطاع الغربي (Western Sector)]:[القطاع فرسان (Farasan Sector)]])</f>
        <v>مركز الخوالف (Al-Khawalif Center)</v>
      </c>
      <c r="P161" s="2">
        <v>46126</v>
      </c>
      <c r="Q161" s="2">
        <v>46241</v>
      </c>
      <c r="R161" s="21" t="s">
        <v>1624</v>
      </c>
      <c r="S161" s="3" t="s">
        <v>1793</v>
      </c>
      <c r="T161" s="21" t="s">
        <v>1191</v>
      </c>
      <c r="U161" s="1" t="s">
        <v>448</v>
      </c>
      <c r="V161" s="21" t="s">
        <v>1794</v>
      </c>
      <c r="W161" s="1" t="s">
        <v>1452</v>
      </c>
      <c r="X161" s="21" t="s">
        <v>1453</v>
      </c>
      <c r="Y161" s="10" t="s">
        <v>1795</v>
      </c>
      <c r="Z161" s="13" t="s">
        <v>1528</v>
      </c>
      <c r="AA161" s="13"/>
      <c r="AB161" s="13"/>
      <c r="AC161" s="13"/>
      <c r="AD161" s="13" t="s">
        <v>680</v>
      </c>
      <c r="AE161" s="13" t="s">
        <v>642</v>
      </c>
      <c r="AF161" s="1"/>
      <c r="AG161" s="13" t="s">
        <v>1773</v>
      </c>
      <c r="AH161" s="13"/>
      <c r="AI161" s="239">
        <v>46131</v>
      </c>
      <c r="AJ161" s="242" t="s">
        <v>1478</v>
      </c>
      <c r="AK161" s="245" t="str">
        <f t="shared" si="2"/>
        <v>❌ غير ملتزم</v>
      </c>
      <c r="AL161" s="251"/>
      <c r="AM161" s="241" t="s">
        <v>65</v>
      </c>
      <c r="AN161" s="258" t="s">
        <v>1479</v>
      </c>
      <c r="AO161" s="252"/>
      <c r="AR161" s="241" t="s">
        <v>65</v>
      </c>
      <c r="AS161" s="241" t="str">
        <f>IF(AR161="","",IF(ISNUMBER(SEARCH("جازان",AR161)),"مستشفى جازان العام",IF(ISNUMBER(SEARCH("صبيا",AR161)),"مستشفى صبيا العام",IF(ISNUMBER(SEARCH("عريش",AR161)),"مستشفى أبو عريش العام",IF(ISNUMBER(SEARCH("صامط",AR161)),"مستشفى صامطة العام",IF(ISNUMBER(SEARCH("بيش",AR161)),"مستشفى بيش العام",IF(ISNUMBER(SEARCH("فهد",AR161)),"مستشفى الملك فهد المركزي",AR161)))))))</f>
        <v>مستشفى صامطة العام</v>
      </c>
      <c r="AT161" s="241">
        <f>ROW()-1</f>
        <v>160</v>
      </c>
    </row>
    <row r="162" spans="1:46" ht="39">
      <c r="A162" s="1">
        <v>263</v>
      </c>
      <c r="B162" s="1">
        <v>46126.564942129597</v>
      </c>
      <c r="C162" s="1">
        <v>46126.569328703699</v>
      </c>
      <c r="D162" s="1" t="s">
        <v>662</v>
      </c>
      <c r="E162" s="1"/>
      <c r="F162" s="1" t="s">
        <v>431</v>
      </c>
      <c r="G162" s="1"/>
      <c r="H162" s="1"/>
      <c r="I162" s="1"/>
      <c r="J162" s="1"/>
      <c r="K162" s="1" t="s">
        <v>1653</v>
      </c>
      <c r="L162" s="1"/>
      <c r="M162" s="1"/>
      <c r="N162" s="1"/>
      <c r="O162" s="1" t="str">
        <f>_xlfn.CONCAT(OfficeForms.Table3[[#This Row],[القطاع الغربي (Western Sector)]:[القطاع فرسان (Farasan Sector)]])</f>
        <v>مركز المعبوج (Al-Maabooj Center)</v>
      </c>
      <c r="P162" s="2">
        <v>46126</v>
      </c>
      <c r="Q162" s="2">
        <v>46026</v>
      </c>
      <c r="R162" s="21" t="s">
        <v>1796</v>
      </c>
      <c r="S162" s="3">
        <v>34618</v>
      </c>
      <c r="T162" s="21" t="s">
        <v>1764</v>
      </c>
      <c r="U162" s="1" t="s">
        <v>449</v>
      </c>
      <c r="V162" s="21" t="s">
        <v>1797</v>
      </c>
      <c r="W162" s="1" t="s">
        <v>875</v>
      </c>
      <c r="X162" s="21" t="s">
        <v>929</v>
      </c>
      <c r="Y162" s="10" t="s">
        <v>1798</v>
      </c>
      <c r="Z162" s="13" t="s">
        <v>1528</v>
      </c>
      <c r="AA162" s="13"/>
      <c r="AB162" s="13"/>
      <c r="AC162" s="13"/>
      <c r="AD162" s="13" t="s">
        <v>642</v>
      </c>
      <c r="AE162" s="13"/>
      <c r="AF162" s="1"/>
      <c r="AG162" s="13" t="s">
        <v>1799</v>
      </c>
      <c r="AH162" s="13"/>
      <c r="AI162" s="239">
        <v>46134</v>
      </c>
      <c r="AJ162" s="242" t="s">
        <v>1478</v>
      </c>
      <c r="AK162" s="245" t="str">
        <f t="shared" si="2"/>
        <v>❌ غير ملتزم</v>
      </c>
      <c r="AL162" s="251"/>
      <c r="AM162" s="241" t="s">
        <v>1467</v>
      </c>
      <c r="AN162" s="258" t="s">
        <v>1479</v>
      </c>
      <c r="AO162" s="252"/>
      <c r="AP162" s="241" t="s">
        <v>1800</v>
      </c>
      <c r="AQ162" s="241" t="s">
        <v>1505</v>
      </c>
      <c r="AR162" s="241" t="s">
        <v>1467</v>
      </c>
      <c r="AS162" s="241" t="str">
        <f>IF(AR162="","",IF(ISNUMBER(SEARCH("جازان",AR162)),"مستشفى جازان العام",IF(ISNUMBER(SEARCH("صبيا",AR162)),"مستشفى صبيا العام",IF(ISNUMBER(SEARCH("عريش",AR162)),"مستشفى أبو عريش العام",IF(ISNUMBER(SEARCH("صامط",AR162)),"مستشفى صامطة العام",IF(ISNUMBER(SEARCH("بيش",AR162)),"مستشفى بيش العام",IF(ISNUMBER(SEARCH("فهد",AR162)),"مستشفى الملك فهد المركزي",AR162)))))))</f>
        <v>مستشفى جازان العام</v>
      </c>
      <c r="AT162" s="241">
        <f>ROW()-1</f>
        <v>161</v>
      </c>
    </row>
    <row r="163" spans="1:46" ht="152.25">
      <c r="A163" s="1">
        <v>264</v>
      </c>
      <c r="B163" s="1">
        <v>46126.647777777798</v>
      </c>
      <c r="C163" s="1">
        <v>46126.655474537001</v>
      </c>
      <c r="D163" s="1" t="s">
        <v>662</v>
      </c>
      <c r="E163" s="1"/>
      <c r="F163" s="1" t="s">
        <v>431</v>
      </c>
      <c r="G163" s="1"/>
      <c r="H163" s="1"/>
      <c r="I163" s="1"/>
      <c r="J163" s="1"/>
      <c r="K163" s="1" t="s">
        <v>1731</v>
      </c>
      <c r="L163" s="1"/>
      <c r="M163" s="1"/>
      <c r="N163" s="1"/>
      <c r="O163" s="1" t="str">
        <f>_xlfn.CONCAT(OfficeForms.Table3[[#This Row],[القطاع الغربي (Western Sector)]:[القطاع فرسان (Farasan Sector)]])</f>
        <v>مركز المطار (Al-Matar Center)</v>
      </c>
      <c r="P163" s="2">
        <v>46126</v>
      </c>
      <c r="Q163" s="2">
        <v>46068</v>
      </c>
      <c r="R163" s="21" t="s">
        <v>673</v>
      </c>
      <c r="S163" s="3" t="s">
        <v>1801</v>
      </c>
      <c r="T163" s="21" t="s">
        <v>1095</v>
      </c>
      <c r="U163" s="1" t="s">
        <v>450</v>
      </c>
      <c r="V163" s="21" t="s">
        <v>1802</v>
      </c>
      <c r="W163" s="1" t="s">
        <v>1803</v>
      </c>
      <c r="X163" s="21" t="s">
        <v>1804</v>
      </c>
      <c r="Y163" s="10" t="s">
        <v>1805</v>
      </c>
      <c r="Z163" s="13" t="s">
        <v>1806</v>
      </c>
      <c r="AA163" s="13" t="s">
        <v>1494</v>
      </c>
      <c r="AB163" s="13"/>
      <c r="AC163" s="13"/>
      <c r="AD163" s="13" t="s">
        <v>642</v>
      </c>
      <c r="AE163" s="13"/>
      <c r="AF163" s="1"/>
      <c r="AG163" s="13" t="s">
        <v>1807</v>
      </c>
      <c r="AH163" s="13"/>
      <c r="AI163" s="239">
        <v>46134</v>
      </c>
      <c r="AJ163" s="242" t="s">
        <v>1478</v>
      </c>
      <c r="AK163" s="245" t="str">
        <f t="shared" si="2"/>
        <v>❌ غير ملتزم</v>
      </c>
      <c r="AL163" s="251"/>
      <c r="AM163" s="241" t="s">
        <v>67</v>
      </c>
      <c r="AN163" s="258" t="s">
        <v>1479</v>
      </c>
      <c r="AO163" s="252"/>
      <c r="AR163" s="241" t="s">
        <v>1467</v>
      </c>
      <c r="AS163" s="241" t="str">
        <f>IF(AR163="","",IF(ISNUMBER(SEARCH("جازان",AR163)),"مستشفى جازان العام",IF(ISNUMBER(SEARCH("صبيا",AR163)),"مستشفى صبيا العام",IF(ISNUMBER(SEARCH("عريش",AR163)),"مستشفى أبو عريش العام",IF(ISNUMBER(SEARCH("صامط",AR163)),"مستشفى صامطة العام",IF(ISNUMBER(SEARCH("بيش",AR163)),"مستشفى بيش العام",IF(ISNUMBER(SEARCH("فهد",AR163)),"مستشفى الملك فهد المركزي",AR163)))))))</f>
        <v>مستشفى جازان العام</v>
      </c>
      <c r="AT163" s="241">
        <f>ROW()-1</f>
        <v>162</v>
      </c>
    </row>
    <row r="164" spans="1:46" ht="39">
      <c r="A164" s="1">
        <v>265</v>
      </c>
      <c r="B164" s="1">
        <v>46127.395138888904</v>
      </c>
      <c r="C164" s="1">
        <v>46127.39875</v>
      </c>
      <c r="D164" s="1" t="s">
        <v>662</v>
      </c>
      <c r="E164" s="1"/>
      <c r="F164" s="1" t="s">
        <v>431</v>
      </c>
      <c r="G164" s="1"/>
      <c r="H164" s="1"/>
      <c r="I164" s="1"/>
      <c r="J164" s="1"/>
      <c r="K164" s="1" t="s">
        <v>1674</v>
      </c>
      <c r="L164" s="1"/>
      <c r="M164" s="1"/>
      <c r="N164" s="1"/>
      <c r="O164" s="1" t="str">
        <f>_xlfn.CONCAT(OfficeForms.Table3[[#This Row],[القطاع الغربي (Western Sector)]:[القطاع فرسان (Farasan Sector)]])</f>
        <v>مركز مخطط 6 (Mukhattat 6 Center)</v>
      </c>
      <c r="P164" s="2">
        <v>46127</v>
      </c>
      <c r="Q164" s="2">
        <v>46055</v>
      </c>
      <c r="R164" s="21" t="s">
        <v>1144</v>
      </c>
      <c r="S164" s="3" t="s">
        <v>1808</v>
      </c>
      <c r="T164" s="21" t="s">
        <v>1737</v>
      </c>
      <c r="U164" s="1" t="s">
        <v>451</v>
      </c>
      <c r="V164" s="21" t="s">
        <v>1809</v>
      </c>
      <c r="W164" s="1" t="s">
        <v>875</v>
      </c>
      <c r="X164" s="21" t="s">
        <v>876</v>
      </c>
      <c r="Y164" s="10" t="s">
        <v>1810</v>
      </c>
      <c r="Z164" s="13" t="s">
        <v>1528</v>
      </c>
      <c r="AA164" s="13"/>
      <c r="AB164" s="13"/>
      <c r="AC164" s="13"/>
      <c r="AD164" s="13" t="s">
        <v>642</v>
      </c>
      <c r="AE164" s="13"/>
      <c r="AF164" s="1"/>
      <c r="AG164" s="13" t="s">
        <v>879</v>
      </c>
      <c r="AH164" s="13"/>
      <c r="AI164" s="239">
        <v>46134</v>
      </c>
      <c r="AJ164" s="242" t="s">
        <v>1478</v>
      </c>
      <c r="AK164" s="245" t="str">
        <f t="shared" si="2"/>
        <v>❌ غير ملتزم</v>
      </c>
      <c r="AL164" s="251"/>
      <c r="AM164" s="241" t="s">
        <v>1467</v>
      </c>
      <c r="AN164" s="258" t="s">
        <v>1479</v>
      </c>
      <c r="AO164" s="252"/>
      <c r="AP164" s="241" t="s">
        <v>1800</v>
      </c>
      <c r="AQ164" s="241" t="s">
        <v>1505</v>
      </c>
      <c r="AR164" s="241" t="s">
        <v>1467</v>
      </c>
      <c r="AS164" s="241" t="str">
        <f>IF(AR164="","",IF(ISNUMBER(SEARCH("جازان",AR164)),"مستشفى جازان العام",IF(ISNUMBER(SEARCH("صبيا",AR164)),"مستشفى صبيا العام",IF(ISNUMBER(SEARCH("عريش",AR164)),"مستشفى أبو عريش العام",IF(ISNUMBER(SEARCH("صامط",AR164)),"مستشفى صامطة العام",IF(ISNUMBER(SEARCH("بيش",AR164)),"مستشفى بيش العام",IF(ISNUMBER(SEARCH("فهد",AR164)),"مستشفى الملك فهد المركزي",AR164)))))))</f>
        <v>مستشفى جازان العام</v>
      </c>
      <c r="AT164" s="241">
        <f>ROW()-1</f>
        <v>163</v>
      </c>
    </row>
    <row r="165" spans="1:46" ht="76.5">
      <c r="A165" s="1">
        <v>266</v>
      </c>
      <c r="B165" s="1">
        <v>46127.4062037037</v>
      </c>
      <c r="C165" s="1">
        <v>46127.410046296303</v>
      </c>
      <c r="D165" s="1" t="s">
        <v>662</v>
      </c>
      <c r="E165" s="1"/>
      <c r="F165" s="1" t="s">
        <v>431</v>
      </c>
      <c r="G165" s="1"/>
      <c r="H165" s="1"/>
      <c r="I165" s="1"/>
      <c r="J165" s="1"/>
      <c r="K165" s="1" t="s">
        <v>1674</v>
      </c>
      <c r="L165" s="1"/>
      <c r="M165" s="1"/>
      <c r="N165" s="1"/>
      <c r="O165" s="1" t="str">
        <f>_xlfn.CONCAT(OfficeForms.Table3[[#This Row],[القطاع الغربي (Western Sector)]:[القطاع فرسان (Farasan Sector)]])</f>
        <v>مركز مخطط 6 (Mukhattat 6 Center)</v>
      </c>
      <c r="P165" s="2">
        <v>46127</v>
      </c>
      <c r="Q165" s="2">
        <v>45926</v>
      </c>
      <c r="R165" s="21" t="s">
        <v>1524</v>
      </c>
      <c r="S165" s="3">
        <v>32880</v>
      </c>
      <c r="T165" s="21" t="s">
        <v>1624</v>
      </c>
      <c r="U165" s="1" t="s">
        <v>452</v>
      </c>
      <c r="V165" s="21" t="s">
        <v>1811</v>
      </c>
      <c r="W165" s="1" t="s">
        <v>875</v>
      </c>
      <c r="X165" s="21" t="s">
        <v>876</v>
      </c>
      <c r="Y165" s="10" t="s">
        <v>1812</v>
      </c>
      <c r="Z165" s="13"/>
      <c r="AA165" s="13" t="s">
        <v>1813</v>
      </c>
      <c r="AB165" s="13"/>
      <c r="AC165" s="13"/>
      <c r="AD165" s="13" t="s">
        <v>642</v>
      </c>
      <c r="AE165" s="13"/>
      <c r="AF165" s="1"/>
      <c r="AG165" s="13" t="s">
        <v>879</v>
      </c>
      <c r="AH165" s="13"/>
      <c r="AI165" s="239">
        <v>46134</v>
      </c>
      <c r="AJ165" s="242" t="s">
        <v>1478</v>
      </c>
      <c r="AK165" s="245" t="str">
        <f t="shared" si="2"/>
        <v>❌ غير ملتزم</v>
      </c>
      <c r="AL165" s="251"/>
      <c r="AM165" s="241" t="s">
        <v>57</v>
      </c>
      <c r="AN165" s="258" t="s">
        <v>1479</v>
      </c>
      <c r="AO165" s="252"/>
      <c r="AP165" s="241" t="s">
        <v>1814</v>
      </c>
      <c r="AQ165" s="241" t="s">
        <v>1814</v>
      </c>
      <c r="AR165" s="241" t="s">
        <v>1467</v>
      </c>
      <c r="AS165" s="241" t="str">
        <f>IF(AR165="","",IF(ISNUMBER(SEARCH("جازان",AR165)),"مستشفى جازان العام",IF(ISNUMBER(SEARCH("صبيا",AR165)),"مستشفى صبيا العام",IF(ISNUMBER(SEARCH("عريش",AR165)),"مستشفى أبو عريش العام",IF(ISNUMBER(SEARCH("صامط",AR165)),"مستشفى صامطة العام",IF(ISNUMBER(SEARCH("بيش",AR165)),"مستشفى بيش العام",IF(ISNUMBER(SEARCH("فهد",AR165)),"مستشفى الملك فهد المركزي",AR165)))))))</f>
        <v>مستشفى جازان العام</v>
      </c>
      <c r="AT165" s="241">
        <f>ROW()-1</f>
        <v>164</v>
      </c>
    </row>
    <row r="166" spans="1:46" ht="51">
      <c r="A166" s="1">
        <v>267</v>
      </c>
      <c r="B166" s="1">
        <v>46127.382303240702</v>
      </c>
      <c r="C166" s="1">
        <v>46127.410185185203</v>
      </c>
      <c r="D166" s="1" t="s">
        <v>662</v>
      </c>
      <c r="E166" s="1"/>
      <c r="F166" s="1" t="s">
        <v>431</v>
      </c>
      <c r="G166" s="1"/>
      <c r="H166" s="1"/>
      <c r="I166" s="1"/>
      <c r="J166" s="1"/>
      <c r="K166" s="1" t="s">
        <v>1470</v>
      </c>
      <c r="L166" s="1"/>
      <c r="M166" s="1"/>
      <c r="N166" s="1"/>
      <c r="O166" s="1" t="str">
        <f>_xlfn.CONCAT(OfficeForms.Table3[[#This Row],[القطاع الغربي (Western Sector)]:[القطاع فرسان (Farasan Sector)]])</f>
        <v>مركز الشاطىء (Al-Shati Center)</v>
      </c>
      <c r="P166" s="2">
        <v>46127</v>
      </c>
      <c r="Q166" s="2">
        <v>45855</v>
      </c>
      <c r="R166" s="21" t="s">
        <v>1815</v>
      </c>
      <c r="S166" s="3" t="s">
        <v>1816</v>
      </c>
      <c r="T166" s="21" t="s">
        <v>1756</v>
      </c>
      <c r="U166" s="1" t="s">
        <v>453</v>
      </c>
      <c r="V166" s="21" t="s">
        <v>1817</v>
      </c>
      <c r="W166" s="1" t="s">
        <v>1818</v>
      </c>
      <c r="X166" s="21" t="s">
        <v>668</v>
      </c>
      <c r="Y166" s="10" t="s">
        <v>1819</v>
      </c>
      <c r="Z166" s="13" t="s">
        <v>1528</v>
      </c>
      <c r="AA166" s="13" t="s">
        <v>1564</v>
      </c>
      <c r="AB166" s="13"/>
      <c r="AC166" s="13"/>
      <c r="AD166" s="13" t="s">
        <v>642</v>
      </c>
      <c r="AE166" s="13"/>
      <c r="AF166" s="1"/>
      <c r="AG166" s="13" t="s">
        <v>643</v>
      </c>
      <c r="AH166" s="13"/>
      <c r="AI166" s="239">
        <v>46132</v>
      </c>
      <c r="AJ166" s="242" t="s">
        <v>1478</v>
      </c>
      <c r="AK166" s="245" t="str">
        <f t="shared" si="2"/>
        <v>❌ غير ملتزم</v>
      </c>
      <c r="AL166" s="251"/>
      <c r="AM166" s="241" t="s">
        <v>1467</v>
      </c>
      <c r="AN166" s="258" t="s">
        <v>1479</v>
      </c>
      <c r="AO166" s="252"/>
      <c r="AR166" s="241" t="s">
        <v>65</v>
      </c>
      <c r="AS166" s="241" t="str">
        <f>IF(AR166="","",IF(ISNUMBER(SEARCH("جازان",AR166)),"مستشفى جازان العام",IF(ISNUMBER(SEARCH("صبيا",AR166)),"مستشفى صبيا العام",IF(ISNUMBER(SEARCH("عريش",AR166)),"مستشفى أبو عريش العام",IF(ISNUMBER(SEARCH("صامط",AR166)),"مستشفى صامطة العام",IF(ISNUMBER(SEARCH("بيش",AR166)),"مستشفى بيش العام",IF(ISNUMBER(SEARCH("فهد",AR166)),"مستشفى الملك فهد المركزي",AR166)))))))</f>
        <v>مستشفى صامطة العام</v>
      </c>
      <c r="AT166" s="241">
        <f>ROW()-1</f>
        <v>165</v>
      </c>
    </row>
    <row r="167" spans="1:46" ht="63.75">
      <c r="A167" s="1">
        <v>268</v>
      </c>
      <c r="B167" s="1">
        <v>46127.411111111098</v>
      </c>
      <c r="C167" s="1">
        <v>46127.415150462999</v>
      </c>
      <c r="D167" s="1" t="s">
        <v>662</v>
      </c>
      <c r="E167" s="1"/>
      <c r="F167" s="1" t="s">
        <v>435</v>
      </c>
      <c r="G167" s="1"/>
      <c r="H167" s="1" t="s">
        <v>1754</v>
      </c>
      <c r="I167" s="1"/>
      <c r="J167" s="1"/>
      <c r="K167" s="1"/>
      <c r="L167" s="1"/>
      <c r="M167" s="1"/>
      <c r="N167" s="1"/>
      <c r="O167" s="1" t="str">
        <f>_xlfn.CONCAT(OfficeForms.Table3[[#This Row],[القطاع الغربي (Western Sector)]:[القطاع فرسان (Farasan Sector)]])</f>
        <v>مركز الخارش (Al-Kharsh Center)</v>
      </c>
      <c r="P167" s="2">
        <v>46127</v>
      </c>
      <c r="Q167" s="2">
        <v>46018</v>
      </c>
      <c r="R167" s="21" t="s">
        <v>1820</v>
      </c>
      <c r="S167" s="3">
        <v>35680</v>
      </c>
      <c r="T167" s="21" t="s">
        <v>896</v>
      </c>
      <c r="U167" s="1" t="s">
        <v>454</v>
      </c>
      <c r="V167" s="21" t="s">
        <v>1821</v>
      </c>
      <c r="W167" s="1" t="s">
        <v>1105</v>
      </c>
      <c r="X167" s="21" t="s">
        <v>744</v>
      </c>
      <c r="Y167" s="10" t="s">
        <v>1822</v>
      </c>
      <c r="Z167" s="13" t="s">
        <v>1823</v>
      </c>
      <c r="AA167" s="13"/>
      <c r="AB167" s="13"/>
      <c r="AC167" s="13" t="s">
        <v>1824</v>
      </c>
      <c r="AD167" s="13" t="s">
        <v>642</v>
      </c>
      <c r="AE167" s="13"/>
      <c r="AF167" s="1"/>
      <c r="AG167" s="13" t="s">
        <v>748</v>
      </c>
      <c r="AH167" s="13"/>
      <c r="AI167" s="239">
        <v>46134</v>
      </c>
      <c r="AJ167" s="242" t="s">
        <v>1478</v>
      </c>
      <c r="AK167" s="245" t="str">
        <f t="shared" si="2"/>
        <v>❌ غير ملتزم</v>
      </c>
      <c r="AL167" s="251"/>
      <c r="AM167" s="241" t="s">
        <v>1467</v>
      </c>
      <c r="AN167" s="258" t="s">
        <v>1479</v>
      </c>
      <c r="AO167" s="252"/>
      <c r="AR167" s="241" t="s">
        <v>1467</v>
      </c>
      <c r="AS167" s="241" t="str">
        <f>IF(AR167="","",IF(ISNUMBER(SEARCH("جازان",AR167)),"مستشفى جازان العام",IF(ISNUMBER(SEARCH("صبيا",AR167)),"مستشفى صبيا العام",IF(ISNUMBER(SEARCH("عريش",AR167)),"مستشفى أبو عريش العام",IF(ISNUMBER(SEARCH("صامط",AR167)),"مستشفى صامطة العام",IF(ISNUMBER(SEARCH("بيش",AR167)),"مستشفى بيش العام",IF(ISNUMBER(SEARCH("فهد",AR167)),"مستشفى الملك فهد المركزي",AR167)))))))</f>
        <v>مستشفى جازان العام</v>
      </c>
      <c r="AT167" s="241">
        <f>ROW()-1</f>
        <v>166</v>
      </c>
    </row>
    <row r="168" spans="1:46" ht="127.5">
      <c r="A168" s="1">
        <v>269</v>
      </c>
      <c r="B168" s="1">
        <v>46127.425231481502</v>
      </c>
      <c r="C168" s="1">
        <v>46127.4287847222</v>
      </c>
      <c r="D168" s="1" t="s">
        <v>662</v>
      </c>
      <c r="E168" s="1"/>
      <c r="F168" s="1" t="s">
        <v>431</v>
      </c>
      <c r="G168" s="1"/>
      <c r="H168" s="1"/>
      <c r="I168" s="1"/>
      <c r="J168" s="1"/>
      <c r="K168" s="1" t="s">
        <v>1470</v>
      </c>
      <c r="L168" s="1"/>
      <c r="M168" s="1"/>
      <c r="N168" s="1"/>
      <c r="O168" s="1" t="str">
        <f>_xlfn.CONCAT(OfficeForms.Table3[[#This Row],[القطاع الغربي (Western Sector)]:[القطاع فرسان (Farasan Sector)]])</f>
        <v>مركز الشاطىء (Al-Shati Center)</v>
      </c>
      <c r="P168" s="2">
        <v>46127</v>
      </c>
      <c r="Q168" s="2">
        <v>46061</v>
      </c>
      <c r="R168" s="21" t="s">
        <v>1825</v>
      </c>
      <c r="S168" s="3" t="s">
        <v>1826</v>
      </c>
      <c r="T168" s="21" t="s">
        <v>1715</v>
      </c>
      <c r="U168" s="1" t="s">
        <v>455</v>
      </c>
      <c r="V168" s="21" t="s">
        <v>1827</v>
      </c>
      <c r="W168" s="1" t="s">
        <v>1147</v>
      </c>
      <c r="X168" s="21" t="s">
        <v>668</v>
      </c>
      <c r="Y168" s="10" t="s">
        <v>1828</v>
      </c>
      <c r="Z168" s="13"/>
      <c r="AA168" s="13" t="s">
        <v>1829</v>
      </c>
      <c r="AB168" s="13"/>
      <c r="AC168" s="13"/>
      <c r="AD168" s="13" t="s">
        <v>642</v>
      </c>
      <c r="AE168" s="13"/>
      <c r="AF168" s="1"/>
      <c r="AG168" s="13" t="s">
        <v>643</v>
      </c>
      <c r="AH168" s="13"/>
      <c r="AI168" s="239">
        <v>46134</v>
      </c>
      <c r="AJ168" s="242" t="s">
        <v>1478</v>
      </c>
      <c r="AK168" s="245" t="str">
        <f t="shared" si="2"/>
        <v>❌ غير ملتزم</v>
      </c>
      <c r="AL168" s="251"/>
      <c r="AM168" s="241" t="s">
        <v>1467</v>
      </c>
      <c r="AN168" s="258" t="s">
        <v>1479</v>
      </c>
      <c r="AO168" s="252"/>
      <c r="AR168" s="241" t="s">
        <v>1467</v>
      </c>
      <c r="AS168" s="241" t="str">
        <f>IF(AR168="","",IF(ISNUMBER(SEARCH("جازان",AR168)),"مستشفى جازان العام",IF(ISNUMBER(SEARCH("صبيا",AR168)),"مستشفى صبيا العام",IF(ISNUMBER(SEARCH("عريش",AR168)),"مستشفى أبو عريش العام",IF(ISNUMBER(SEARCH("صامط",AR168)),"مستشفى صامطة العام",IF(ISNUMBER(SEARCH("بيش",AR168)),"مستشفى بيش العام",IF(ISNUMBER(SEARCH("فهد",AR168)),"مستشفى الملك فهد المركزي",AR168)))))))</f>
        <v>مستشفى جازان العام</v>
      </c>
      <c r="AT168" s="241">
        <f>ROW()-1</f>
        <v>167</v>
      </c>
    </row>
    <row r="169" spans="1:46" ht="405.75">
      <c r="A169" s="1">
        <v>270</v>
      </c>
      <c r="B169" s="1">
        <v>46127.441620370402</v>
      </c>
      <c r="C169" s="1">
        <v>46127.449895833299</v>
      </c>
      <c r="D169" s="1" t="s">
        <v>662</v>
      </c>
      <c r="E169" s="1"/>
      <c r="F169" s="1" t="s">
        <v>427</v>
      </c>
      <c r="G169" s="1" t="s">
        <v>1830</v>
      </c>
      <c r="H169" s="1"/>
      <c r="I169" s="1"/>
      <c r="J169" s="1"/>
      <c r="K169" s="1"/>
      <c r="L169" s="1"/>
      <c r="M169" s="1"/>
      <c r="N169" s="1"/>
      <c r="O169" s="1" t="str">
        <f>_xlfn.CONCAT(OfficeForms.Table3[[#This Row],[القطاع الغربي (Western Sector)]:[القطاع فرسان (Farasan Sector)]])</f>
        <v>مركز هروب (Haroub Center)</v>
      </c>
      <c r="P169" s="2">
        <v>46127</v>
      </c>
      <c r="Q169" s="2">
        <v>46090</v>
      </c>
      <c r="R169" s="21" t="s">
        <v>654</v>
      </c>
      <c r="S169" s="3" t="s">
        <v>1831</v>
      </c>
      <c r="T169" s="21" t="s">
        <v>1565</v>
      </c>
      <c r="U169" s="1" t="s">
        <v>456</v>
      </c>
      <c r="V169" s="21" t="s">
        <v>1832</v>
      </c>
      <c r="W169" s="1" t="s">
        <v>1833</v>
      </c>
      <c r="X169" s="21" t="s">
        <v>1834</v>
      </c>
      <c r="Y169" s="10" t="s">
        <v>1835</v>
      </c>
      <c r="Z169" s="13" t="s">
        <v>1836</v>
      </c>
      <c r="AA169" s="13"/>
      <c r="AB169" s="13" t="s">
        <v>1837</v>
      </c>
      <c r="AC169" s="13" t="s">
        <v>1838</v>
      </c>
      <c r="AD169" s="13" t="s">
        <v>642</v>
      </c>
      <c r="AE169" s="13"/>
      <c r="AF169" s="1"/>
      <c r="AG169" s="13" t="s">
        <v>1839</v>
      </c>
      <c r="AH169" s="13"/>
      <c r="AI169" s="239">
        <v>46134</v>
      </c>
      <c r="AJ169" s="242" t="s">
        <v>1478</v>
      </c>
      <c r="AK169" s="245" t="str">
        <f t="shared" si="2"/>
        <v>❌ غير ملتزم</v>
      </c>
      <c r="AL169" s="251"/>
      <c r="AM169" s="241" t="s">
        <v>67</v>
      </c>
      <c r="AN169" s="258" t="s">
        <v>1479</v>
      </c>
      <c r="AO169" s="252"/>
      <c r="AR169" s="241" t="s">
        <v>1467</v>
      </c>
      <c r="AS169" s="241" t="str">
        <f>IF(AR169="","",IF(ISNUMBER(SEARCH("جازان",AR169)),"مستشفى جازان العام",IF(ISNUMBER(SEARCH("صبيا",AR169)),"مستشفى صبيا العام",IF(ISNUMBER(SEARCH("عريش",AR169)),"مستشفى أبو عريش العام",IF(ISNUMBER(SEARCH("صامط",AR169)),"مستشفى صامطة العام",IF(ISNUMBER(SEARCH("بيش",AR169)),"مستشفى بيش العام",IF(ISNUMBER(SEARCH("فهد",AR169)),"مستشفى الملك فهد المركزي",AR169)))))))</f>
        <v>مستشفى جازان العام</v>
      </c>
      <c r="AT169" s="241">
        <f>ROW()-1</f>
        <v>168</v>
      </c>
    </row>
    <row r="170" spans="1:46" ht="51">
      <c r="A170" s="1">
        <v>271</v>
      </c>
      <c r="B170" s="1">
        <v>46127.427314814799</v>
      </c>
      <c r="C170" s="1">
        <v>46127.458668981497</v>
      </c>
      <c r="D170" s="1" t="s">
        <v>662</v>
      </c>
      <c r="E170" s="1"/>
      <c r="F170" s="1" t="s">
        <v>431</v>
      </c>
      <c r="G170" s="1"/>
      <c r="H170" s="1"/>
      <c r="I170" s="1"/>
      <c r="J170" s="1"/>
      <c r="K170" s="1" t="s">
        <v>1674</v>
      </c>
      <c r="L170" s="1"/>
      <c r="M170" s="1"/>
      <c r="N170" s="1"/>
      <c r="O170" s="1" t="str">
        <f>_xlfn.CONCAT(OfficeForms.Table3[[#This Row],[القطاع الغربي (Western Sector)]:[القطاع فرسان (Farasan Sector)]])</f>
        <v>مركز مخطط 6 (Mukhattat 6 Center)</v>
      </c>
      <c r="P170" s="2">
        <v>46127</v>
      </c>
      <c r="Q170" s="2">
        <v>45962</v>
      </c>
      <c r="R170" s="21" t="s">
        <v>1565</v>
      </c>
      <c r="S170" s="3" t="s">
        <v>1840</v>
      </c>
      <c r="T170" s="21" t="s">
        <v>1841</v>
      </c>
      <c r="U170" s="1" t="s">
        <v>457</v>
      </c>
      <c r="V170" s="21" t="s">
        <v>1842</v>
      </c>
      <c r="W170" s="1" t="s">
        <v>875</v>
      </c>
      <c r="X170" s="21" t="s">
        <v>876</v>
      </c>
      <c r="Y170" s="10" t="s">
        <v>1843</v>
      </c>
      <c r="Z170" s="13"/>
      <c r="AA170" s="13" t="s">
        <v>1684</v>
      </c>
      <c r="AB170" s="13"/>
      <c r="AC170" s="13"/>
      <c r="AD170" s="13" t="s">
        <v>642</v>
      </c>
      <c r="AE170" s="13"/>
      <c r="AF170" s="1"/>
      <c r="AG170" s="13" t="s">
        <v>1844</v>
      </c>
      <c r="AH170" s="13"/>
      <c r="AI170" s="239">
        <v>46140</v>
      </c>
      <c r="AJ170" s="242" t="s">
        <v>1478</v>
      </c>
      <c r="AK170" s="245" t="str">
        <f t="shared" si="2"/>
        <v>❌ غير ملتزم</v>
      </c>
      <c r="AL170" s="251"/>
      <c r="AM170" s="241" t="s">
        <v>61</v>
      </c>
      <c r="AN170" s="258" t="s">
        <v>1479</v>
      </c>
      <c r="AO170" s="252" t="s">
        <v>1645</v>
      </c>
      <c r="AR170" s="241" t="s">
        <v>1467</v>
      </c>
      <c r="AS170" s="241" t="str">
        <f>IF(AR170="","",IF(ISNUMBER(SEARCH("جازان",AR170)),"مستشفى جازان العام",IF(ISNUMBER(SEARCH("صبيا",AR170)),"مستشفى صبيا العام",IF(ISNUMBER(SEARCH("عريش",AR170)),"مستشفى أبو عريش العام",IF(ISNUMBER(SEARCH("صامط",AR170)),"مستشفى صامطة العام",IF(ISNUMBER(SEARCH("بيش",AR170)),"مستشفى بيش العام",IF(ISNUMBER(SEARCH("فهد",AR170)),"مستشفى الملك فهد المركزي",AR170)))))))</f>
        <v>مستشفى جازان العام</v>
      </c>
      <c r="AT170" s="241">
        <f>ROW()-1</f>
        <v>169</v>
      </c>
    </row>
    <row r="171" spans="1:46" ht="51">
      <c r="A171" s="1">
        <v>272</v>
      </c>
      <c r="B171" s="1">
        <v>46127.458622685197</v>
      </c>
      <c r="C171" s="1">
        <v>46127.463148148097</v>
      </c>
      <c r="D171" s="1" t="s">
        <v>662</v>
      </c>
      <c r="E171" s="1"/>
      <c r="F171" s="1" t="s">
        <v>431</v>
      </c>
      <c r="G171" s="1"/>
      <c r="H171" s="1"/>
      <c r="I171" s="1"/>
      <c r="J171" s="1"/>
      <c r="K171" s="1" t="s">
        <v>1674</v>
      </c>
      <c r="L171" s="1"/>
      <c r="M171" s="1"/>
      <c r="N171" s="1"/>
      <c r="O171" s="1" t="str">
        <f>_xlfn.CONCAT(OfficeForms.Table3[[#This Row],[القطاع الغربي (Western Sector)]:[القطاع فرسان (Farasan Sector)]])</f>
        <v>مركز مخطط 6 (Mukhattat 6 Center)</v>
      </c>
      <c r="P171" s="2">
        <v>46127</v>
      </c>
      <c r="Q171" s="2">
        <v>45906</v>
      </c>
      <c r="R171" s="21" t="s">
        <v>1243</v>
      </c>
      <c r="S171" s="3" t="s">
        <v>1845</v>
      </c>
      <c r="T171" s="21" t="s">
        <v>1702</v>
      </c>
      <c r="U171" s="1" t="s">
        <v>458</v>
      </c>
      <c r="V171" s="21" t="s">
        <v>1846</v>
      </c>
      <c r="W171" s="1" t="s">
        <v>875</v>
      </c>
      <c r="X171" s="21" t="s">
        <v>876</v>
      </c>
      <c r="Y171" s="10" t="s">
        <v>1847</v>
      </c>
      <c r="Z171" s="13"/>
      <c r="AA171" s="13" t="s">
        <v>1690</v>
      </c>
      <c r="AB171" s="13"/>
      <c r="AC171" s="13"/>
      <c r="AD171" s="13" t="s">
        <v>642</v>
      </c>
      <c r="AE171" s="13"/>
      <c r="AF171" s="1"/>
      <c r="AG171" s="13" t="s">
        <v>879</v>
      </c>
      <c r="AH171" s="13"/>
      <c r="AI171" s="239">
        <v>46134</v>
      </c>
      <c r="AJ171" s="242" t="s">
        <v>1478</v>
      </c>
      <c r="AK171" s="245" t="str">
        <f t="shared" si="2"/>
        <v>❌ غير ملتزم</v>
      </c>
      <c r="AL171" s="251"/>
      <c r="AM171" s="241" t="s">
        <v>1467</v>
      </c>
      <c r="AN171" s="258" t="s">
        <v>1479</v>
      </c>
      <c r="AO171" s="252"/>
      <c r="AR171" s="241" t="s">
        <v>1467</v>
      </c>
      <c r="AS171" s="241" t="str">
        <f>IF(AR171="","",IF(ISNUMBER(SEARCH("جازان",AR171)),"مستشفى جازان العام",IF(ISNUMBER(SEARCH("صبيا",AR171)),"مستشفى صبيا العام",IF(ISNUMBER(SEARCH("عريش",AR171)),"مستشفى أبو عريش العام",IF(ISNUMBER(SEARCH("صامط",AR171)),"مستشفى صامطة العام",IF(ISNUMBER(SEARCH("بيش",AR171)),"مستشفى بيش العام",IF(ISNUMBER(SEARCH("فهد",AR171)),"مستشفى الملك فهد المركزي",AR171)))))))</f>
        <v>مستشفى جازان العام</v>
      </c>
      <c r="AT171" s="241">
        <f>ROW()-1</f>
        <v>170</v>
      </c>
    </row>
    <row r="172" spans="1:46" ht="63.75">
      <c r="A172" s="1">
        <v>273</v>
      </c>
      <c r="B172" s="1">
        <v>46127.480324074102</v>
      </c>
      <c r="C172" s="1">
        <v>46127.483078703699</v>
      </c>
      <c r="D172" s="1" t="s">
        <v>662</v>
      </c>
      <c r="E172" s="1"/>
      <c r="F172" s="1" t="s">
        <v>431</v>
      </c>
      <c r="G172" s="1"/>
      <c r="H172" s="1"/>
      <c r="I172" s="1"/>
      <c r="J172" s="1"/>
      <c r="K172" s="1" t="s">
        <v>1470</v>
      </c>
      <c r="L172" s="1"/>
      <c r="M172" s="1"/>
      <c r="N172" s="1"/>
      <c r="O172" s="1" t="str">
        <f>_xlfn.CONCAT(OfficeForms.Table3[[#This Row],[القطاع الغربي (Western Sector)]:[القطاع فرسان (Farasan Sector)]])</f>
        <v>مركز الشاطىء (Al-Shati Center)</v>
      </c>
      <c r="P172" s="2">
        <v>46127</v>
      </c>
      <c r="Q172" s="2">
        <v>45697</v>
      </c>
      <c r="R172" s="21" t="s">
        <v>1848</v>
      </c>
      <c r="S172" s="3" t="s">
        <v>1849</v>
      </c>
      <c r="T172" s="21" t="s">
        <v>1086</v>
      </c>
      <c r="U172" s="1" t="s">
        <v>459</v>
      </c>
      <c r="V172" s="21" t="s">
        <v>1850</v>
      </c>
      <c r="W172" s="1" t="s">
        <v>1851</v>
      </c>
      <c r="X172" s="21" t="s">
        <v>668</v>
      </c>
      <c r="Y172" s="10" t="s">
        <v>1852</v>
      </c>
      <c r="Z172" s="13" t="s">
        <v>1853</v>
      </c>
      <c r="AA172" s="13" t="s">
        <v>1684</v>
      </c>
      <c r="AB172" s="13"/>
      <c r="AC172" s="13"/>
      <c r="AD172" s="13" t="s">
        <v>642</v>
      </c>
      <c r="AE172" s="13"/>
      <c r="AF172" s="1"/>
      <c r="AG172" s="13" t="s">
        <v>643</v>
      </c>
      <c r="AH172" s="13"/>
      <c r="AI172" s="239">
        <v>46134</v>
      </c>
      <c r="AJ172" s="242" t="s">
        <v>1478</v>
      </c>
      <c r="AK172" s="245" t="str">
        <f t="shared" si="2"/>
        <v>❌ غير ملتزم</v>
      </c>
      <c r="AL172" s="251"/>
      <c r="AM172" s="241" t="s">
        <v>65</v>
      </c>
      <c r="AN172" s="258" t="s">
        <v>1479</v>
      </c>
      <c r="AO172" s="252"/>
      <c r="AR172" s="241" t="s">
        <v>1467</v>
      </c>
      <c r="AS172" s="241" t="str">
        <f>IF(AR172="","",IF(ISNUMBER(SEARCH("جازان",AR172)),"مستشفى جازان العام",IF(ISNUMBER(SEARCH("صبيا",AR172)),"مستشفى صبيا العام",IF(ISNUMBER(SEARCH("عريش",AR172)),"مستشفى أبو عريش العام",IF(ISNUMBER(SEARCH("صامط",AR172)),"مستشفى صامطة العام",IF(ISNUMBER(SEARCH("بيش",AR172)),"مستشفى بيش العام",IF(ISNUMBER(SEARCH("فهد",AR172)),"مستشفى الملك فهد المركزي",AR172)))))))</f>
        <v>مستشفى جازان العام</v>
      </c>
      <c r="AT172" s="241">
        <f>ROW()-1</f>
        <v>171</v>
      </c>
    </row>
    <row r="173" spans="1:46" ht="51">
      <c r="A173" s="1">
        <v>274</v>
      </c>
      <c r="B173" s="1">
        <v>46127.4838773148</v>
      </c>
      <c r="C173" s="1">
        <v>46127.486643518503</v>
      </c>
      <c r="D173" s="1" t="s">
        <v>662</v>
      </c>
      <c r="E173" s="1"/>
      <c r="F173" s="1" t="s">
        <v>461</v>
      </c>
      <c r="G173" s="1"/>
      <c r="H173" s="1"/>
      <c r="I173" s="1"/>
      <c r="J173" s="1" t="s">
        <v>1854</v>
      </c>
      <c r="K173" s="1"/>
      <c r="L173" s="1"/>
      <c r="M173" s="1"/>
      <c r="N173" s="1"/>
      <c r="O173" s="1" t="str">
        <f>_xlfn.CONCAT(OfficeForms.Table3[[#This Row],[القطاع الغربي (Western Sector)]:[القطاع فرسان (Farasan Sector)]])</f>
        <v>مركز السادة (Al-Sadah Center)</v>
      </c>
      <c r="P173" s="2">
        <v>46127</v>
      </c>
      <c r="Q173" s="2">
        <v>46051</v>
      </c>
      <c r="R173" s="21" t="s">
        <v>1855</v>
      </c>
      <c r="S173" s="3">
        <v>31128</v>
      </c>
      <c r="T173" s="21" t="s">
        <v>1715</v>
      </c>
      <c r="U173" s="1" t="s">
        <v>460</v>
      </c>
      <c r="V173" s="21" t="s">
        <v>1856</v>
      </c>
      <c r="W173" s="1" t="s">
        <v>1857</v>
      </c>
      <c r="X173" s="21" t="s">
        <v>1858</v>
      </c>
      <c r="Y173" s="10" t="s">
        <v>1859</v>
      </c>
      <c r="Z173" s="13" t="s">
        <v>1860</v>
      </c>
      <c r="AA173" s="13" t="s">
        <v>1564</v>
      </c>
      <c r="AB173" s="13"/>
      <c r="AC173" s="13"/>
      <c r="AD173" s="13" t="s">
        <v>642</v>
      </c>
      <c r="AE173" s="13"/>
      <c r="AF173" s="1"/>
      <c r="AG173" s="13" t="s">
        <v>1861</v>
      </c>
      <c r="AH173" s="13"/>
      <c r="AI173" s="239">
        <v>46134</v>
      </c>
      <c r="AJ173" s="242" t="s">
        <v>1478</v>
      </c>
      <c r="AK173" s="245" t="str">
        <f t="shared" si="2"/>
        <v>❌ غير ملتزم</v>
      </c>
      <c r="AL173" s="251"/>
      <c r="AM173" s="241" t="s">
        <v>57</v>
      </c>
      <c r="AN173" s="258" t="s">
        <v>1479</v>
      </c>
      <c r="AO173" s="252"/>
      <c r="AR173" s="241" t="s">
        <v>67</v>
      </c>
      <c r="AS173" s="241" t="str">
        <f>IF(AR173="","",IF(ISNUMBER(SEARCH("جازان",AR173)),"مستشفى جازان العام",IF(ISNUMBER(SEARCH("صبيا",AR173)),"مستشفى صبيا العام",IF(ISNUMBER(SEARCH("عريش",AR173)),"مستشفى أبو عريش العام",IF(ISNUMBER(SEARCH("صامط",AR173)),"مستشفى صامطة العام",IF(ISNUMBER(SEARCH("بيش",AR173)),"مستشفى بيش العام",IF(ISNUMBER(SEARCH("فهد",AR173)),"مستشفى الملك فهد المركزي",AR173)))))))</f>
        <v>مستشفى بيش العام</v>
      </c>
      <c r="AT173" s="241">
        <f>ROW()-1</f>
        <v>172</v>
      </c>
    </row>
    <row r="174" spans="1:46" ht="63.75">
      <c r="A174" s="1">
        <v>275</v>
      </c>
      <c r="B174" s="1">
        <v>46127.507939814801</v>
      </c>
      <c r="C174" s="1">
        <v>46127.516979166699</v>
      </c>
      <c r="D174" s="1" t="s">
        <v>662</v>
      </c>
      <c r="E174" s="1"/>
      <c r="F174" s="1" t="s">
        <v>431</v>
      </c>
      <c r="G174" s="1"/>
      <c r="H174" s="1"/>
      <c r="I174" s="1"/>
      <c r="J174" s="1"/>
      <c r="K174" s="1" t="s">
        <v>1470</v>
      </c>
      <c r="L174" s="1"/>
      <c r="M174" s="1"/>
      <c r="N174" s="1"/>
      <c r="O174" s="1" t="str">
        <f>_xlfn.CONCAT(OfficeForms.Table3[[#This Row],[القطاع الغربي (Western Sector)]:[القطاع فرسان (Farasan Sector)]])</f>
        <v>مركز الشاطىء (Al-Shati Center)</v>
      </c>
      <c r="P174" s="2">
        <v>46127</v>
      </c>
      <c r="Q174" s="2">
        <v>46084</v>
      </c>
      <c r="R174" s="21" t="s">
        <v>1862</v>
      </c>
      <c r="S174" s="3">
        <v>46277</v>
      </c>
      <c r="T174" s="21" t="s">
        <v>1841</v>
      </c>
      <c r="U174" s="1" t="s">
        <v>463</v>
      </c>
      <c r="V174" s="21" t="s">
        <v>1863</v>
      </c>
      <c r="W174" s="1" t="s">
        <v>1147</v>
      </c>
      <c r="X174" s="21" t="s">
        <v>668</v>
      </c>
      <c r="Y174" s="10" t="s">
        <v>1864</v>
      </c>
      <c r="Z174" s="13" t="s">
        <v>1865</v>
      </c>
      <c r="AA174" s="13"/>
      <c r="AB174" s="13"/>
      <c r="AC174" s="13"/>
      <c r="AD174" s="13" t="s">
        <v>642</v>
      </c>
      <c r="AE174" s="13"/>
      <c r="AF174" s="1"/>
      <c r="AG174" s="13" t="s">
        <v>643</v>
      </c>
      <c r="AH174" s="13"/>
      <c r="AI174" s="239">
        <v>46134</v>
      </c>
      <c r="AJ174" s="242"/>
      <c r="AK174" s="245" t="str">
        <f t="shared" si="2"/>
        <v>❌ غير ملتزم</v>
      </c>
      <c r="AL174" s="251"/>
      <c r="AM174" s="241" t="s">
        <v>1467</v>
      </c>
      <c r="AN174" s="258" t="s">
        <v>1468</v>
      </c>
      <c r="AO174" s="252"/>
      <c r="AR174" s="241" t="s">
        <v>1467</v>
      </c>
      <c r="AS174" s="241" t="str">
        <f>IF(AR174="","",IF(ISNUMBER(SEARCH("جازان",AR174)),"مستشفى جازان العام",IF(ISNUMBER(SEARCH("صبيا",AR174)),"مستشفى صبيا العام",IF(ISNUMBER(SEARCH("عريش",AR174)),"مستشفى أبو عريش العام",IF(ISNUMBER(SEARCH("صامط",AR174)),"مستشفى صامطة العام",IF(ISNUMBER(SEARCH("بيش",AR174)),"مستشفى بيش العام",IF(ISNUMBER(SEARCH("فهد",AR174)),"مستشفى الملك فهد المركزي",AR174)))))))</f>
        <v>مستشفى جازان العام</v>
      </c>
      <c r="AT174" s="241">
        <f>ROW()-1</f>
        <v>173</v>
      </c>
    </row>
    <row r="175" spans="1:46" ht="76.5">
      <c r="A175" s="1">
        <v>276</v>
      </c>
      <c r="B175" s="1">
        <v>46127.523263888899</v>
      </c>
      <c r="C175" s="1">
        <v>46127.525208333303</v>
      </c>
      <c r="D175" s="1" t="s">
        <v>662</v>
      </c>
      <c r="E175" s="1"/>
      <c r="F175" s="1" t="s">
        <v>431</v>
      </c>
      <c r="G175" s="1"/>
      <c r="H175" s="1"/>
      <c r="I175" s="1"/>
      <c r="J175" s="1"/>
      <c r="K175" s="1" t="s">
        <v>1470</v>
      </c>
      <c r="L175" s="1"/>
      <c r="M175" s="1"/>
      <c r="N175" s="1"/>
      <c r="O175" s="1" t="str">
        <f>_xlfn.CONCAT(OfficeForms.Table3[[#This Row],[القطاع الغربي (Western Sector)]:[القطاع فرسان (Farasan Sector)]])</f>
        <v>مركز الشاطىء (Al-Shati Center)</v>
      </c>
      <c r="P175" s="2">
        <v>46127</v>
      </c>
      <c r="Q175" s="2">
        <v>45935</v>
      </c>
      <c r="R175" s="21" t="s">
        <v>1866</v>
      </c>
      <c r="S175" s="3">
        <v>46363</v>
      </c>
      <c r="T175" s="21" t="s">
        <v>1702</v>
      </c>
      <c r="U175" s="1" t="s">
        <v>464</v>
      </c>
      <c r="V175" s="21" t="s">
        <v>1867</v>
      </c>
      <c r="W175" s="1" t="s">
        <v>658</v>
      </c>
      <c r="X175" s="21" t="s">
        <v>668</v>
      </c>
      <c r="Y175" s="10" t="s">
        <v>1868</v>
      </c>
      <c r="Z175" s="13" t="s">
        <v>1869</v>
      </c>
      <c r="AA175" s="13"/>
      <c r="AB175" s="13"/>
      <c r="AC175" s="13"/>
      <c r="AD175" s="13" t="s">
        <v>642</v>
      </c>
      <c r="AE175" s="13"/>
      <c r="AF175" s="1"/>
      <c r="AG175" s="13" t="s">
        <v>643</v>
      </c>
      <c r="AH175" s="13"/>
      <c r="AI175" s="239">
        <v>46134</v>
      </c>
      <c r="AJ175" s="242" t="s">
        <v>1478</v>
      </c>
      <c r="AK175" s="245" t="str">
        <f t="shared" si="2"/>
        <v>❌ غير ملتزم</v>
      </c>
      <c r="AL175" s="251"/>
      <c r="AM175" s="241" t="s">
        <v>1467</v>
      </c>
      <c r="AN175" s="258" t="s">
        <v>1479</v>
      </c>
      <c r="AO175" s="252"/>
      <c r="AR175" s="241" t="s">
        <v>1467</v>
      </c>
      <c r="AS175" s="241" t="str">
        <f>IF(AR175="","",IF(ISNUMBER(SEARCH("جازان",AR175)),"مستشفى جازان العام",IF(ISNUMBER(SEARCH("صبيا",AR175)),"مستشفى صبيا العام",IF(ISNUMBER(SEARCH("عريش",AR175)),"مستشفى أبو عريش العام",IF(ISNUMBER(SEARCH("صامط",AR175)),"مستشفى صامطة العام",IF(ISNUMBER(SEARCH("بيش",AR175)),"مستشفى بيش العام",IF(ISNUMBER(SEARCH("فهد",AR175)),"مستشفى الملك فهد المركزي",AR175)))))))</f>
        <v>مستشفى جازان العام</v>
      </c>
      <c r="AT175" s="241">
        <f>ROW()-1</f>
        <v>174</v>
      </c>
    </row>
    <row r="176" spans="1:46" ht="39">
      <c r="A176" s="1">
        <v>277</v>
      </c>
      <c r="B176" s="1">
        <v>46127.537245370397</v>
      </c>
      <c r="C176" s="1">
        <v>46127.541585648098</v>
      </c>
      <c r="D176" s="1" t="s">
        <v>662</v>
      </c>
      <c r="E176" s="1"/>
      <c r="F176" s="1" t="s">
        <v>431</v>
      </c>
      <c r="G176" s="1"/>
      <c r="H176" s="1"/>
      <c r="I176" s="1"/>
      <c r="J176" s="1"/>
      <c r="K176" s="1" t="s">
        <v>1870</v>
      </c>
      <c r="L176" s="1"/>
      <c r="M176" s="1"/>
      <c r="N176" s="1"/>
      <c r="O176" s="1" t="str">
        <f>_xlfn.CONCAT(OfficeForms.Table3[[#This Row],[القطاع الغربي (Western Sector)]:[القطاع فرسان (Farasan Sector)]])</f>
        <v>مركز السويس (Al-Suwais Center)</v>
      </c>
      <c r="P176" s="2">
        <v>46112</v>
      </c>
      <c r="Q176" s="2">
        <v>46044</v>
      </c>
      <c r="R176" s="21" t="s">
        <v>1667</v>
      </c>
      <c r="S176" s="3">
        <v>38537</v>
      </c>
      <c r="T176" s="21" t="s">
        <v>1627</v>
      </c>
      <c r="U176" s="1" t="s">
        <v>465</v>
      </c>
      <c r="V176" s="21" t="s">
        <v>1871</v>
      </c>
      <c r="W176" s="1" t="s">
        <v>1872</v>
      </c>
      <c r="X176" s="21" t="s">
        <v>1873</v>
      </c>
      <c r="Y176" s="10" t="s">
        <v>1874</v>
      </c>
      <c r="Z176" s="13"/>
      <c r="AA176" s="13" t="s">
        <v>1494</v>
      </c>
      <c r="AB176" s="13"/>
      <c r="AC176" s="13"/>
      <c r="AD176" s="13" t="s">
        <v>642</v>
      </c>
      <c r="AE176" s="13"/>
      <c r="AF176" s="1"/>
      <c r="AG176" s="13" t="s">
        <v>1875</v>
      </c>
      <c r="AH176" s="13"/>
      <c r="AI176" s="239">
        <v>46134</v>
      </c>
      <c r="AJ176" s="242" t="s">
        <v>1478</v>
      </c>
      <c r="AK176" s="245" t="str">
        <f t="shared" si="2"/>
        <v>❌ غير ملتزم</v>
      </c>
      <c r="AL176" s="251"/>
      <c r="AM176" s="241" t="s">
        <v>1467</v>
      </c>
      <c r="AN176" s="258" t="s">
        <v>1479</v>
      </c>
      <c r="AO176" s="252"/>
      <c r="AR176" s="241" t="s">
        <v>1467</v>
      </c>
      <c r="AS176" s="241" t="str">
        <f>IF(AR176="","",IF(ISNUMBER(SEARCH("جازان",AR176)),"مستشفى جازان العام",IF(ISNUMBER(SEARCH("صبيا",AR176)),"مستشفى صبيا العام",IF(ISNUMBER(SEARCH("عريش",AR176)),"مستشفى أبو عريش العام",IF(ISNUMBER(SEARCH("صامط",AR176)),"مستشفى صامطة العام",IF(ISNUMBER(SEARCH("بيش",AR176)),"مستشفى بيش العام",IF(ISNUMBER(SEARCH("فهد",AR176)),"مستشفى الملك فهد المركزي",AR176)))))))</f>
        <v>مستشفى جازان العام</v>
      </c>
      <c r="AT176" s="241">
        <f>ROW()-1</f>
        <v>175</v>
      </c>
    </row>
    <row r="177" spans="1:46" ht="39">
      <c r="A177" s="1">
        <v>278</v>
      </c>
      <c r="B177" s="1">
        <v>46127.577569444402</v>
      </c>
      <c r="C177" s="1">
        <v>46127.578773148103</v>
      </c>
      <c r="D177" s="1" t="s">
        <v>662</v>
      </c>
      <c r="E177" s="1"/>
      <c r="F177" s="1" t="s">
        <v>431</v>
      </c>
      <c r="G177" s="1"/>
      <c r="H177" s="1"/>
      <c r="I177" s="1"/>
      <c r="J177" s="1"/>
      <c r="K177" s="1" t="s">
        <v>1470</v>
      </c>
      <c r="L177" s="1"/>
      <c r="M177" s="1"/>
      <c r="N177" s="1"/>
      <c r="O177" s="1" t="str">
        <f>_xlfn.CONCAT(OfficeForms.Table3[[#This Row],[القطاع الغربي (Western Sector)]:[القطاع فرسان (Farasan Sector)]])</f>
        <v>مركز الشاطىء (Al-Shati Center)</v>
      </c>
      <c r="P177" s="2">
        <v>46127</v>
      </c>
      <c r="Q177" s="2">
        <v>46026</v>
      </c>
      <c r="R177" s="21" t="s">
        <v>1876</v>
      </c>
      <c r="S177" s="3">
        <v>46336</v>
      </c>
      <c r="T177" s="21" t="s">
        <v>999</v>
      </c>
      <c r="U177" s="1" t="s">
        <v>466</v>
      </c>
      <c r="V177" s="21" t="s">
        <v>1877</v>
      </c>
      <c r="W177" s="1" t="s">
        <v>1878</v>
      </c>
      <c r="X177" s="21" t="s">
        <v>668</v>
      </c>
      <c r="Y177" s="10" t="s">
        <v>1879</v>
      </c>
      <c r="Z177" s="13" t="s">
        <v>1528</v>
      </c>
      <c r="AA177" s="13"/>
      <c r="AB177" s="13"/>
      <c r="AC177" s="13"/>
      <c r="AD177" s="13" t="s">
        <v>642</v>
      </c>
      <c r="AE177" s="13"/>
      <c r="AF177" s="1"/>
      <c r="AG177" s="13" t="s">
        <v>643</v>
      </c>
      <c r="AH177" s="13"/>
      <c r="AI177" s="239">
        <v>46134</v>
      </c>
      <c r="AJ177" s="242" t="s">
        <v>1478</v>
      </c>
      <c r="AK177" s="245" t="str">
        <f t="shared" si="2"/>
        <v>❌ غير ملتزم</v>
      </c>
      <c r="AL177" s="251"/>
      <c r="AM177" s="241" t="s">
        <v>1467</v>
      </c>
      <c r="AN177" s="258" t="s">
        <v>1479</v>
      </c>
      <c r="AO177" s="252"/>
      <c r="AR177" s="241" t="s">
        <v>1467</v>
      </c>
      <c r="AS177" s="241" t="str">
        <f>IF(AR177="","",IF(ISNUMBER(SEARCH("جازان",AR177)),"مستشفى جازان العام",IF(ISNUMBER(SEARCH("صبيا",AR177)),"مستشفى صبيا العام",IF(ISNUMBER(SEARCH("عريش",AR177)),"مستشفى أبو عريش العام",IF(ISNUMBER(SEARCH("صامط",AR177)),"مستشفى صامطة العام",IF(ISNUMBER(SEARCH("بيش",AR177)),"مستشفى بيش العام",IF(ISNUMBER(SEARCH("فهد",AR177)),"مستشفى الملك فهد المركزي",AR177)))))))</f>
        <v>مستشفى جازان العام</v>
      </c>
      <c r="AT177" s="241">
        <f>ROW()-1</f>
        <v>176</v>
      </c>
    </row>
    <row r="178" spans="1:46" ht="114.75">
      <c r="A178" s="1">
        <v>280</v>
      </c>
      <c r="B178" s="1">
        <v>46128.365451388898</v>
      </c>
      <c r="C178" s="1">
        <v>46128.370914351799</v>
      </c>
      <c r="D178" s="1" t="s">
        <v>662</v>
      </c>
      <c r="E178" s="1"/>
      <c r="F178" s="1" t="s">
        <v>468</v>
      </c>
      <c r="G178" s="1"/>
      <c r="H178" s="1" t="s">
        <v>1747</v>
      </c>
      <c r="I178" s="1"/>
      <c r="J178" s="1"/>
      <c r="K178" s="1"/>
      <c r="L178" s="1"/>
      <c r="M178" s="1"/>
      <c r="N178" s="1"/>
      <c r="O178" s="1" t="str">
        <f>_xlfn.CONCAT(OfficeForms.Table3[[#This Row],[القطاع الغربي (Western Sector)]:[القطاع فرسان (Farasan Sector)]])</f>
        <v>مركز الدريعية (Al-Durayiyah Center)</v>
      </c>
      <c r="P178" s="2">
        <v>46128</v>
      </c>
      <c r="Q178" s="2">
        <v>46268</v>
      </c>
      <c r="R178" s="21" t="s">
        <v>1880</v>
      </c>
      <c r="S178" s="3">
        <v>46301</v>
      </c>
      <c r="T178" s="21" t="s">
        <v>1095</v>
      </c>
      <c r="U178" s="1" t="s">
        <v>467</v>
      </c>
      <c r="V178" s="21" t="s">
        <v>1881</v>
      </c>
      <c r="W178" s="1" t="s">
        <v>1751</v>
      </c>
      <c r="X178" s="21" t="s">
        <v>1137</v>
      </c>
      <c r="Y178" s="10" t="s">
        <v>1882</v>
      </c>
      <c r="Z178" s="13" t="s">
        <v>1883</v>
      </c>
      <c r="AA178" s="13" t="s">
        <v>1884</v>
      </c>
      <c r="AB178" s="13" t="s">
        <v>1885</v>
      </c>
      <c r="AC178" s="13"/>
      <c r="AD178" s="13" t="s">
        <v>642</v>
      </c>
      <c r="AE178" s="13"/>
      <c r="AF178" s="1"/>
      <c r="AG178" s="13" t="s">
        <v>1886</v>
      </c>
      <c r="AH178" s="13"/>
      <c r="AI178" s="239">
        <v>46133</v>
      </c>
      <c r="AJ178" s="242" t="s">
        <v>1478</v>
      </c>
      <c r="AK178" s="245" t="str">
        <f t="shared" si="2"/>
        <v>❌ غير ملتزم</v>
      </c>
      <c r="AL178" s="251"/>
      <c r="AM178" s="241" t="s">
        <v>1467</v>
      </c>
      <c r="AN178" s="258" t="s">
        <v>1479</v>
      </c>
      <c r="AO178" s="252"/>
      <c r="AR178" s="241" t="s">
        <v>65</v>
      </c>
      <c r="AS178" s="241" t="str">
        <f>IF(AR178="","",IF(ISNUMBER(SEARCH("جازان",AR178)),"مستشفى جازان العام",IF(ISNUMBER(SEARCH("صبيا",AR178)),"مستشفى صبيا العام",IF(ISNUMBER(SEARCH("عريش",AR178)),"مستشفى أبو عريش العام",IF(ISNUMBER(SEARCH("صامط",AR178)),"مستشفى صامطة العام",IF(ISNUMBER(SEARCH("بيش",AR178)),"مستشفى بيش العام",IF(ISNUMBER(SEARCH("فهد",AR178)),"مستشفى الملك فهد المركزي",AR178)))))))</f>
        <v>مستشفى صامطة العام</v>
      </c>
      <c r="AT178" s="241">
        <f>ROW()-1</f>
        <v>177</v>
      </c>
    </row>
    <row r="179" spans="1:46" ht="127.5">
      <c r="A179" s="1">
        <v>282</v>
      </c>
      <c r="B179" s="1">
        <v>46128.412233796298</v>
      </c>
      <c r="C179" s="1">
        <v>46128.416944444398</v>
      </c>
      <c r="D179" s="1" t="s">
        <v>662</v>
      </c>
      <c r="E179" s="1"/>
      <c r="F179" s="1" t="s">
        <v>431</v>
      </c>
      <c r="G179" s="1"/>
      <c r="H179" s="1"/>
      <c r="I179" s="1"/>
      <c r="J179" s="1"/>
      <c r="K179" s="1" t="s">
        <v>1674</v>
      </c>
      <c r="L179" s="1"/>
      <c r="M179" s="1"/>
      <c r="N179" s="1"/>
      <c r="O179" s="1" t="str">
        <f>_xlfn.CONCAT(OfficeForms.Table3[[#This Row],[القطاع الغربي (Western Sector)]:[القطاع فرسان (Farasan Sector)]])</f>
        <v>مركز مخطط 6 (Mukhattat 6 Center)</v>
      </c>
      <c r="P179" s="2">
        <v>46128</v>
      </c>
      <c r="Q179" s="2">
        <v>46089</v>
      </c>
      <c r="R179" s="21" t="s">
        <v>1887</v>
      </c>
      <c r="S179" s="3">
        <v>30780</v>
      </c>
      <c r="T179" s="21" t="s">
        <v>1715</v>
      </c>
      <c r="U179" s="1" t="s">
        <v>469</v>
      </c>
      <c r="V179" s="21" t="s">
        <v>1888</v>
      </c>
      <c r="W179" s="1" t="s">
        <v>1889</v>
      </c>
      <c r="X179" s="21" t="s">
        <v>876</v>
      </c>
      <c r="Y179" s="10" t="s">
        <v>1890</v>
      </c>
      <c r="Z179" s="13" t="s">
        <v>1891</v>
      </c>
      <c r="AA179" s="13" t="s">
        <v>1892</v>
      </c>
      <c r="AB179" s="13"/>
      <c r="AC179" s="13"/>
      <c r="AD179" s="13" t="s">
        <v>680</v>
      </c>
      <c r="AE179" s="13" t="s">
        <v>642</v>
      </c>
      <c r="AF179" s="1" t="s">
        <v>680</v>
      </c>
      <c r="AG179" s="13" t="s">
        <v>879</v>
      </c>
      <c r="AH179" s="13"/>
      <c r="AI179" s="239">
        <v>46134</v>
      </c>
      <c r="AJ179" s="242" t="s">
        <v>1478</v>
      </c>
      <c r="AK179" s="245" t="str">
        <f t="shared" si="2"/>
        <v>❌ غير ملتزم</v>
      </c>
      <c r="AL179" s="251"/>
      <c r="AM179" s="241" t="s">
        <v>1467</v>
      </c>
      <c r="AN179" s="258" t="s">
        <v>1479</v>
      </c>
      <c r="AO179" s="252"/>
      <c r="AR179" s="241" t="s">
        <v>1467</v>
      </c>
      <c r="AS179" s="241" t="str">
        <f>IF(AR179="","",IF(ISNUMBER(SEARCH("جازان",AR179)),"مستشفى جازان العام",IF(ISNUMBER(SEARCH("صبيا",AR179)),"مستشفى صبيا العام",IF(ISNUMBER(SEARCH("عريش",AR179)),"مستشفى أبو عريش العام",IF(ISNUMBER(SEARCH("صامط",AR179)),"مستشفى صامطة العام",IF(ISNUMBER(SEARCH("بيش",AR179)),"مستشفى بيش العام",IF(ISNUMBER(SEARCH("فهد",AR179)),"مستشفى الملك فهد المركزي",AR179)))))))</f>
        <v>مستشفى جازان العام</v>
      </c>
      <c r="AT179" s="241">
        <f>ROW()-1</f>
        <v>178</v>
      </c>
    </row>
    <row r="180" spans="1:46" ht="51">
      <c r="A180" s="1">
        <v>283</v>
      </c>
      <c r="B180" s="1">
        <v>46128.571631944404</v>
      </c>
      <c r="C180" s="1">
        <v>46128.580798611103</v>
      </c>
      <c r="D180" s="1" t="s">
        <v>662</v>
      </c>
      <c r="E180" s="1"/>
      <c r="F180" s="1" t="s">
        <v>468</v>
      </c>
      <c r="G180" s="1"/>
      <c r="H180" s="1" t="s">
        <v>1591</v>
      </c>
      <c r="I180" s="1"/>
      <c r="J180" s="1"/>
      <c r="K180" s="1"/>
      <c r="L180" s="1"/>
      <c r="M180" s="1"/>
      <c r="N180" s="1"/>
      <c r="O180" s="1" t="str">
        <f>_xlfn.CONCAT(OfficeForms.Table3[[#This Row],[القطاع الغربي (Western Sector)]:[القطاع فرسان (Farasan Sector)]])</f>
        <v>مركز الخوالف (Al-Khawalif Center)</v>
      </c>
      <c r="P180" s="2">
        <v>46126</v>
      </c>
      <c r="Q180" s="2">
        <v>46062</v>
      </c>
      <c r="R180" s="21">
        <v>9</v>
      </c>
      <c r="S180" s="3">
        <v>11</v>
      </c>
      <c r="T180" s="21">
        <v>27</v>
      </c>
      <c r="U180" s="1" t="s">
        <v>470</v>
      </c>
      <c r="V180" s="21" t="s">
        <v>1893</v>
      </c>
      <c r="W180" s="1" t="s">
        <v>743</v>
      </c>
      <c r="X180" s="21" t="s">
        <v>1453</v>
      </c>
      <c r="Y180" s="10" t="s">
        <v>1894</v>
      </c>
      <c r="Z180" s="13"/>
      <c r="AA180" s="13" t="s">
        <v>1684</v>
      </c>
      <c r="AB180" s="13"/>
      <c r="AC180" s="13"/>
      <c r="AD180" s="13" t="s">
        <v>680</v>
      </c>
      <c r="AE180" s="13" t="s">
        <v>642</v>
      </c>
      <c r="AF180" s="1" t="s">
        <v>680</v>
      </c>
      <c r="AG180" s="13" t="s">
        <v>1895</v>
      </c>
      <c r="AH180" s="13"/>
      <c r="AI180" s="239">
        <v>46133</v>
      </c>
      <c r="AJ180" s="242" t="s">
        <v>1478</v>
      </c>
      <c r="AK180" s="245" t="str">
        <f t="shared" si="2"/>
        <v>❌ غير ملتزم</v>
      </c>
      <c r="AL180" s="251"/>
      <c r="AM180" s="241" t="s">
        <v>1467</v>
      </c>
      <c r="AN180" s="258" t="s">
        <v>1479</v>
      </c>
      <c r="AO180" s="252"/>
      <c r="AR180" s="241" t="s">
        <v>65</v>
      </c>
      <c r="AS180" s="241" t="str">
        <f>IF(AR180="","",IF(ISNUMBER(SEARCH("جازان",AR180)),"مستشفى جازان العام",IF(ISNUMBER(SEARCH("صبيا",AR180)),"مستشفى صبيا العام",IF(ISNUMBER(SEARCH("عريش",AR180)),"مستشفى أبو عريش العام",IF(ISNUMBER(SEARCH("صامط",AR180)),"مستشفى صامطة العام",IF(ISNUMBER(SEARCH("بيش",AR180)),"مستشفى بيش العام",IF(ISNUMBER(SEARCH("فهد",AR180)),"مستشفى الملك فهد المركزي",AR180)))))))</f>
        <v>مستشفى صامطة العام</v>
      </c>
      <c r="AT180" s="241">
        <f>ROW()-1</f>
        <v>179</v>
      </c>
    </row>
    <row r="181" spans="1:46" ht="39">
      <c r="A181" s="1">
        <v>284</v>
      </c>
      <c r="B181" s="1">
        <v>46131.3574884259</v>
      </c>
      <c r="C181" s="1">
        <v>46131.3648958333</v>
      </c>
      <c r="D181" s="1" t="s">
        <v>662</v>
      </c>
      <c r="E181" s="1"/>
      <c r="F181" s="1" t="s">
        <v>431</v>
      </c>
      <c r="G181" s="1"/>
      <c r="H181" s="1"/>
      <c r="I181" s="1"/>
      <c r="J181" s="1"/>
      <c r="K181" s="1" t="s">
        <v>1731</v>
      </c>
      <c r="L181" s="1"/>
      <c r="M181" s="1"/>
      <c r="N181" s="1"/>
      <c r="O181" s="1" t="str">
        <f>_xlfn.CONCAT(OfficeForms.Table3[[#This Row],[القطاع الغربي (Western Sector)]:[القطاع فرسان (Farasan Sector)]])</f>
        <v>مركز المطار (Al-Matar Center)</v>
      </c>
      <c r="P181" s="2">
        <v>46131</v>
      </c>
      <c r="Q181" s="2">
        <v>45909</v>
      </c>
      <c r="R181" s="21">
        <v>31</v>
      </c>
      <c r="S181" s="3">
        <v>1990</v>
      </c>
      <c r="T181" s="21">
        <v>37</v>
      </c>
      <c r="U181" s="1" t="s">
        <v>471</v>
      </c>
      <c r="V181" s="21" t="s">
        <v>1896</v>
      </c>
      <c r="W181" s="1" t="s">
        <v>1897</v>
      </c>
      <c r="X181" s="21" t="s">
        <v>1898</v>
      </c>
      <c r="Y181" s="10" t="s">
        <v>1899</v>
      </c>
      <c r="Z181" s="13"/>
      <c r="AA181" s="13" t="s">
        <v>1900</v>
      </c>
      <c r="AB181" s="13"/>
      <c r="AC181" s="13"/>
      <c r="AD181" s="13" t="s">
        <v>642</v>
      </c>
      <c r="AE181" s="13"/>
      <c r="AF181" s="1"/>
      <c r="AG181" s="13" t="s">
        <v>1901</v>
      </c>
      <c r="AH181" s="13"/>
      <c r="AI181" s="239">
        <v>46134</v>
      </c>
      <c r="AJ181" s="242"/>
      <c r="AK181" s="245" t="str">
        <f t="shared" si="2"/>
        <v>✅ ملتزم</v>
      </c>
      <c r="AL181" s="251"/>
      <c r="AM181" s="241" t="s">
        <v>1467</v>
      </c>
      <c r="AN181" s="258" t="s">
        <v>1468</v>
      </c>
      <c r="AO181" s="252"/>
      <c r="AR181" s="241" t="s">
        <v>1467</v>
      </c>
      <c r="AS181" s="241" t="str">
        <f>IF(AR181="","",IF(ISNUMBER(SEARCH("جازان",AR181)),"مستشفى جازان العام",IF(ISNUMBER(SEARCH("صبيا",AR181)),"مستشفى صبيا العام",IF(ISNUMBER(SEARCH("عريش",AR181)),"مستشفى أبو عريش العام",IF(ISNUMBER(SEARCH("صامط",AR181)),"مستشفى صامطة العام",IF(ISNUMBER(SEARCH("بيش",AR181)),"مستشفى بيش العام",IF(ISNUMBER(SEARCH("فهد",AR181)),"مستشفى الملك فهد المركزي",AR181)))))))</f>
        <v>مستشفى جازان العام</v>
      </c>
      <c r="AT181" s="241">
        <f>ROW()-1</f>
        <v>180</v>
      </c>
    </row>
    <row r="182" spans="1:46" ht="51">
      <c r="A182" s="1">
        <v>285</v>
      </c>
      <c r="B182" s="1">
        <v>46131.499652777798</v>
      </c>
      <c r="C182" s="1">
        <v>46131.529479166697</v>
      </c>
      <c r="D182" s="1" t="s">
        <v>662</v>
      </c>
      <c r="E182" s="1"/>
      <c r="F182" s="1" t="s">
        <v>468</v>
      </c>
      <c r="G182" s="1"/>
      <c r="H182" s="1" t="s">
        <v>1902</v>
      </c>
      <c r="I182" s="1"/>
      <c r="J182" s="1"/>
      <c r="K182" s="1"/>
      <c r="L182" s="1"/>
      <c r="M182" s="1"/>
      <c r="N182" s="1"/>
      <c r="O182" s="1" t="str">
        <f>_xlfn.CONCAT(OfficeForms.Table3[[#This Row],[القطاع الغربي (Western Sector)]:[القطاع فرسان (Farasan Sector)]])</f>
        <v>مركز الأحد (Al-Ahad Center)</v>
      </c>
      <c r="P182" s="2">
        <v>46131</v>
      </c>
      <c r="Q182" s="2">
        <v>45903</v>
      </c>
      <c r="R182" s="21">
        <v>32</v>
      </c>
      <c r="S182" s="3">
        <v>12</v>
      </c>
      <c r="T182" s="21">
        <v>38</v>
      </c>
      <c r="U182" s="1" t="s">
        <v>472</v>
      </c>
      <c r="V182" s="21" t="s">
        <v>1001</v>
      </c>
      <c r="W182" s="1" t="s">
        <v>1903</v>
      </c>
      <c r="X182" s="21" t="s">
        <v>1904</v>
      </c>
      <c r="Y182" s="10" t="s">
        <v>1004</v>
      </c>
      <c r="Z182" s="13" t="s">
        <v>1905</v>
      </c>
      <c r="AA182" s="13" t="s">
        <v>1690</v>
      </c>
      <c r="AB182" s="13"/>
      <c r="AC182" s="13"/>
      <c r="AD182" s="13" t="s">
        <v>642</v>
      </c>
      <c r="AE182" s="13"/>
      <c r="AF182" s="1"/>
      <c r="AG182" s="13" t="s">
        <v>1906</v>
      </c>
      <c r="AH182" s="13"/>
      <c r="AI182" s="239">
        <v>46134</v>
      </c>
      <c r="AJ182" s="242" t="s">
        <v>1478</v>
      </c>
      <c r="AK182" s="245" t="str">
        <f t="shared" si="2"/>
        <v>✅ ملتزم</v>
      </c>
      <c r="AL182" s="251"/>
      <c r="AM182" s="241" t="s">
        <v>1467</v>
      </c>
      <c r="AN182" s="258" t="s">
        <v>1479</v>
      </c>
      <c r="AO182" s="252"/>
      <c r="AR182" s="241" t="s">
        <v>1467</v>
      </c>
      <c r="AS182" s="241" t="str">
        <f>IF(AR182="","",IF(ISNUMBER(SEARCH("جازان",AR182)),"مستشفى جازان العام",IF(ISNUMBER(SEARCH("صبيا",AR182)),"مستشفى صبيا العام",IF(ISNUMBER(SEARCH("عريش",AR182)),"مستشفى أبو عريش العام",IF(ISNUMBER(SEARCH("صامط",AR182)),"مستشفى صامطة العام",IF(ISNUMBER(SEARCH("بيش",AR182)),"مستشفى بيش العام",IF(ISNUMBER(SEARCH("فهد",AR182)),"مستشفى الملك فهد المركزي",AR182)))))))</f>
        <v>مستشفى جازان العام</v>
      </c>
      <c r="AT182" s="241">
        <f>ROW()-1</f>
        <v>181</v>
      </c>
    </row>
    <row r="183" spans="1:46" ht="102">
      <c r="A183" s="1">
        <v>286</v>
      </c>
      <c r="B183" s="1">
        <v>46131.6024652778</v>
      </c>
      <c r="C183" s="1">
        <v>46131.609745370399</v>
      </c>
      <c r="D183" s="1" t="s">
        <v>662</v>
      </c>
      <c r="E183" s="1"/>
      <c r="F183" s="1" t="s">
        <v>431</v>
      </c>
      <c r="G183" s="1"/>
      <c r="H183" s="1"/>
      <c r="I183" s="1"/>
      <c r="J183" s="1"/>
      <c r="K183" s="1" t="s">
        <v>1646</v>
      </c>
      <c r="L183" s="1"/>
      <c r="M183" s="1"/>
      <c r="N183" s="1"/>
      <c r="O183" s="1" t="str">
        <f>_xlfn.CONCAT(OfficeForms.Table3[[#This Row],[القطاع الغربي (Western Sector)]:[القطاع فرسان (Farasan Sector)]])</f>
        <v>مركز محلية (Mahaliyah Center)</v>
      </c>
      <c r="P183" s="2">
        <v>46131</v>
      </c>
      <c r="Q183" s="2">
        <v>46080</v>
      </c>
      <c r="R183" s="21">
        <v>7</v>
      </c>
      <c r="S183" s="3">
        <v>32294</v>
      </c>
      <c r="T183" s="21">
        <v>37</v>
      </c>
      <c r="U183" s="1" t="s">
        <v>473</v>
      </c>
      <c r="V183" s="21" t="s">
        <v>1907</v>
      </c>
      <c r="W183" s="1" t="s">
        <v>701</v>
      </c>
      <c r="X183" s="21" t="s">
        <v>1113</v>
      </c>
      <c r="Y183" s="10" t="s">
        <v>1908</v>
      </c>
      <c r="Z183" s="13" t="s">
        <v>1909</v>
      </c>
      <c r="AA183" s="13"/>
      <c r="AB183" s="13"/>
      <c r="AC183" s="13"/>
      <c r="AD183" s="13" t="s">
        <v>642</v>
      </c>
      <c r="AE183" s="13"/>
      <c r="AF183" s="1"/>
      <c r="AG183" s="13" t="s">
        <v>1910</v>
      </c>
      <c r="AH183" s="13"/>
      <c r="AI183" s="239">
        <v>46134</v>
      </c>
      <c r="AJ183" s="242" t="s">
        <v>1478</v>
      </c>
      <c r="AK183" s="245" t="str">
        <f t="shared" si="2"/>
        <v>✅ ملتزم</v>
      </c>
      <c r="AL183" s="251"/>
      <c r="AM183" s="241" t="s">
        <v>1467</v>
      </c>
      <c r="AN183" s="258" t="s">
        <v>1479</v>
      </c>
      <c r="AO183" s="252"/>
      <c r="AR183" s="241" t="s">
        <v>1467</v>
      </c>
      <c r="AS183" s="241" t="str">
        <f>IF(AR183="","",IF(ISNUMBER(SEARCH("جازان",AR183)),"مستشفى جازان العام",IF(ISNUMBER(SEARCH("صبيا",AR183)),"مستشفى صبيا العام",IF(ISNUMBER(SEARCH("عريش",AR183)),"مستشفى أبو عريش العام",IF(ISNUMBER(SEARCH("صامط",AR183)),"مستشفى صامطة العام",IF(ISNUMBER(SEARCH("بيش",AR183)),"مستشفى بيش العام",IF(ISNUMBER(SEARCH("فهد",AR183)),"مستشفى الملك فهد المركزي",AR183)))))))</f>
        <v>مستشفى جازان العام</v>
      </c>
      <c r="AT183" s="241">
        <f>ROW()-1</f>
        <v>182</v>
      </c>
    </row>
    <row r="184" spans="1:46" ht="39">
      <c r="A184" s="1">
        <v>287</v>
      </c>
      <c r="B184" s="1">
        <v>46131.609039351897</v>
      </c>
      <c r="C184" s="1">
        <v>46131.612916666701</v>
      </c>
      <c r="D184" s="1" t="s">
        <v>662</v>
      </c>
      <c r="E184" s="1"/>
      <c r="F184" s="1" t="s">
        <v>431</v>
      </c>
      <c r="G184" s="1"/>
      <c r="H184" s="1"/>
      <c r="I184" s="1"/>
      <c r="J184" s="1"/>
      <c r="K184" s="1" t="s">
        <v>1731</v>
      </c>
      <c r="L184" s="1"/>
      <c r="M184" s="1"/>
      <c r="N184" s="1"/>
      <c r="O184" s="1" t="str">
        <f>_xlfn.CONCAT(OfficeForms.Table3[[#This Row],[القطاع الغربي (Western Sector)]:[القطاع فرسان (Farasan Sector)]])</f>
        <v>مركز المطار (Al-Matar Center)</v>
      </c>
      <c r="P184" s="2">
        <v>46131</v>
      </c>
      <c r="Q184" s="2">
        <v>46059</v>
      </c>
      <c r="R184" s="21">
        <v>9</v>
      </c>
      <c r="S184" s="3">
        <v>29</v>
      </c>
      <c r="T184" s="21">
        <v>29</v>
      </c>
      <c r="U184" s="1" t="s">
        <v>474</v>
      </c>
      <c r="V184" s="21" t="s">
        <v>1911</v>
      </c>
      <c r="W184" s="1" t="s">
        <v>1912</v>
      </c>
      <c r="X184" s="21" t="s">
        <v>1804</v>
      </c>
      <c r="Y184" s="10" t="s">
        <v>1913</v>
      </c>
      <c r="Z184" s="13"/>
      <c r="AA184" s="13" t="s">
        <v>1900</v>
      </c>
      <c r="AB184" s="13"/>
      <c r="AC184" s="13"/>
      <c r="AD184" s="13" t="s">
        <v>642</v>
      </c>
      <c r="AE184" s="13"/>
      <c r="AF184" s="1"/>
      <c r="AG184" s="13" t="s">
        <v>1914</v>
      </c>
      <c r="AH184" s="13"/>
      <c r="AI184" s="239">
        <v>46134</v>
      </c>
      <c r="AJ184" s="242" t="s">
        <v>1478</v>
      </c>
      <c r="AK184" s="245" t="str">
        <f t="shared" si="2"/>
        <v>✅ ملتزم</v>
      </c>
      <c r="AL184" s="251"/>
      <c r="AM184" s="241" t="s">
        <v>61</v>
      </c>
      <c r="AN184" s="258" t="s">
        <v>1479</v>
      </c>
      <c r="AO184" s="252"/>
      <c r="AP184" s="241" t="s">
        <v>1915</v>
      </c>
      <c r="AQ184" s="241" t="s">
        <v>1814</v>
      </c>
      <c r="AR184" s="241" t="s">
        <v>1467</v>
      </c>
      <c r="AS184" s="241" t="str">
        <f>IF(AR184="","",IF(ISNUMBER(SEARCH("جازان",AR184)),"مستشفى جازان العام",IF(ISNUMBER(SEARCH("صبيا",AR184)),"مستشفى صبيا العام",IF(ISNUMBER(SEARCH("عريش",AR184)),"مستشفى أبو عريش العام",IF(ISNUMBER(SEARCH("صامط",AR184)),"مستشفى صامطة العام",IF(ISNUMBER(SEARCH("بيش",AR184)),"مستشفى بيش العام",IF(ISNUMBER(SEARCH("فهد",AR184)),"مستشفى الملك فهد المركزي",AR184)))))))</f>
        <v>مستشفى جازان العام</v>
      </c>
      <c r="AT184" s="241">
        <f>ROW()-1</f>
        <v>183</v>
      </c>
    </row>
    <row r="185" spans="1:46" ht="39">
      <c r="A185" s="1">
        <v>288</v>
      </c>
      <c r="B185" s="1">
        <v>46131.575254629599</v>
      </c>
      <c r="C185" s="1">
        <v>46131.624131944402</v>
      </c>
      <c r="D185" s="1" t="s">
        <v>662</v>
      </c>
      <c r="E185" s="1"/>
      <c r="F185" s="1" t="s">
        <v>468</v>
      </c>
      <c r="G185" s="1"/>
      <c r="H185" s="1" t="s">
        <v>1916</v>
      </c>
      <c r="I185" s="1"/>
      <c r="J185" s="1"/>
      <c r="K185" s="1"/>
      <c r="L185" s="1"/>
      <c r="M185" s="1"/>
      <c r="N185" s="1"/>
      <c r="O185" s="1" t="str">
        <f>_xlfn.CONCAT(OfficeForms.Table3[[#This Row],[القطاع الغربي (Western Sector)]:[القطاع فرسان (Farasan Sector)]])</f>
        <v>أخرى</v>
      </c>
      <c r="P185" s="2">
        <v>46131</v>
      </c>
      <c r="Q185" s="2">
        <v>46070</v>
      </c>
      <c r="R185" s="21">
        <v>8</v>
      </c>
      <c r="S185" s="3">
        <v>1987</v>
      </c>
      <c r="T185" s="21">
        <v>38</v>
      </c>
      <c r="U185" s="1" t="s">
        <v>475</v>
      </c>
      <c r="V185" s="21" t="s">
        <v>1917</v>
      </c>
      <c r="W185" s="1" t="s">
        <v>1918</v>
      </c>
      <c r="X185" s="21" t="s">
        <v>1919</v>
      </c>
      <c r="Y185" s="10" t="s">
        <v>1920</v>
      </c>
      <c r="Z185" s="13" t="s">
        <v>1728</v>
      </c>
      <c r="AA185" s="13"/>
      <c r="AB185" s="13"/>
      <c r="AC185" s="13" t="s">
        <v>642</v>
      </c>
      <c r="AD185" s="13" t="s">
        <v>642</v>
      </c>
      <c r="AE185" s="13"/>
      <c r="AF185" s="1"/>
      <c r="AG185" s="13" t="s">
        <v>1921</v>
      </c>
      <c r="AH185" s="13"/>
      <c r="AI185" s="239">
        <v>46138</v>
      </c>
      <c r="AJ185" s="242" t="s">
        <v>1478</v>
      </c>
      <c r="AK185" s="245" t="str">
        <f t="shared" si="2"/>
        <v>❌ غير ملتزم</v>
      </c>
      <c r="AL185" s="251"/>
      <c r="AM185" s="241" t="s">
        <v>1467</v>
      </c>
      <c r="AN185" s="258" t="s">
        <v>1479</v>
      </c>
      <c r="AO185" s="252"/>
      <c r="AP185" s="241" t="s">
        <v>1922</v>
      </c>
      <c r="AQ185" s="241" t="s">
        <v>1814</v>
      </c>
      <c r="AR185" s="241" t="s">
        <v>65</v>
      </c>
      <c r="AS185" s="241" t="str">
        <f>IF(AR185="","",IF(ISNUMBER(SEARCH("جازان",AR185)),"مستشفى جازان العام",IF(ISNUMBER(SEARCH("صبيا",AR185)),"مستشفى صبيا العام",IF(ISNUMBER(SEARCH("عريش",AR185)),"مستشفى أبو عريش العام",IF(ISNUMBER(SEARCH("صامط",AR185)),"مستشفى صامطة العام",IF(ISNUMBER(SEARCH("بيش",AR185)),"مستشفى بيش العام",IF(ISNUMBER(SEARCH("فهد",AR185)),"مستشفى الملك فهد المركزي",AR185)))))))</f>
        <v>مستشفى صامطة العام</v>
      </c>
      <c r="AT185" s="241">
        <f>ROW()-1</f>
        <v>184</v>
      </c>
    </row>
    <row r="186" spans="1:46" ht="39">
      <c r="A186" s="1">
        <v>289</v>
      </c>
      <c r="B186" s="1">
        <v>46132.392893518503</v>
      </c>
      <c r="C186" s="1">
        <v>46132.401631944398</v>
      </c>
      <c r="D186" s="1" t="s">
        <v>662</v>
      </c>
      <c r="E186" s="1"/>
      <c r="F186" s="1" t="s">
        <v>431</v>
      </c>
      <c r="G186" s="1"/>
      <c r="H186" s="1"/>
      <c r="I186" s="1"/>
      <c r="J186" s="1"/>
      <c r="K186" s="1" t="s">
        <v>1923</v>
      </c>
      <c r="L186" s="1"/>
      <c r="M186" s="1"/>
      <c r="N186" s="1"/>
      <c r="O186" s="1" t="str">
        <f>_xlfn.CONCAT(OfficeForms.Table3[[#This Row],[القطاع الغربي (Western Sector)]:[القطاع فرسان (Farasan Sector)]])</f>
        <v>مركز الروضة ج (Al-Rawdhah J Center)</v>
      </c>
      <c r="P186" s="2">
        <v>46132</v>
      </c>
      <c r="Q186" s="2">
        <v>46015</v>
      </c>
      <c r="R186" s="21">
        <v>16</v>
      </c>
      <c r="S186" s="3">
        <v>1986</v>
      </c>
      <c r="T186" s="21">
        <v>39</v>
      </c>
      <c r="U186" s="1" t="s">
        <v>476</v>
      </c>
      <c r="V186" s="21" t="s">
        <v>1924</v>
      </c>
      <c r="W186" s="1" t="s">
        <v>1925</v>
      </c>
      <c r="X186" s="21" t="s">
        <v>1232</v>
      </c>
      <c r="Y186" s="10" t="s">
        <v>1926</v>
      </c>
      <c r="Z186" s="13" t="s">
        <v>1745</v>
      </c>
      <c r="AA186" s="13"/>
      <c r="AB186" s="13"/>
      <c r="AC186" s="13" t="s">
        <v>773</v>
      </c>
      <c r="AD186" s="13" t="s">
        <v>642</v>
      </c>
      <c r="AE186" s="13"/>
      <c r="AF186" s="1"/>
      <c r="AG186" s="13" t="s">
        <v>1256</v>
      </c>
      <c r="AH186" s="13"/>
      <c r="AI186" s="239">
        <v>46134</v>
      </c>
      <c r="AJ186" s="242" t="s">
        <v>1478</v>
      </c>
      <c r="AK186" s="245" t="str">
        <f t="shared" si="2"/>
        <v>✅ ملتزم</v>
      </c>
      <c r="AL186" s="251"/>
      <c r="AM186" s="241" t="s">
        <v>1467</v>
      </c>
      <c r="AN186" s="258" t="s">
        <v>1479</v>
      </c>
      <c r="AO186" s="252"/>
      <c r="AR186" s="241" t="s">
        <v>1467</v>
      </c>
      <c r="AS186" s="241" t="str">
        <f>IF(AR186="","",IF(ISNUMBER(SEARCH("جازان",AR186)),"مستشفى جازان العام",IF(ISNUMBER(SEARCH("صبيا",AR186)),"مستشفى صبيا العام",IF(ISNUMBER(SEARCH("عريش",AR186)),"مستشفى أبو عريش العام",IF(ISNUMBER(SEARCH("صامط",AR186)),"مستشفى صامطة العام",IF(ISNUMBER(SEARCH("بيش",AR186)),"مستشفى بيش العام",IF(ISNUMBER(SEARCH("فهد",AR186)),"مستشفى الملك فهد المركزي",AR186)))))))</f>
        <v>مستشفى جازان العام</v>
      </c>
      <c r="AT186" s="241">
        <f>ROW()-1</f>
        <v>185</v>
      </c>
    </row>
    <row r="187" spans="1:46" ht="39">
      <c r="A187" s="1">
        <v>290</v>
      </c>
      <c r="B187" s="1">
        <v>46132.398900462998</v>
      </c>
      <c r="C187" s="1">
        <v>46132.404050925899</v>
      </c>
      <c r="D187" s="1" t="s">
        <v>662</v>
      </c>
      <c r="E187" s="1"/>
      <c r="F187" s="1" t="s">
        <v>431</v>
      </c>
      <c r="G187" s="1"/>
      <c r="H187" s="1"/>
      <c r="I187" s="1"/>
      <c r="J187" s="1"/>
      <c r="K187" s="1" t="s">
        <v>1927</v>
      </c>
      <c r="L187" s="1"/>
      <c r="M187" s="1"/>
      <c r="N187" s="1"/>
      <c r="O187" s="1" t="str">
        <f>_xlfn.CONCAT(OfficeForms.Table3[[#This Row],[القطاع الغربي (Western Sector)]:[القطاع فرسان (Farasan Sector)]])</f>
        <v>مركز الكربوس ( Alkarbuse Center)</v>
      </c>
      <c r="P187" s="2">
        <v>46132</v>
      </c>
      <c r="Q187" s="2">
        <v>45994</v>
      </c>
      <c r="R187" s="21">
        <v>20</v>
      </c>
      <c r="S187" s="3">
        <v>1407</v>
      </c>
      <c r="T187" s="21">
        <v>39</v>
      </c>
      <c r="U187" s="1" t="s">
        <v>477</v>
      </c>
      <c r="V187" s="21" t="s">
        <v>1928</v>
      </c>
      <c r="W187" s="1" t="s">
        <v>1561</v>
      </c>
      <c r="X187" s="21" t="s">
        <v>702</v>
      </c>
      <c r="Y187" s="10" t="s">
        <v>1929</v>
      </c>
      <c r="Z187" s="13" t="s">
        <v>1528</v>
      </c>
      <c r="AA187" s="13"/>
      <c r="AB187" s="13"/>
      <c r="AC187" s="13"/>
      <c r="AD187" s="13" t="s">
        <v>642</v>
      </c>
      <c r="AE187" s="13"/>
      <c r="AF187" s="1"/>
      <c r="AG187" s="13" t="s">
        <v>838</v>
      </c>
      <c r="AH187" s="13"/>
      <c r="AI187" s="239">
        <v>46140</v>
      </c>
      <c r="AJ187" s="242" t="s">
        <v>1478</v>
      </c>
      <c r="AK187" s="245" t="str">
        <f t="shared" si="2"/>
        <v>❌ غير ملتزم</v>
      </c>
      <c r="AL187" s="251"/>
      <c r="AM187" s="241" t="s">
        <v>1467</v>
      </c>
      <c r="AN187" s="258" t="s">
        <v>1479</v>
      </c>
      <c r="AO187" s="252"/>
      <c r="AR187" s="241" t="s">
        <v>1467</v>
      </c>
      <c r="AS187" s="241" t="str">
        <f>IF(AR187="","",IF(ISNUMBER(SEARCH("جازان",AR187)),"مستشفى جازان العام",IF(ISNUMBER(SEARCH("صبيا",AR187)),"مستشفى صبيا العام",IF(ISNUMBER(SEARCH("عريش",AR187)),"مستشفى أبو عريش العام",IF(ISNUMBER(SEARCH("صامط",AR187)),"مستشفى صامطة العام",IF(ISNUMBER(SEARCH("بيش",AR187)),"مستشفى بيش العام",IF(ISNUMBER(SEARCH("فهد",AR187)),"مستشفى الملك فهد المركزي",AR187)))))))</f>
        <v>مستشفى جازان العام</v>
      </c>
      <c r="AT187" s="241">
        <f>ROW()-1</f>
        <v>186</v>
      </c>
    </row>
    <row r="188" spans="1:46" ht="216">
      <c r="A188" s="1">
        <v>291</v>
      </c>
      <c r="B188" s="1">
        <v>46132.619664351798</v>
      </c>
      <c r="C188" s="1">
        <v>46132.626643518503</v>
      </c>
      <c r="D188" s="1" t="s">
        <v>662</v>
      </c>
      <c r="E188" s="1"/>
      <c r="F188" s="1" t="s">
        <v>431</v>
      </c>
      <c r="G188" s="1"/>
      <c r="H188" s="1"/>
      <c r="I188" s="1"/>
      <c r="J188" s="1"/>
      <c r="K188" s="1" t="s">
        <v>1674</v>
      </c>
      <c r="L188" s="1"/>
      <c r="M188" s="1"/>
      <c r="N188" s="1"/>
      <c r="O188" s="1" t="str">
        <f>_xlfn.CONCAT(OfficeForms.Table3[[#This Row],[القطاع الغربي (Western Sector)]:[القطاع فرسان (Farasan Sector)]])</f>
        <v>مركز مخطط 6 (Mukhattat 6 Center)</v>
      </c>
      <c r="P188" s="2">
        <v>46132</v>
      </c>
      <c r="Q188" s="2">
        <v>46039</v>
      </c>
      <c r="R188" s="21">
        <v>7</v>
      </c>
      <c r="S188" s="3">
        <v>1987</v>
      </c>
      <c r="T188" s="21">
        <v>38</v>
      </c>
      <c r="U188" s="1" t="s">
        <v>478</v>
      </c>
      <c r="V188" s="21" t="s">
        <v>1930</v>
      </c>
      <c r="W188" s="1" t="s">
        <v>1931</v>
      </c>
      <c r="X188" s="21" t="s">
        <v>939</v>
      </c>
      <c r="Y188" s="10" t="s">
        <v>1932</v>
      </c>
      <c r="Z188" s="13" t="s">
        <v>1860</v>
      </c>
      <c r="AA188" s="13" t="s">
        <v>1933</v>
      </c>
      <c r="AB188" s="13" t="s">
        <v>1934</v>
      </c>
      <c r="AC188" s="13"/>
      <c r="AD188" s="13" t="s">
        <v>680</v>
      </c>
      <c r="AE188" s="13" t="s">
        <v>680</v>
      </c>
      <c r="AF188" s="1" t="s">
        <v>680</v>
      </c>
      <c r="AG188" s="13" t="s">
        <v>1935</v>
      </c>
      <c r="AH188" s="13"/>
      <c r="AI188" s="239">
        <v>46135</v>
      </c>
      <c r="AJ188" s="242" t="s">
        <v>1478</v>
      </c>
      <c r="AK188" s="245" t="str">
        <f t="shared" si="2"/>
        <v>❌ غير ملتزم</v>
      </c>
      <c r="AL188" s="251"/>
      <c r="AM188" s="241" t="s">
        <v>1467</v>
      </c>
      <c r="AN188" s="258" t="s">
        <v>1479</v>
      </c>
      <c r="AO188" s="252" t="s">
        <v>1936</v>
      </c>
      <c r="AR188" s="241" t="s">
        <v>1467</v>
      </c>
      <c r="AS188" s="241" t="str">
        <f>IF(AR188="","",IF(ISNUMBER(SEARCH("جازان",AR188)),"مستشفى جازان العام",IF(ISNUMBER(SEARCH("صبيا",AR188)),"مستشفى صبيا العام",IF(ISNUMBER(SEARCH("عريش",AR188)),"مستشفى أبو عريش العام",IF(ISNUMBER(SEARCH("صامط",AR188)),"مستشفى صامطة العام",IF(ISNUMBER(SEARCH("بيش",AR188)),"مستشفى بيش العام",IF(ISNUMBER(SEARCH("فهد",AR188)),"مستشفى الملك فهد المركزي",AR188)))))))</f>
        <v>مستشفى جازان العام</v>
      </c>
      <c r="AT188" s="241">
        <f>ROW()-1</f>
        <v>187</v>
      </c>
    </row>
    <row r="189" spans="1:46" ht="140.25">
      <c r="A189" s="1">
        <v>292</v>
      </c>
      <c r="B189" s="1">
        <v>46133.353865740697</v>
      </c>
      <c r="C189" s="1">
        <v>46133.3598263889</v>
      </c>
      <c r="D189" s="1" t="s">
        <v>662</v>
      </c>
      <c r="E189" s="1"/>
      <c r="F189" s="1" t="s">
        <v>431</v>
      </c>
      <c r="G189" s="1"/>
      <c r="H189" s="1"/>
      <c r="I189" s="1"/>
      <c r="J189" s="1"/>
      <c r="K189" s="1" t="s">
        <v>1653</v>
      </c>
      <c r="L189" s="1"/>
      <c r="M189" s="1"/>
      <c r="N189" s="1"/>
      <c r="O189" s="1" t="str">
        <f>_xlfn.CONCAT(OfficeForms.Table3[[#This Row],[القطاع الغربي (Western Sector)]:[القطاع فرسان (Farasan Sector)]])</f>
        <v>مركز المعبوج (Al-Maabooj Center)</v>
      </c>
      <c r="P189" s="2">
        <v>46133</v>
      </c>
      <c r="Q189" s="2">
        <v>46068</v>
      </c>
      <c r="R189" s="21" t="s">
        <v>935</v>
      </c>
      <c r="S189" s="22" t="s">
        <v>1627</v>
      </c>
      <c r="T189" s="21">
        <v>21</v>
      </c>
      <c r="U189" s="1" t="s">
        <v>479</v>
      </c>
      <c r="V189" s="21" t="s">
        <v>1937</v>
      </c>
      <c r="W189" s="1" t="s">
        <v>875</v>
      </c>
      <c r="X189" s="21" t="s">
        <v>1382</v>
      </c>
      <c r="Y189" s="10" t="s">
        <v>1938</v>
      </c>
      <c r="Z189" s="13" t="s">
        <v>1939</v>
      </c>
      <c r="AA189" s="13"/>
      <c r="AB189" s="13"/>
      <c r="AC189" s="13"/>
      <c r="AD189" s="13" t="s">
        <v>642</v>
      </c>
      <c r="AE189" s="13"/>
      <c r="AF189" s="1"/>
      <c r="AG189" s="13" t="s">
        <v>1415</v>
      </c>
      <c r="AH189" s="13"/>
      <c r="AI189" s="239">
        <v>46135</v>
      </c>
      <c r="AJ189" s="242" t="s">
        <v>1478</v>
      </c>
      <c r="AK189" s="245" t="str">
        <f t="shared" si="2"/>
        <v>✅ ملتزم</v>
      </c>
      <c r="AL189" s="251"/>
      <c r="AM189" s="241" t="s">
        <v>1467</v>
      </c>
      <c r="AN189" s="258" t="s">
        <v>1479</v>
      </c>
      <c r="AO189" s="252"/>
      <c r="AR189" s="241" t="s">
        <v>1467</v>
      </c>
      <c r="AS189" s="241" t="str">
        <f>IF(AR189="","",IF(ISNUMBER(SEARCH("جازان",AR189)),"مستشفى جازان العام",IF(ISNUMBER(SEARCH("صبيا",AR189)),"مستشفى صبيا العام",IF(ISNUMBER(SEARCH("عريش",AR189)),"مستشفى أبو عريش العام",IF(ISNUMBER(SEARCH("صامط",AR189)),"مستشفى صامطة العام",IF(ISNUMBER(SEARCH("بيش",AR189)),"مستشفى بيش العام",IF(ISNUMBER(SEARCH("فهد",AR189)),"مستشفى الملك فهد المركزي",AR189)))))))</f>
        <v>مستشفى جازان العام</v>
      </c>
      <c r="AT189" s="241">
        <f>ROW()-1</f>
        <v>188</v>
      </c>
    </row>
    <row r="190" spans="1:46" ht="39">
      <c r="A190" s="1">
        <v>293</v>
      </c>
      <c r="B190" s="1">
        <v>46133.366539351897</v>
      </c>
      <c r="C190" s="1">
        <v>46133.378090277802</v>
      </c>
      <c r="D190" s="1" t="s">
        <v>662</v>
      </c>
      <c r="E190" s="1"/>
      <c r="F190" s="1" t="s">
        <v>427</v>
      </c>
      <c r="G190" s="1" t="s">
        <v>1480</v>
      </c>
      <c r="H190" s="1"/>
      <c r="I190" s="1"/>
      <c r="J190" s="1"/>
      <c r="K190" s="1"/>
      <c r="L190" s="1"/>
      <c r="M190" s="1"/>
      <c r="N190" s="1"/>
      <c r="O190" s="1" t="str">
        <f>_xlfn.CONCAT(OfficeForms.Table3[[#This Row],[القطاع الغربي (Western Sector)]:[القطاع فرسان (Farasan Sector)]])</f>
        <v>مركز العريش (Al-Arees Center)</v>
      </c>
      <c r="P190" s="2">
        <v>46133</v>
      </c>
      <c r="Q190" s="2">
        <v>45965</v>
      </c>
      <c r="R190" s="21" t="s">
        <v>1303</v>
      </c>
      <c r="S190" s="22" t="s">
        <v>1940</v>
      </c>
      <c r="T190" s="21">
        <v>32</v>
      </c>
      <c r="U190" s="1" t="s">
        <v>480</v>
      </c>
      <c r="V190" s="21" t="s">
        <v>1941</v>
      </c>
      <c r="W190" s="1" t="s">
        <v>1484</v>
      </c>
      <c r="X190" s="21" t="s">
        <v>960</v>
      </c>
      <c r="Y190" s="10" t="s">
        <v>1942</v>
      </c>
      <c r="Z190" s="13" t="s">
        <v>1528</v>
      </c>
      <c r="AA190" s="13"/>
      <c r="AB190" s="13"/>
      <c r="AC190" s="13"/>
      <c r="AD190" s="13" t="s">
        <v>642</v>
      </c>
      <c r="AE190" s="13"/>
      <c r="AF190" s="1"/>
      <c r="AG190" s="13" t="s">
        <v>1943</v>
      </c>
      <c r="AH190" s="13"/>
      <c r="AI190" s="239">
        <v>46135</v>
      </c>
      <c r="AJ190" s="242" t="s">
        <v>1478</v>
      </c>
      <c r="AK190" s="245" t="str">
        <f t="shared" si="2"/>
        <v>✅ ملتزم</v>
      </c>
      <c r="AL190" s="251"/>
      <c r="AM190" s="241" t="s">
        <v>65</v>
      </c>
      <c r="AN190" s="258" t="s">
        <v>1479</v>
      </c>
      <c r="AO190" s="252"/>
      <c r="AR190" s="241" t="s">
        <v>57</v>
      </c>
      <c r="AS190" s="241" t="str">
        <f>IF(AR190="","",IF(ISNUMBER(SEARCH("جازان",AR190)),"مستشفى جازان العام",IF(ISNUMBER(SEARCH("صبيا",AR190)),"مستشفى صبيا العام",IF(ISNUMBER(SEARCH("عريش",AR190)),"مستشفى أبو عريش العام",IF(ISNUMBER(SEARCH("صامط",AR190)),"مستشفى صامطة العام",IF(ISNUMBER(SEARCH("بيش",AR190)),"مستشفى بيش العام",IF(ISNUMBER(SEARCH("فهد",AR190)),"مستشفى الملك فهد المركزي",AR190)))))))</f>
        <v>مستشفى صبيا العام</v>
      </c>
      <c r="AT190" s="241">
        <f>ROW()-1</f>
        <v>189</v>
      </c>
    </row>
    <row r="191" spans="1:46" ht="63.75">
      <c r="A191" s="1">
        <v>294</v>
      </c>
      <c r="B191" s="1">
        <v>46133.424085648097</v>
      </c>
      <c r="C191" s="1">
        <v>46133.429178240702</v>
      </c>
      <c r="D191" s="1" t="s">
        <v>662</v>
      </c>
      <c r="E191" s="1"/>
      <c r="F191" s="1" t="s">
        <v>431</v>
      </c>
      <c r="G191" s="1"/>
      <c r="H191" s="1"/>
      <c r="I191" s="1"/>
      <c r="J191" s="1"/>
      <c r="K191" s="1" t="s">
        <v>1731</v>
      </c>
      <c r="L191" s="1"/>
      <c r="M191" s="1"/>
      <c r="N191" s="1"/>
      <c r="O191" s="1" t="str">
        <f>_xlfn.CONCAT(OfficeForms.Table3[[#This Row],[القطاع الغربي (Western Sector)]:[القطاع فرسان (Farasan Sector)]])</f>
        <v>مركز المطار (Al-Matar Center)</v>
      </c>
      <c r="P191" s="2">
        <v>46133</v>
      </c>
      <c r="Q191" s="2">
        <v>45918</v>
      </c>
      <c r="R191" s="21" t="s">
        <v>1565</v>
      </c>
      <c r="S191" s="22" t="s">
        <v>1944</v>
      </c>
      <c r="T191" s="21">
        <v>31</v>
      </c>
      <c r="U191" s="1" t="s">
        <v>481</v>
      </c>
      <c r="V191" s="21" t="s">
        <v>1945</v>
      </c>
      <c r="W191" s="1" t="s">
        <v>1897</v>
      </c>
      <c r="X191" s="21" t="s">
        <v>1898</v>
      </c>
      <c r="Y191" s="10" t="s">
        <v>1946</v>
      </c>
      <c r="Z191" s="13" t="s">
        <v>1947</v>
      </c>
      <c r="AA191" s="13"/>
      <c r="AB191" s="13"/>
      <c r="AC191" s="13"/>
      <c r="AD191" s="13" t="s">
        <v>642</v>
      </c>
      <c r="AE191" s="13"/>
      <c r="AF191" s="1"/>
      <c r="AG191" s="13" t="s">
        <v>1948</v>
      </c>
      <c r="AH191" s="13"/>
      <c r="AI191" s="239">
        <v>46135</v>
      </c>
      <c r="AJ191" s="242" t="s">
        <v>1478</v>
      </c>
      <c r="AK191" s="245" t="str">
        <f t="shared" si="2"/>
        <v>✅ ملتزم</v>
      </c>
      <c r="AL191" s="251"/>
      <c r="AM191" s="241" t="s">
        <v>1467</v>
      </c>
      <c r="AN191" s="258" t="s">
        <v>1479</v>
      </c>
      <c r="AO191" s="252"/>
      <c r="AR191" s="241" t="s">
        <v>1467</v>
      </c>
      <c r="AS191" s="241" t="str">
        <f>IF(AR191="","",IF(ISNUMBER(SEARCH("جازان",AR191)),"مستشفى جازان العام",IF(ISNUMBER(SEARCH("صبيا",AR191)),"مستشفى صبيا العام",IF(ISNUMBER(SEARCH("عريش",AR191)),"مستشفى أبو عريش العام",IF(ISNUMBER(SEARCH("صامط",AR191)),"مستشفى صامطة العام",IF(ISNUMBER(SEARCH("بيش",AR191)),"مستشفى بيش العام",IF(ISNUMBER(SEARCH("فهد",AR191)),"مستشفى الملك فهد المركزي",AR191)))))))</f>
        <v>مستشفى جازان العام</v>
      </c>
      <c r="AT191" s="241">
        <f>ROW()-1</f>
        <v>190</v>
      </c>
    </row>
    <row r="192" spans="1:46" ht="114.75">
      <c r="A192" s="1">
        <v>295</v>
      </c>
      <c r="B192" s="1">
        <v>46133.396886574097</v>
      </c>
      <c r="C192" s="1">
        <v>46133.532384259299</v>
      </c>
      <c r="D192" s="1" t="s">
        <v>662</v>
      </c>
      <c r="E192" s="1"/>
      <c r="F192" s="1" t="s">
        <v>431</v>
      </c>
      <c r="G192" s="1"/>
      <c r="H192" s="1"/>
      <c r="I192" s="1"/>
      <c r="J192" s="1"/>
      <c r="K192" s="1" t="s">
        <v>1653</v>
      </c>
      <c r="L192" s="1"/>
      <c r="M192" s="1"/>
      <c r="N192" s="1"/>
      <c r="O192" s="1" t="str">
        <f>_xlfn.CONCAT(OfficeForms.Table3[[#This Row],[القطاع الغربي (Western Sector)]:[القطاع فرسان (Farasan Sector)]])</f>
        <v>مركز المعبوج (Al-Maabooj Center)</v>
      </c>
      <c r="P192" s="2">
        <v>46133</v>
      </c>
      <c r="Q192" s="2">
        <v>46069</v>
      </c>
      <c r="R192" s="21" t="s">
        <v>935</v>
      </c>
      <c r="S192" s="22" t="s">
        <v>1379</v>
      </c>
      <c r="T192" s="21">
        <v>22</v>
      </c>
      <c r="U192" s="1" t="s">
        <v>482</v>
      </c>
      <c r="V192" s="21" t="s">
        <v>1949</v>
      </c>
      <c r="W192" s="1" t="s">
        <v>875</v>
      </c>
      <c r="X192" s="21" t="s">
        <v>1382</v>
      </c>
      <c r="Y192" s="10" t="s">
        <v>1950</v>
      </c>
      <c r="Z192" s="13" t="s">
        <v>1951</v>
      </c>
      <c r="AA192" s="13"/>
      <c r="AB192" s="13" t="s">
        <v>1768</v>
      </c>
      <c r="AC192" s="13"/>
      <c r="AD192" s="13" t="s">
        <v>642</v>
      </c>
      <c r="AE192" s="13"/>
      <c r="AF192" s="1"/>
      <c r="AG192" s="13" t="s">
        <v>1415</v>
      </c>
      <c r="AH192" s="13"/>
      <c r="AI192" s="239">
        <v>46135</v>
      </c>
      <c r="AJ192" s="242" t="s">
        <v>1478</v>
      </c>
      <c r="AK192" s="245" t="str">
        <f t="shared" si="2"/>
        <v>✅ ملتزم</v>
      </c>
      <c r="AL192" s="251"/>
      <c r="AN192" s="258" t="s">
        <v>1479</v>
      </c>
      <c r="AO192" s="252"/>
      <c r="AR192" s="241" t="s">
        <v>1467</v>
      </c>
      <c r="AS192" s="241" t="str">
        <f>IF(AR192="","",IF(ISNUMBER(SEARCH("جازان",AR192)),"مستشفى جازان العام",IF(ISNUMBER(SEARCH("صبيا",AR192)),"مستشفى صبيا العام",IF(ISNUMBER(SEARCH("عريش",AR192)),"مستشفى أبو عريش العام",IF(ISNUMBER(SEARCH("صامط",AR192)),"مستشفى صامطة العام",IF(ISNUMBER(SEARCH("بيش",AR192)),"مستشفى بيش العام",IF(ISNUMBER(SEARCH("فهد",AR192)),"مستشفى الملك فهد المركزي",AR192)))))))</f>
        <v>مستشفى جازان العام</v>
      </c>
      <c r="AT192" s="241">
        <f>ROW()-1</f>
        <v>191</v>
      </c>
    </row>
    <row r="193" spans="1:46" ht="51">
      <c r="A193" s="1">
        <v>296</v>
      </c>
      <c r="B193" s="1">
        <v>46133.545081018499</v>
      </c>
      <c r="C193" s="1">
        <v>46133.549444444398</v>
      </c>
      <c r="D193" s="1" t="s">
        <v>662</v>
      </c>
      <c r="E193" s="1"/>
      <c r="F193" s="1" t="s">
        <v>468</v>
      </c>
      <c r="G193" s="1"/>
      <c r="H193" s="1" t="s">
        <v>1591</v>
      </c>
      <c r="I193" s="1"/>
      <c r="J193" s="1"/>
      <c r="K193" s="1"/>
      <c r="L193" s="1"/>
      <c r="M193" s="1"/>
      <c r="N193" s="1"/>
      <c r="O193" s="1" t="str">
        <f>_xlfn.CONCAT(OfficeForms.Table3[[#This Row],[القطاع الغربي (Western Sector)]:[القطاع فرسان (Farasan Sector)]])</f>
        <v>مركز الخوالف (Al-Khawalif Center)</v>
      </c>
      <c r="P193" s="2">
        <v>46133</v>
      </c>
      <c r="Q193" s="2">
        <v>45916</v>
      </c>
      <c r="R193" s="21" t="s">
        <v>1243</v>
      </c>
      <c r="S193" s="3" t="s">
        <v>1952</v>
      </c>
      <c r="T193" s="21">
        <v>34</v>
      </c>
      <c r="U193" s="1" t="s">
        <v>483</v>
      </c>
      <c r="V193" s="21" t="s">
        <v>1953</v>
      </c>
      <c r="W193" s="1" t="s">
        <v>1954</v>
      </c>
      <c r="X193" s="21" t="s">
        <v>1955</v>
      </c>
      <c r="Y193" s="10" t="s">
        <v>1453</v>
      </c>
      <c r="Z193" s="13" t="s">
        <v>1860</v>
      </c>
      <c r="AA193" s="13"/>
      <c r="AB193" s="13" t="s">
        <v>1956</v>
      </c>
      <c r="AC193" s="13"/>
      <c r="AD193" s="13" t="s">
        <v>680</v>
      </c>
      <c r="AE193" s="13" t="s">
        <v>642</v>
      </c>
      <c r="AF193" s="1" t="s">
        <v>680</v>
      </c>
      <c r="AG193" s="13" t="s">
        <v>1957</v>
      </c>
      <c r="AH193" s="13"/>
      <c r="AI193" s="239">
        <v>46134</v>
      </c>
      <c r="AJ193" s="242" t="s">
        <v>1478</v>
      </c>
      <c r="AK193" s="245" t="str">
        <f t="shared" si="2"/>
        <v>✅ ملتزم</v>
      </c>
      <c r="AL193" s="251"/>
      <c r="AN193" s="258" t="s">
        <v>1479</v>
      </c>
      <c r="AO193" s="252"/>
      <c r="AP193" s="241" t="s">
        <v>1958</v>
      </c>
      <c r="AQ193" s="241" t="s">
        <v>1814</v>
      </c>
      <c r="AR193" s="241" t="s">
        <v>65</v>
      </c>
      <c r="AS193" s="241" t="str">
        <f>IF(AR193="","",IF(ISNUMBER(SEARCH("جازان",AR193)),"مستشفى جازان العام",IF(ISNUMBER(SEARCH("صبيا",AR193)),"مستشفى صبيا العام",IF(ISNUMBER(SEARCH("عريش",AR193)),"مستشفى أبو عريش العام",IF(ISNUMBER(SEARCH("صامط",AR193)),"مستشفى صامطة العام",IF(ISNUMBER(SEARCH("بيش",AR193)),"مستشفى بيش العام",IF(ISNUMBER(SEARCH("فهد",AR193)),"مستشفى الملك فهد المركزي",AR193)))))))</f>
        <v>مستشفى صامطة العام</v>
      </c>
      <c r="AT193" s="241">
        <f>ROW()-1</f>
        <v>192</v>
      </c>
    </row>
    <row r="194" spans="1:46" ht="39">
      <c r="A194" s="1">
        <v>297</v>
      </c>
      <c r="B194" s="1">
        <v>46133.605671296304</v>
      </c>
      <c r="C194" s="1">
        <v>46133.607557870397</v>
      </c>
      <c r="D194" s="1" t="s">
        <v>662</v>
      </c>
      <c r="E194" s="1"/>
      <c r="F194" s="1" t="s">
        <v>431</v>
      </c>
      <c r="G194" s="1"/>
      <c r="H194" s="1"/>
      <c r="I194" s="1"/>
      <c r="J194" s="1"/>
      <c r="K194" s="1" t="s">
        <v>1731</v>
      </c>
      <c r="L194" s="1"/>
      <c r="M194" s="1"/>
      <c r="N194" s="1"/>
      <c r="O194" s="1" t="str">
        <f>_xlfn.CONCAT(OfficeForms.Table3[[#This Row],[القطاع الغربي (Western Sector)]:[القطاع فرسان (Farasan Sector)]])</f>
        <v>مركز المطار (Al-Matar Center)</v>
      </c>
      <c r="P194" s="2">
        <v>46126</v>
      </c>
      <c r="Q194" s="2">
        <v>45920</v>
      </c>
      <c r="R194" s="21" t="s">
        <v>1565</v>
      </c>
      <c r="S194" s="3" t="s">
        <v>1959</v>
      </c>
      <c r="T194" s="21">
        <v>28</v>
      </c>
      <c r="U194" s="1" t="s">
        <v>484</v>
      </c>
      <c r="V194" s="21" t="s">
        <v>1960</v>
      </c>
      <c r="W194" s="1" t="s">
        <v>1961</v>
      </c>
      <c r="X194" s="21" t="s">
        <v>1804</v>
      </c>
      <c r="Y194" s="10" t="s">
        <v>1962</v>
      </c>
      <c r="Z194" s="13" t="s">
        <v>1528</v>
      </c>
      <c r="AA194" s="13"/>
      <c r="AB194" s="13"/>
      <c r="AC194" s="13"/>
      <c r="AD194" s="13" t="s">
        <v>642</v>
      </c>
      <c r="AE194" s="13"/>
      <c r="AF194" s="1"/>
      <c r="AG194" s="13" t="s">
        <v>1963</v>
      </c>
      <c r="AH194" s="13"/>
      <c r="AI194" s="239">
        <v>46138</v>
      </c>
      <c r="AJ194" s="242" t="s">
        <v>1478</v>
      </c>
      <c r="AK194" s="245" t="str">
        <f t="shared" si="2"/>
        <v>❌ غير ملتزم</v>
      </c>
      <c r="AL194" s="251"/>
      <c r="AN194" s="258" t="s">
        <v>1479</v>
      </c>
      <c r="AO194" s="252"/>
      <c r="AR194" s="241" t="s">
        <v>1467</v>
      </c>
      <c r="AS194" s="241" t="str">
        <f>IF(AR194="","",IF(ISNUMBER(SEARCH("جازان",AR194)),"مستشفى جازان العام",IF(ISNUMBER(SEARCH("صبيا",AR194)),"مستشفى صبيا العام",IF(ISNUMBER(SEARCH("عريش",AR194)),"مستشفى أبو عريش العام",IF(ISNUMBER(SEARCH("صامط",AR194)),"مستشفى صامطة العام",IF(ISNUMBER(SEARCH("بيش",AR194)),"مستشفى بيش العام",IF(ISNUMBER(SEARCH("فهد",AR194)),"مستشفى الملك فهد المركزي",AR194)))))))</f>
        <v>مستشفى جازان العام</v>
      </c>
      <c r="AT194" s="241">
        <f>ROW()-1</f>
        <v>193</v>
      </c>
    </row>
    <row r="195" spans="1:46" ht="39">
      <c r="A195" s="1">
        <v>298</v>
      </c>
      <c r="B195" s="1">
        <v>46133.623634259297</v>
      </c>
      <c r="C195" s="1">
        <v>46133.630451388897</v>
      </c>
      <c r="D195" s="1" t="s">
        <v>662</v>
      </c>
      <c r="E195" s="1"/>
      <c r="F195" s="1" t="s">
        <v>461</v>
      </c>
      <c r="G195" s="1"/>
      <c r="H195" s="1"/>
      <c r="I195" s="1"/>
      <c r="J195" s="1" t="s">
        <v>1964</v>
      </c>
      <c r="K195" s="1"/>
      <c r="L195" s="1"/>
      <c r="M195" s="1"/>
      <c r="N195" s="1"/>
      <c r="O195" s="1" t="str">
        <f>_xlfn.CONCAT(OfficeForms.Table3[[#This Row],[القطاع الغربي (Western Sector)]:[القطاع فرسان (Farasan Sector)]])</f>
        <v>مركز القهر (Al-Qahar Center)</v>
      </c>
      <c r="P195" s="2">
        <v>46133</v>
      </c>
      <c r="Q195" s="2">
        <v>45886</v>
      </c>
      <c r="R195" s="21" t="s">
        <v>1624</v>
      </c>
      <c r="S195" s="3">
        <v>37317</v>
      </c>
      <c r="T195" s="21">
        <v>24</v>
      </c>
      <c r="U195" s="1" t="s">
        <v>485</v>
      </c>
      <c r="V195" s="21">
        <v>1115266841</v>
      </c>
      <c r="W195" s="1" t="s">
        <v>769</v>
      </c>
      <c r="X195" s="21" t="s">
        <v>770</v>
      </c>
      <c r="Y195" s="10" t="s">
        <v>1965</v>
      </c>
      <c r="Z195" s="13"/>
      <c r="AA195" s="13" t="s">
        <v>1900</v>
      </c>
      <c r="AB195" s="13"/>
      <c r="AC195" s="13"/>
      <c r="AD195" s="13" t="s">
        <v>642</v>
      </c>
      <c r="AE195" s="13"/>
      <c r="AF195" s="1"/>
      <c r="AG195" s="13" t="s">
        <v>1966</v>
      </c>
      <c r="AH195" s="13"/>
      <c r="AI195" s="239">
        <v>46138</v>
      </c>
      <c r="AJ195" s="242" t="s">
        <v>1478</v>
      </c>
      <c r="AK195" s="245" t="str">
        <f t="shared" ref="AK195:AK258" si="3">IF(OR(P195="",AI195=""),"⏳ بانتظار",IF(ISNUMBER(AI195),IF(NETWORKDAYS.INTL(P195,AI195,"0000011")-1&lt;=2,"✅ ملتزم","❌ غير ملتزم"),IFERROR(IF(NETWORKDAYS.INTL(P195,DATEVALUE(AI195),"0000011")-1&lt;=2,"✅ ملتزم","❌ غير ملتزم"),IFERROR(IF(NETWORKDAYS.INTL(P195,DATE(RIGHT(AI195,4),MID(AI195,FIND("/",AI195)+1,FIND("/",AI195,FIND("/",AI195)+1)-FIND("/",AI195)-1),LEFT(AI195,FIND("/",AI195)-1)),"0000011")-1&lt;=2,"✅ ملتزم","❌ غير ملتزم"),"⏳ بانتظار"))))</f>
        <v>❌ غير ملتزم</v>
      </c>
      <c r="AL195" s="251"/>
      <c r="AN195" s="258" t="s">
        <v>1479</v>
      </c>
      <c r="AO195" s="252"/>
      <c r="AR195" s="241" t="s">
        <v>67</v>
      </c>
      <c r="AS195" s="241" t="str">
        <f>IF(AR195="","",IF(ISNUMBER(SEARCH("جازان",AR195)),"مستشفى جازان العام",IF(ISNUMBER(SEARCH("صبيا",AR195)),"مستشفى صبيا العام",IF(ISNUMBER(SEARCH("عريش",AR195)),"مستشفى أبو عريش العام",IF(ISNUMBER(SEARCH("صامط",AR195)),"مستشفى صامطة العام",IF(ISNUMBER(SEARCH("بيش",AR195)),"مستشفى بيش العام",IF(ISNUMBER(SEARCH("فهد",AR195)),"مستشفى الملك فهد المركزي",AR195)))))))</f>
        <v>مستشفى بيش العام</v>
      </c>
      <c r="AT195" s="241">
        <f>ROW()-1</f>
        <v>194</v>
      </c>
    </row>
    <row r="196" spans="1:46" ht="39">
      <c r="A196" s="1">
        <v>299</v>
      </c>
      <c r="B196" s="1">
        <v>46133.638356481497</v>
      </c>
      <c r="C196" s="1">
        <v>46133.642858796302</v>
      </c>
      <c r="D196" s="1" t="s">
        <v>662</v>
      </c>
      <c r="E196" s="1"/>
      <c r="F196" s="1" t="s">
        <v>468</v>
      </c>
      <c r="G196" s="1"/>
      <c r="H196" s="1" t="s">
        <v>1754</v>
      </c>
      <c r="I196" s="1"/>
      <c r="J196" s="1"/>
      <c r="K196" s="1"/>
      <c r="L196" s="1"/>
      <c r="M196" s="1"/>
      <c r="N196" s="1"/>
      <c r="O196" s="1" t="str">
        <f>_xlfn.CONCAT(OfficeForms.Table3[[#This Row],[القطاع الغربي (Western Sector)]:[القطاع فرسان (Farasan Sector)]])</f>
        <v>مركز الخارش (Al-Kharsh Center)</v>
      </c>
      <c r="P196" s="2">
        <v>46133</v>
      </c>
      <c r="Q196" s="2">
        <v>45897</v>
      </c>
      <c r="R196" s="21" t="s">
        <v>1095</v>
      </c>
      <c r="S196" s="3">
        <v>46177</v>
      </c>
      <c r="T196" s="21">
        <v>32</v>
      </c>
      <c r="U196" s="1" t="s">
        <v>486</v>
      </c>
      <c r="V196" s="21" t="s">
        <v>1967</v>
      </c>
      <c r="W196" s="1" t="s">
        <v>1968</v>
      </c>
      <c r="X196" s="21" t="s">
        <v>1314</v>
      </c>
      <c r="Y196" s="10" t="s">
        <v>1969</v>
      </c>
      <c r="Z196" s="13" t="s">
        <v>1528</v>
      </c>
      <c r="AA196" s="13"/>
      <c r="AB196" s="13"/>
      <c r="AC196" s="13"/>
      <c r="AD196" s="13" t="s">
        <v>642</v>
      </c>
      <c r="AE196" s="13"/>
      <c r="AF196" s="1"/>
      <c r="AG196" s="13" t="s">
        <v>1970</v>
      </c>
      <c r="AH196" s="13"/>
      <c r="AI196" s="239">
        <v>46138</v>
      </c>
      <c r="AJ196" s="242" t="s">
        <v>1478</v>
      </c>
      <c r="AK196" s="245" t="str">
        <f t="shared" si="3"/>
        <v>❌ غير ملتزم</v>
      </c>
      <c r="AL196" s="251"/>
      <c r="AN196" s="258" t="s">
        <v>1479</v>
      </c>
      <c r="AO196" s="252"/>
      <c r="AR196" s="241" t="s">
        <v>65</v>
      </c>
      <c r="AS196" s="241" t="str">
        <f>IF(AR196="","",IF(ISNUMBER(SEARCH("جازان",AR196)),"مستشفى جازان العام",IF(ISNUMBER(SEARCH("صبيا",AR196)),"مستشفى صبيا العام",IF(ISNUMBER(SEARCH("عريش",AR196)),"مستشفى أبو عريش العام",IF(ISNUMBER(SEARCH("صامط",AR196)),"مستشفى صامطة العام",IF(ISNUMBER(SEARCH("بيش",AR196)),"مستشفى بيش العام",IF(ISNUMBER(SEARCH("فهد",AR196)),"مستشفى الملك فهد المركزي",AR196)))))))</f>
        <v>مستشفى صامطة العام</v>
      </c>
      <c r="AT196" s="241">
        <f>ROW()-1</f>
        <v>195</v>
      </c>
    </row>
    <row r="197" spans="1:46" ht="39">
      <c r="A197" s="1">
        <v>300</v>
      </c>
      <c r="B197" s="1">
        <v>46134.346087963</v>
      </c>
      <c r="C197" s="1">
        <v>46134.350810185198</v>
      </c>
      <c r="D197" s="1" t="s">
        <v>662</v>
      </c>
      <c r="E197" s="1"/>
      <c r="F197" s="1" t="s">
        <v>461</v>
      </c>
      <c r="G197" s="1"/>
      <c r="H197" s="1"/>
      <c r="I197" s="1"/>
      <c r="J197" s="1" t="s">
        <v>1612</v>
      </c>
      <c r="K197" s="1"/>
      <c r="L197" s="1"/>
      <c r="M197" s="1"/>
      <c r="N197" s="1"/>
      <c r="O197" s="1" t="str">
        <f>_xlfn.CONCAT(OfficeForms.Table3[[#This Row],[القطاع الغربي (Western Sector)]:[القطاع فرسان (Farasan Sector)]])</f>
        <v>مركز الريث (Al-Rayth Center)</v>
      </c>
      <c r="P197" s="2">
        <v>46133</v>
      </c>
      <c r="Q197" s="2">
        <v>45994</v>
      </c>
      <c r="R197" s="21" t="s">
        <v>1156</v>
      </c>
      <c r="S197" s="3">
        <v>36015</v>
      </c>
      <c r="T197" s="21">
        <v>27</v>
      </c>
      <c r="U197" s="1" t="s">
        <v>487</v>
      </c>
      <c r="V197" s="21" t="s">
        <v>1971</v>
      </c>
      <c r="W197" s="1" t="s">
        <v>769</v>
      </c>
      <c r="X197" s="21" t="s">
        <v>770</v>
      </c>
      <c r="Y197" s="10" t="s">
        <v>1972</v>
      </c>
      <c r="Z197" s="13" t="s">
        <v>1905</v>
      </c>
      <c r="AA197" s="13"/>
      <c r="AB197" s="13"/>
      <c r="AC197" s="13"/>
      <c r="AD197" s="13" t="s">
        <v>642</v>
      </c>
      <c r="AE197" s="13"/>
      <c r="AF197" s="1"/>
      <c r="AG197" s="13" t="s">
        <v>1392</v>
      </c>
      <c r="AH197" s="13"/>
      <c r="AI197" s="239">
        <v>46138</v>
      </c>
      <c r="AJ197" s="242" t="s">
        <v>1512</v>
      </c>
      <c r="AK197" s="245" t="str">
        <f t="shared" si="3"/>
        <v>❌ غير ملتزم</v>
      </c>
      <c r="AL197" s="251"/>
      <c r="AN197" s="258" t="s">
        <v>1479</v>
      </c>
      <c r="AO197" s="252" t="s">
        <v>1973</v>
      </c>
      <c r="AR197" s="241" t="s">
        <v>67</v>
      </c>
      <c r="AS197" s="241" t="str">
        <f>IF(AR197="","",IF(ISNUMBER(SEARCH("جازان",AR197)),"مستشفى جازان العام",IF(ISNUMBER(SEARCH("صبيا",AR197)),"مستشفى صبيا العام",IF(ISNUMBER(SEARCH("عريش",AR197)),"مستشفى أبو عريش العام",IF(ISNUMBER(SEARCH("صامط",AR197)),"مستشفى صامطة العام",IF(ISNUMBER(SEARCH("بيش",AR197)),"مستشفى بيش العام",IF(ISNUMBER(SEARCH("فهد",AR197)),"مستشفى الملك فهد المركزي",AR197)))))))</f>
        <v>مستشفى بيش العام</v>
      </c>
      <c r="AT197" s="241">
        <f>ROW()-1</f>
        <v>196</v>
      </c>
    </row>
    <row r="198" spans="1:46" ht="89.25">
      <c r="A198" s="1">
        <v>301</v>
      </c>
      <c r="B198" s="1">
        <v>46134.323495370401</v>
      </c>
      <c r="C198" s="1">
        <v>46134.358020833301</v>
      </c>
      <c r="D198" s="1" t="s">
        <v>662</v>
      </c>
      <c r="E198" s="1"/>
      <c r="F198" s="1" t="s">
        <v>431</v>
      </c>
      <c r="G198" s="1"/>
      <c r="H198" s="1"/>
      <c r="I198" s="1"/>
      <c r="J198" s="1"/>
      <c r="K198" s="1" t="s">
        <v>1470</v>
      </c>
      <c r="L198" s="1"/>
      <c r="M198" s="1"/>
      <c r="N198" s="1"/>
      <c r="O198" s="1" t="str">
        <f>_xlfn.CONCAT(OfficeForms.Table3[[#This Row],[القطاع الغربي (Western Sector)]:[القطاع فرسان (Farasan Sector)]])</f>
        <v>مركز الشاطىء (Al-Shati Center)</v>
      </c>
      <c r="P198" s="2">
        <v>46134</v>
      </c>
      <c r="Q198" s="2">
        <v>46064</v>
      </c>
      <c r="R198" s="21" t="s">
        <v>1974</v>
      </c>
      <c r="S198" s="3" t="s">
        <v>1975</v>
      </c>
      <c r="T198" s="21">
        <v>34</v>
      </c>
      <c r="U198" s="1" t="s">
        <v>488</v>
      </c>
      <c r="V198" s="21" t="s">
        <v>1976</v>
      </c>
      <c r="W198" s="1" t="s">
        <v>1977</v>
      </c>
      <c r="X198" s="21" t="s">
        <v>668</v>
      </c>
      <c r="Y198" s="10" t="s">
        <v>1978</v>
      </c>
      <c r="Z198" s="13"/>
      <c r="AA198" s="13" t="s">
        <v>1979</v>
      </c>
      <c r="AB198" s="13"/>
      <c r="AC198" s="13"/>
      <c r="AD198" s="13" t="s">
        <v>642</v>
      </c>
      <c r="AE198" s="13"/>
      <c r="AF198" s="1"/>
      <c r="AG198" s="13" t="s">
        <v>1980</v>
      </c>
      <c r="AH198" s="13"/>
      <c r="AI198" s="239">
        <v>46135</v>
      </c>
      <c r="AJ198" s="242" t="s">
        <v>1478</v>
      </c>
      <c r="AK198" s="245" t="str">
        <f t="shared" si="3"/>
        <v>✅ ملتزم</v>
      </c>
      <c r="AL198" s="251"/>
      <c r="AN198" s="258" t="s">
        <v>1479</v>
      </c>
      <c r="AO198" s="252"/>
      <c r="AP198" s="241" t="s">
        <v>1506</v>
      </c>
      <c r="AQ198" s="241" t="s">
        <v>1505</v>
      </c>
      <c r="AR198" s="241" t="s">
        <v>1467</v>
      </c>
      <c r="AS198" s="241" t="str">
        <f>IF(AR198="","",IF(ISNUMBER(SEARCH("جازان",AR198)),"مستشفى جازان العام",IF(ISNUMBER(SEARCH("صبيا",AR198)),"مستشفى صبيا العام",IF(ISNUMBER(SEARCH("عريش",AR198)),"مستشفى أبو عريش العام",IF(ISNUMBER(SEARCH("صامط",AR198)),"مستشفى صامطة العام",IF(ISNUMBER(SEARCH("بيش",AR198)),"مستشفى بيش العام",IF(ISNUMBER(SEARCH("فهد",AR198)),"مستشفى الملك فهد المركزي",AR198)))))))</f>
        <v>مستشفى جازان العام</v>
      </c>
      <c r="AT198" s="241">
        <f>ROW()-1</f>
        <v>197</v>
      </c>
    </row>
    <row r="199" spans="1:46" ht="102">
      <c r="A199" s="1">
        <v>302</v>
      </c>
      <c r="B199" s="1">
        <v>46134.393437500003</v>
      </c>
      <c r="C199" s="1">
        <v>46134.395555555602</v>
      </c>
      <c r="D199" s="1" t="s">
        <v>662</v>
      </c>
      <c r="E199" s="1"/>
      <c r="F199" s="1" t="s">
        <v>431</v>
      </c>
      <c r="G199" s="1"/>
      <c r="H199" s="1"/>
      <c r="I199" s="1"/>
      <c r="J199" s="1"/>
      <c r="K199" s="1" t="s">
        <v>1653</v>
      </c>
      <c r="L199" s="1"/>
      <c r="M199" s="1"/>
      <c r="N199" s="1"/>
      <c r="O199" s="1" t="str">
        <f>_xlfn.CONCAT(OfficeForms.Table3[[#This Row],[القطاع الغربي (Western Sector)]:[القطاع فرسان (Farasan Sector)]])</f>
        <v>مركز المعبوج (Al-Maabooj Center)</v>
      </c>
      <c r="P199" s="2">
        <v>46134</v>
      </c>
      <c r="Q199" s="2">
        <v>45924</v>
      </c>
      <c r="R199" s="21" t="s">
        <v>1565</v>
      </c>
      <c r="S199" s="22" t="s">
        <v>1624</v>
      </c>
      <c r="T199" s="21">
        <v>35</v>
      </c>
      <c r="U199" s="1" t="s">
        <v>489</v>
      </c>
      <c r="V199" s="21" t="s">
        <v>1981</v>
      </c>
      <c r="W199" s="1" t="s">
        <v>1889</v>
      </c>
      <c r="X199" s="21" t="s">
        <v>1382</v>
      </c>
      <c r="Y199" s="10" t="s">
        <v>1982</v>
      </c>
      <c r="Z199" s="13" t="s">
        <v>1983</v>
      </c>
      <c r="AA199" s="13"/>
      <c r="AB199" s="13"/>
      <c r="AC199" s="13"/>
      <c r="AD199" s="13" t="s">
        <v>642</v>
      </c>
      <c r="AE199" s="13"/>
      <c r="AF199" s="1"/>
      <c r="AG199" s="13" t="s">
        <v>1984</v>
      </c>
      <c r="AH199" s="13"/>
      <c r="AI199" s="239">
        <v>46135</v>
      </c>
      <c r="AJ199" s="242" t="s">
        <v>1478</v>
      </c>
      <c r="AK199" s="245" t="str">
        <f t="shared" si="3"/>
        <v>✅ ملتزم</v>
      </c>
      <c r="AL199" s="251"/>
      <c r="AN199" s="258" t="s">
        <v>1479</v>
      </c>
      <c r="AO199" s="252"/>
      <c r="AR199" s="241" t="s">
        <v>1467</v>
      </c>
      <c r="AS199" s="241" t="str">
        <f>IF(AR199="","",IF(ISNUMBER(SEARCH("جازان",AR199)),"مستشفى جازان العام",IF(ISNUMBER(SEARCH("صبيا",AR199)),"مستشفى صبيا العام",IF(ISNUMBER(SEARCH("عريش",AR199)),"مستشفى أبو عريش العام",IF(ISNUMBER(SEARCH("صامط",AR199)),"مستشفى صامطة العام",IF(ISNUMBER(SEARCH("بيش",AR199)),"مستشفى بيش العام",IF(ISNUMBER(SEARCH("فهد",AR199)),"مستشفى الملك فهد المركزي",AR199)))))))</f>
        <v>مستشفى جازان العام</v>
      </c>
      <c r="AT199" s="241">
        <f>ROW()-1</f>
        <v>198</v>
      </c>
    </row>
    <row r="200" spans="1:46" ht="76.5">
      <c r="A200" s="1">
        <v>303</v>
      </c>
      <c r="B200" s="1">
        <v>46134.389930555597</v>
      </c>
      <c r="C200" s="1">
        <v>46134.471956018497</v>
      </c>
      <c r="D200" s="1" t="s">
        <v>662</v>
      </c>
      <c r="E200" s="1"/>
      <c r="F200" s="1" t="s">
        <v>431</v>
      </c>
      <c r="G200" s="1"/>
      <c r="H200" s="1"/>
      <c r="I200" s="1"/>
      <c r="J200" s="1"/>
      <c r="K200" s="1" t="s">
        <v>1470</v>
      </c>
      <c r="L200" s="1"/>
      <c r="M200" s="1"/>
      <c r="N200" s="1"/>
      <c r="O200" s="1" t="str">
        <f>_xlfn.CONCAT(OfficeForms.Table3[[#This Row],[القطاع الغربي (Western Sector)]:[القطاع فرسان (Farasan Sector)]])</f>
        <v>مركز الشاطىء (Al-Shati Center)</v>
      </c>
      <c r="P200" s="2">
        <v>46134</v>
      </c>
      <c r="Q200" s="2">
        <v>46101</v>
      </c>
      <c r="R200" s="21" t="s">
        <v>1985</v>
      </c>
      <c r="S200" s="22" t="s">
        <v>1986</v>
      </c>
      <c r="T200" s="21">
        <v>23</v>
      </c>
      <c r="U200" s="1" t="s">
        <v>490</v>
      </c>
      <c r="V200" s="21" t="s">
        <v>1987</v>
      </c>
      <c r="W200" s="1" t="s">
        <v>1988</v>
      </c>
      <c r="X200" s="21" t="s">
        <v>668</v>
      </c>
      <c r="Y200" s="10" t="s">
        <v>1989</v>
      </c>
      <c r="Z200" s="13"/>
      <c r="AA200" s="13" t="s">
        <v>1990</v>
      </c>
      <c r="AB200" s="13"/>
      <c r="AC200" s="13"/>
      <c r="AD200" s="13" t="s">
        <v>642</v>
      </c>
      <c r="AE200" s="13"/>
      <c r="AF200" s="1"/>
      <c r="AG200" s="13" t="s">
        <v>643</v>
      </c>
      <c r="AH200" s="13"/>
      <c r="AI200" s="239">
        <v>46135</v>
      </c>
      <c r="AJ200" s="242" t="s">
        <v>1478</v>
      </c>
      <c r="AK200" s="245" t="str">
        <f t="shared" si="3"/>
        <v>✅ ملتزم</v>
      </c>
      <c r="AL200" s="251"/>
      <c r="AN200" s="258" t="s">
        <v>1479</v>
      </c>
      <c r="AO200" s="252"/>
      <c r="AR200" s="241" t="s">
        <v>1467</v>
      </c>
      <c r="AS200" s="241" t="str">
        <f>IF(AR200="","",IF(ISNUMBER(SEARCH("جازان",AR200)),"مستشفى جازان العام",IF(ISNUMBER(SEARCH("صبيا",AR200)),"مستشفى صبيا العام",IF(ISNUMBER(SEARCH("عريش",AR200)),"مستشفى أبو عريش العام",IF(ISNUMBER(SEARCH("صامط",AR200)),"مستشفى صامطة العام",IF(ISNUMBER(SEARCH("بيش",AR200)),"مستشفى بيش العام",IF(ISNUMBER(SEARCH("فهد",AR200)),"مستشفى الملك فهد المركزي",AR200)))))))</f>
        <v>مستشفى جازان العام</v>
      </c>
      <c r="AT200" s="241">
        <f>ROW()-1</f>
        <v>199</v>
      </c>
    </row>
    <row r="201" spans="1:46" ht="51">
      <c r="A201" s="1">
        <v>304</v>
      </c>
      <c r="B201" s="1">
        <v>46134.476099537002</v>
      </c>
      <c r="C201" s="1">
        <v>46134.478796296302</v>
      </c>
      <c r="D201" s="1" t="s">
        <v>662</v>
      </c>
      <c r="E201" s="1"/>
      <c r="F201" s="1" t="s">
        <v>431</v>
      </c>
      <c r="G201" s="1"/>
      <c r="H201" s="1"/>
      <c r="I201" s="1"/>
      <c r="J201" s="1"/>
      <c r="K201" s="1" t="s">
        <v>1674</v>
      </c>
      <c r="L201" s="1"/>
      <c r="M201" s="1"/>
      <c r="N201" s="1"/>
      <c r="O201" s="1" t="str">
        <f>_xlfn.CONCAT(OfficeForms.Table3[[#This Row],[القطاع الغربي (Western Sector)]:[القطاع فرسان (Farasan Sector)]])</f>
        <v>مركز مخطط 6 (Mukhattat 6 Center)</v>
      </c>
      <c r="P201" s="2">
        <v>46134</v>
      </c>
      <c r="Q201" s="2">
        <v>45968</v>
      </c>
      <c r="R201" s="21" t="s">
        <v>1303</v>
      </c>
      <c r="S201" s="22">
        <v>30744</v>
      </c>
      <c r="T201" s="21">
        <v>42</v>
      </c>
      <c r="U201" s="1" t="s">
        <v>491</v>
      </c>
      <c r="V201" s="21" t="s">
        <v>1991</v>
      </c>
      <c r="W201" s="1" t="s">
        <v>1889</v>
      </c>
      <c r="X201" s="21" t="s">
        <v>876</v>
      </c>
      <c r="Y201" s="10" t="s">
        <v>1992</v>
      </c>
      <c r="Z201" s="13"/>
      <c r="AA201" s="13" t="s">
        <v>1564</v>
      </c>
      <c r="AB201" s="13"/>
      <c r="AC201" s="13"/>
      <c r="AD201" s="13" t="s">
        <v>642</v>
      </c>
      <c r="AE201" s="13"/>
      <c r="AF201" s="1"/>
      <c r="AG201" s="13" t="s">
        <v>879</v>
      </c>
      <c r="AH201" s="13"/>
      <c r="AI201" s="239">
        <v>46135</v>
      </c>
      <c r="AJ201" s="242" t="s">
        <v>1478</v>
      </c>
      <c r="AK201" s="245" t="str">
        <f t="shared" si="3"/>
        <v>✅ ملتزم</v>
      </c>
      <c r="AL201" s="251"/>
      <c r="AN201" s="258" t="s">
        <v>1479</v>
      </c>
      <c r="AO201" s="252"/>
      <c r="AR201" s="241" t="s">
        <v>1467</v>
      </c>
      <c r="AS201" s="241" t="str">
        <f>IF(AR201="","",IF(ISNUMBER(SEARCH("جازان",AR201)),"مستشفى جازان العام",IF(ISNUMBER(SEARCH("صبيا",AR201)),"مستشفى صبيا العام",IF(ISNUMBER(SEARCH("عريش",AR201)),"مستشفى أبو عريش العام",IF(ISNUMBER(SEARCH("صامط",AR201)),"مستشفى صامطة العام",IF(ISNUMBER(SEARCH("بيش",AR201)),"مستشفى بيش العام",IF(ISNUMBER(SEARCH("فهد",AR201)),"مستشفى الملك فهد المركزي",AR201)))))))</f>
        <v>مستشفى جازان العام</v>
      </c>
      <c r="AT201" s="241">
        <f>ROW()-1</f>
        <v>200</v>
      </c>
    </row>
    <row r="202" spans="1:46" ht="39">
      <c r="A202" s="1">
        <v>305</v>
      </c>
      <c r="B202" s="1">
        <v>46134.496006944399</v>
      </c>
      <c r="C202" s="1">
        <v>46134.501909722203</v>
      </c>
      <c r="D202" s="1" t="s">
        <v>662</v>
      </c>
      <c r="E202" s="1"/>
      <c r="F202" s="1" t="s">
        <v>431</v>
      </c>
      <c r="G202" s="1"/>
      <c r="H202" s="1"/>
      <c r="I202" s="1"/>
      <c r="J202" s="1"/>
      <c r="K202" s="1" t="s">
        <v>1731</v>
      </c>
      <c r="L202" s="1"/>
      <c r="M202" s="1"/>
      <c r="N202" s="1"/>
      <c r="O202" s="1" t="str">
        <f>_xlfn.CONCAT(OfficeForms.Table3[[#This Row],[القطاع الغربي (Western Sector)]:[القطاع فرسان (Farasan Sector)]])</f>
        <v>مركز المطار (Al-Matar Center)</v>
      </c>
      <c r="P202" s="2">
        <v>46134</v>
      </c>
      <c r="Q202" s="2">
        <v>45940</v>
      </c>
      <c r="R202" s="21" t="s">
        <v>1993</v>
      </c>
      <c r="S202" s="22" t="s">
        <v>1994</v>
      </c>
      <c r="T202" s="21">
        <v>34</v>
      </c>
      <c r="U202" s="1" t="s">
        <v>492</v>
      </c>
      <c r="V202" s="21" t="s">
        <v>1995</v>
      </c>
      <c r="W202" s="1" t="s">
        <v>1996</v>
      </c>
      <c r="X202" s="21" t="s">
        <v>1898</v>
      </c>
      <c r="Y202" s="10" t="s">
        <v>1997</v>
      </c>
      <c r="Z202" s="13"/>
      <c r="AA202" s="13" t="s">
        <v>1900</v>
      </c>
      <c r="AB202" s="13"/>
      <c r="AC202" s="13"/>
      <c r="AD202" s="13" t="s">
        <v>642</v>
      </c>
      <c r="AE202" s="13"/>
      <c r="AF202" s="1"/>
      <c r="AG202" s="13" t="s">
        <v>1998</v>
      </c>
      <c r="AH202" s="13"/>
      <c r="AI202" s="239">
        <v>46140</v>
      </c>
      <c r="AJ202" s="242" t="s">
        <v>1478</v>
      </c>
      <c r="AK202" s="245" t="str">
        <f t="shared" si="3"/>
        <v>❌ غير ملتزم</v>
      </c>
      <c r="AL202" s="251"/>
      <c r="AN202" s="258" t="s">
        <v>1479</v>
      </c>
      <c r="AO202" s="252" t="s">
        <v>1999</v>
      </c>
      <c r="AR202" s="241" t="s">
        <v>1467</v>
      </c>
      <c r="AS202" s="241" t="str">
        <f>IF(AR202="","",IF(ISNUMBER(SEARCH("جازان",AR202)),"مستشفى جازان العام",IF(ISNUMBER(SEARCH("صبيا",AR202)),"مستشفى صبيا العام",IF(ISNUMBER(SEARCH("عريش",AR202)),"مستشفى أبو عريش العام",IF(ISNUMBER(SEARCH("صامط",AR202)),"مستشفى صامطة العام",IF(ISNUMBER(SEARCH("بيش",AR202)),"مستشفى بيش العام",IF(ISNUMBER(SEARCH("فهد",AR202)),"مستشفى الملك فهد المركزي",AR202)))))))</f>
        <v>مستشفى جازان العام</v>
      </c>
      <c r="AT202" s="241">
        <f>ROW()-1</f>
        <v>201</v>
      </c>
    </row>
    <row r="203" spans="1:46" ht="63.75">
      <c r="A203" s="1">
        <v>306</v>
      </c>
      <c r="B203" s="1">
        <v>46134.475231481498</v>
      </c>
      <c r="C203" s="1">
        <v>46134.513599537</v>
      </c>
      <c r="D203" s="1" t="s">
        <v>662</v>
      </c>
      <c r="E203" s="1"/>
      <c r="F203" s="1" t="s">
        <v>445</v>
      </c>
      <c r="G203" s="1"/>
      <c r="H203" s="1"/>
      <c r="I203" s="1"/>
      <c r="J203" s="1"/>
      <c r="K203" s="1"/>
      <c r="L203" s="1" t="s">
        <v>1529</v>
      </c>
      <c r="M203" s="1"/>
      <c r="N203" s="1"/>
      <c r="O203" s="1" t="str">
        <f>_xlfn.CONCAT(OfficeForms.Table3[[#This Row],[القطاع الغربي (Western Sector)]:[القطاع فرسان (Farasan Sector)]])</f>
        <v>مركز العيدابي (Al-Eidabi Center)</v>
      </c>
      <c r="P203" s="2">
        <v>46133</v>
      </c>
      <c r="Q203" s="2">
        <v>46016</v>
      </c>
      <c r="R203" s="21" t="s">
        <v>1265</v>
      </c>
      <c r="S203" s="22" t="s">
        <v>2000</v>
      </c>
      <c r="T203" s="21">
        <v>41</v>
      </c>
      <c r="U203" s="1" t="s">
        <v>493</v>
      </c>
      <c r="V203" s="21" t="s">
        <v>2001</v>
      </c>
      <c r="W203" s="1" t="s">
        <v>817</v>
      </c>
      <c r="X203" s="21" t="s">
        <v>818</v>
      </c>
      <c r="Y203" s="10" t="s">
        <v>2002</v>
      </c>
      <c r="Z203" s="13" t="s">
        <v>1528</v>
      </c>
      <c r="AA203" s="13" t="s">
        <v>2003</v>
      </c>
      <c r="AB203" s="13"/>
      <c r="AC203" s="13"/>
      <c r="AD203" s="13" t="s">
        <v>680</v>
      </c>
      <c r="AE203" s="13" t="s">
        <v>642</v>
      </c>
      <c r="AF203" s="1" t="s">
        <v>680</v>
      </c>
      <c r="AG203" s="13" t="s">
        <v>822</v>
      </c>
      <c r="AH203" s="13"/>
      <c r="AI203" s="239">
        <v>46135</v>
      </c>
      <c r="AJ203" s="242" t="s">
        <v>1478</v>
      </c>
      <c r="AK203" s="245" t="str">
        <f t="shared" si="3"/>
        <v>✅ ملتزم</v>
      </c>
      <c r="AL203" s="251"/>
      <c r="AN203" s="258" t="s">
        <v>1479</v>
      </c>
      <c r="AO203" s="252"/>
      <c r="AR203" s="241" t="s">
        <v>57</v>
      </c>
      <c r="AS203" s="241" t="str">
        <f>IF(AR203="","",IF(ISNUMBER(SEARCH("جازان",AR203)),"مستشفى جازان العام",IF(ISNUMBER(SEARCH("صبيا",AR203)),"مستشفى صبيا العام",IF(ISNUMBER(SEARCH("عريش",AR203)),"مستشفى أبو عريش العام",IF(ISNUMBER(SEARCH("صامط",AR203)),"مستشفى صامطة العام",IF(ISNUMBER(SEARCH("بيش",AR203)),"مستشفى بيش العام",IF(ISNUMBER(SEARCH("فهد",AR203)),"مستشفى الملك فهد المركزي",AR203)))))))</f>
        <v>مستشفى صبيا العام</v>
      </c>
      <c r="AT203" s="241">
        <f>ROW()-1</f>
        <v>202</v>
      </c>
    </row>
    <row r="204" spans="1:46" ht="39">
      <c r="A204" s="1">
        <v>307</v>
      </c>
      <c r="B204" s="1">
        <v>46135.366550925901</v>
      </c>
      <c r="C204" s="1">
        <v>46135.369849536997</v>
      </c>
      <c r="D204" s="1" t="s">
        <v>662</v>
      </c>
      <c r="E204" s="1"/>
      <c r="F204" s="1" t="s">
        <v>427</v>
      </c>
      <c r="G204" s="1" t="s">
        <v>1550</v>
      </c>
      <c r="H204" s="1"/>
      <c r="I204" s="1"/>
      <c r="J204" s="1"/>
      <c r="K204" s="1"/>
      <c r="L204" s="1"/>
      <c r="M204" s="1"/>
      <c r="N204" s="1"/>
      <c r="O204" s="1" t="str">
        <f>_xlfn.CONCAT(OfficeForms.Table3[[#This Row],[القطاع الغربي (Western Sector)]:[القطاع فرسان (Farasan Sector)]])</f>
        <v>مركز الجهو (Al-Jahu Center)</v>
      </c>
      <c r="P204" s="2">
        <v>46135</v>
      </c>
      <c r="Q204" s="2">
        <v>46092</v>
      </c>
      <c r="R204" s="21" t="s">
        <v>945</v>
      </c>
      <c r="S204" s="22" t="s">
        <v>2004</v>
      </c>
      <c r="T204" s="21">
        <v>38</v>
      </c>
      <c r="U204" s="1" t="s">
        <v>494</v>
      </c>
      <c r="V204" s="21" t="s">
        <v>2005</v>
      </c>
      <c r="W204" s="1" t="s">
        <v>2006</v>
      </c>
      <c r="X204" s="21" t="s">
        <v>1555</v>
      </c>
      <c r="Y204" s="10" t="s">
        <v>2007</v>
      </c>
      <c r="Z204" s="13" t="s">
        <v>1905</v>
      </c>
      <c r="AA204" s="13"/>
      <c r="AB204" s="13"/>
      <c r="AC204" s="13" t="s">
        <v>2008</v>
      </c>
      <c r="AD204" s="13" t="s">
        <v>642</v>
      </c>
      <c r="AE204" s="13"/>
      <c r="AF204" s="1"/>
      <c r="AG204" s="13" t="s">
        <v>2009</v>
      </c>
      <c r="AH204" s="13"/>
      <c r="AI204" s="239">
        <v>46142</v>
      </c>
      <c r="AJ204" s="242" t="s">
        <v>1478</v>
      </c>
      <c r="AK204" s="245" t="str">
        <f t="shared" si="3"/>
        <v>❌ غير ملتزم</v>
      </c>
      <c r="AL204" s="251"/>
      <c r="AN204" s="258" t="s">
        <v>1479</v>
      </c>
      <c r="AO204" s="252"/>
      <c r="AR204" s="241" t="s">
        <v>1467</v>
      </c>
      <c r="AS204" s="241" t="str">
        <f>IF(AR204="","",IF(ISNUMBER(SEARCH("جازان",AR204)),"مستشفى جازان العام",IF(ISNUMBER(SEARCH("صبيا",AR204)),"مستشفى صبيا العام",IF(ISNUMBER(SEARCH("عريش",AR204)),"مستشفى أبو عريش العام",IF(ISNUMBER(SEARCH("صامط",AR204)),"مستشفى صامطة العام",IF(ISNUMBER(SEARCH("بيش",AR204)),"مستشفى بيش العام",IF(ISNUMBER(SEARCH("فهد",AR204)),"مستشفى الملك فهد المركزي",AR204)))))))</f>
        <v>مستشفى جازان العام</v>
      </c>
      <c r="AT204" s="241">
        <f>ROW()-1</f>
        <v>203</v>
      </c>
    </row>
    <row r="205" spans="1:46" ht="63.75">
      <c r="A205" s="1">
        <v>308</v>
      </c>
      <c r="B205" s="1">
        <v>46135.386111111096</v>
      </c>
      <c r="C205" s="1">
        <v>46135.3910763889</v>
      </c>
      <c r="D205" s="1" t="s">
        <v>662</v>
      </c>
      <c r="E205" s="1"/>
      <c r="F205" s="1" t="s">
        <v>496</v>
      </c>
      <c r="G205" s="1"/>
      <c r="H205" s="1"/>
      <c r="I205" s="1" t="s">
        <v>1513</v>
      </c>
      <c r="J205" s="1"/>
      <c r="K205" s="1"/>
      <c r="L205" s="1"/>
      <c r="M205" s="1"/>
      <c r="N205" s="1"/>
      <c r="O205" s="1" t="str">
        <f>_xlfn.CONCAT(OfficeForms.Table3[[#This Row],[القطاع الغربي (Western Sector)]:[القطاع فرسان (Farasan Sector)]])</f>
        <v>مركز الخضراء (Al-Khadra Center)</v>
      </c>
      <c r="P205" s="2">
        <v>46135</v>
      </c>
      <c r="Q205" s="2">
        <v>45918</v>
      </c>
      <c r="R205" s="21" t="s">
        <v>1764</v>
      </c>
      <c r="S205" s="22" t="s">
        <v>2010</v>
      </c>
      <c r="T205" s="21">
        <v>39</v>
      </c>
      <c r="U205" s="1" t="s">
        <v>495</v>
      </c>
      <c r="V205" s="21" t="s">
        <v>1515</v>
      </c>
      <c r="W205" s="1" t="s">
        <v>2011</v>
      </c>
      <c r="X205" s="21">
        <v>582889202</v>
      </c>
      <c r="Y205" s="10" t="s">
        <v>1516</v>
      </c>
      <c r="Z205" s="13" t="s">
        <v>1947</v>
      </c>
      <c r="AA205" s="13" t="s">
        <v>2012</v>
      </c>
      <c r="AB205" s="13"/>
      <c r="AC205" s="13"/>
      <c r="AD205" s="13" t="s">
        <v>642</v>
      </c>
      <c r="AE205" s="13"/>
      <c r="AF205" s="1"/>
      <c r="AG205" s="13" t="s">
        <v>2013</v>
      </c>
      <c r="AH205" s="13"/>
      <c r="AI205" s="239">
        <v>46138</v>
      </c>
      <c r="AJ205" s="242" t="s">
        <v>1478</v>
      </c>
      <c r="AK205" s="245" t="str">
        <f t="shared" si="3"/>
        <v>✅ ملتزم</v>
      </c>
      <c r="AL205" s="251"/>
      <c r="AN205" s="258" t="s">
        <v>1479</v>
      </c>
      <c r="AO205" s="252"/>
      <c r="AR205" s="241" t="s">
        <v>61</v>
      </c>
      <c r="AS205" s="241" t="str">
        <f>IF(AR205="","",IF(ISNUMBER(SEARCH("جازان",AR205)),"مستشفى جازان العام",IF(ISNUMBER(SEARCH("صبيا",AR205)),"مستشفى صبيا العام",IF(ISNUMBER(SEARCH("عريش",AR205)),"مستشفى أبو عريش العام",IF(ISNUMBER(SEARCH("صامط",AR205)),"مستشفى صامطة العام",IF(ISNUMBER(SEARCH("بيش",AR205)),"مستشفى بيش العام",IF(ISNUMBER(SEARCH("فهد",AR205)),"مستشفى الملك فهد المركزي",AR205)))))))</f>
        <v>مستشفى أبو عريش العام</v>
      </c>
      <c r="AT205" s="241">
        <f>ROW()-1</f>
        <v>204</v>
      </c>
    </row>
    <row r="206" spans="1:46" ht="39">
      <c r="A206" s="1">
        <v>309</v>
      </c>
      <c r="B206" s="1">
        <v>46135.495416666701</v>
      </c>
      <c r="C206" s="1">
        <v>46135.497592592597</v>
      </c>
      <c r="D206" s="1" t="s">
        <v>662</v>
      </c>
      <c r="E206" s="1"/>
      <c r="F206" s="1" t="s">
        <v>431</v>
      </c>
      <c r="G206" s="1"/>
      <c r="H206" s="1"/>
      <c r="I206" s="1"/>
      <c r="J206" s="1"/>
      <c r="K206" s="1" t="s">
        <v>1927</v>
      </c>
      <c r="L206" s="1"/>
      <c r="M206" s="1"/>
      <c r="N206" s="1"/>
      <c r="O206" s="1" t="str">
        <f>_xlfn.CONCAT(OfficeForms.Table3[[#This Row],[القطاع الغربي (Western Sector)]:[القطاع فرسان (Farasan Sector)]])</f>
        <v>مركز الكربوس ( Alkarbuse Center)</v>
      </c>
      <c r="P206" s="2">
        <v>46135</v>
      </c>
      <c r="Q206" s="2">
        <v>46044</v>
      </c>
      <c r="R206" s="21" t="s">
        <v>2014</v>
      </c>
      <c r="S206" s="22" t="s">
        <v>1783</v>
      </c>
      <c r="T206" s="21">
        <v>33</v>
      </c>
      <c r="U206" s="1" t="s">
        <v>497</v>
      </c>
      <c r="V206" s="21" t="s">
        <v>2015</v>
      </c>
      <c r="W206" s="1" t="s">
        <v>1147</v>
      </c>
      <c r="X206" s="21" t="s">
        <v>702</v>
      </c>
      <c r="Y206" s="10" t="s">
        <v>2016</v>
      </c>
      <c r="Z206" s="13" t="s">
        <v>1528</v>
      </c>
      <c r="AA206" s="13"/>
      <c r="AB206" s="13"/>
      <c r="AC206" s="13"/>
      <c r="AD206" s="13" t="s">
        <v>642</v>
      </c>
      <c r="AE206" s="13"/>
      <c r="AF206" s="1"/>
      <c r="AG206" s="13" t="s">
        <v>838</v>
      </c>
      <c r="AH206" s="13"/>
      <c r="AI206" s="239">
        <v>46138</v>
      </c>
      <c r="AJ206" s="242" t="s">
        <v>1548</v>
      </c>
      <c r="AK206" s="245" t="str">
        <f t="shared" si="3"/>
        <v>✅ ملتزم</v>
      </c>
      <c r="AL206" s="251"/>
      <c r="AN206" s="258" t="s">
        <v>1479</v>
      </c>
      <c r="AO206" s="252" t="s">
        <v>2017</v>
      </c>
      <c r="AR206" s="241" t="s">
        <v>1467</v>
      </c>
      <c r="AS206" s="241" t="str">
        <f>IF(AR206="","",IF(ISNUMBER(SEARCH("جازان",AR206)),"مستشفى جازان العام",IF(ISNUMBER(SEARCH("صبيا",AR206)),"مستشفى صبيا العام",IF(ISNUMBER(SEARCH("عريش",AR206)),"مستشفى أبو عريش العام",IF(ISNUMBER(SEARCH("صامط",AR206)),"مستشفى صامطة العام",IF(ISNUMBER(SEARCH("بيش",AR206)),"مستشفى بيش العام",IF(ISNUMBER(SEARCH("فهد",AR206)),"مستشفى الملك فهد المركزي",AR206)))))))</f>
        <v>مستشفى جازان العام</v>
      </c>
      <c r="AT206" s="241">
        <f>ROW()-1</f>
        <v>205</v>
      </c>
    </row>
    <row r="207" spans="1:46" ht="51">
      <c r="A207" s="1">
        <v>310</v>
      </c>
      <c r="B207" s="1">
        <v>46135.601435185199</v>
      </c>
      <c r="C207" s="1">
        <v>46135.606689814798</v>
      </c>
      <c r="D207" s="1" t="s">
        <v>662</v>
      </c>
      <c r="E207" s="1"/>
      <c r="F207" s="1" t="s">
        <v>496</v>
      </c>
      <c r="G207" s="1"/>
      <c r="H207" s="1"/>
      <c r="I207" s="1" t="s">
        <v>1513</v>
      </c>
      <c r="J207" s="1"/>
      <c r="K207" s="1"/>
      <c r="L207" s="1"/>
      <c r="M207" s="1"/>
      <c r="N207" s="1"/>
      <c r="O207" s="1" t="str">
        <f>_xlfn.CONCAT(OfficeForms.Table3[[#This Row],[القطاع الغربي (Western Sector)]:[القطاع فرسان (Farasan Sector)]])</f>
        <v>مركز الخضراء (Al-Khadra Center)</v>
      </c>
      <c r="P207" s="2">
        <v>46135</v>
      </c>
      <c r="Q207" s="2">
        <v>46038</v>
      </c>
      <c r="R207" s="21" t="s">
        <v>2018</v>
      </c>
      <c r="S207" s="22" t="s">
        <v>2019</v>
      </c>
      <c r="T207" s="21">
        <v>41</v>
      </c>
      <c r="U207" s="1" t="s">
        <v>498</v>
      </c>
      <c r="V207" s="21" t="s">
        <v>2020</v>
      </c>
      <c r="W207" s="1" t="s">
        <v>2021</v>
      </c>
      <c r="X207" s="21">
        <v>582889202</v>
      </c>
      <c r="Y207" s="10" t="s">
        <v>2022</v>
      </c>
      <c r="Z207" s="13" t="s">
        <v>1745</v>
      </c>
      <c r="AA207" s="13" t="s">
        <v>1564</v>
      </c>
      <c r="AB207" s="13"/>
      <c r="AC207" s="13"/>
      <c r="AD207" s="13" t="s">
        <v>642</v>
      </c>
      <c r="AE207" s="13"/>
      <c r="AF207" s="1"/>
      <c r="AG207" s="13" t="s">
        <v>2023</v>
      </c>
      <c r="AH207" s="13"/>
      <c r="AI207" s="239">
        <v>46140</v>
      </c>
      <c r="AJ207" s="242" t="s">
        <v>1478</v>
      </c>
      <c r="AK207" s="245" t="str">
        <f t="shared" si="3"/>
        <v>❌ غير ملتزم</v>
      </c>
      <c r="AL207" s="251"/>
      <c r="AN207" s="258" t="s">
        <v>1479</v>
      </c>
      <c r="AO207" s="252"/>
      <c r="AR207" s="241" t="s">
        <v>1074</v>
      </c>
      <c r="AS207" s="241" t="str">
        <f>IF(AR207="","",IF(ISNUMBER(SEARCH("جازان",AR207)),"مستشفى جازان العام",IF(ISNUMBER(SEARCH("صبيا",AR207)),"مستشفى صبيا العام",IF(ISNUMBER(SEARCH("عريش",AR207)),"مستشفى أبو عريش العام",IF(ISNUMBER(SEARCH("صامط",AR207)),"مستشفى صامطة العام",IF(ISNUMBER(SEARCH("بيش",AR207)),"مستشفى بيش العام",IF(ISNUMBER(SEARCH("فهد",AR207)),"مستشفى الملك فهد المركزي",AR207)))))))</f>
        <v>مستشفى أبو عريش العام</v>
      </c>
      <c r="AT207" s="241">
        <f>ROW()-1</f>
        <v>206</v>
      </c>
    </row>
    <row r="208" spans="1:46" ht="76.5">
      <c r="A208" s="1">
        <v>311</v>
      </c>
      <c r="B208" s="1">
        <v>46138.326249999998</v>
      </c>
      <c r="C208" s="1">
        <v>46138.328564814801</v>
      </c>
      <c r="D208" s="1" t="s">
        <v>662</v>
      </c>
      <c r="E208" s="1"/>
      <c r="F208" s="1" t="s">
        <v>431</v>
      </c>
      <c r="G208" s="1"/>
      <c r="H208" s="1"/>
      <c r="I208" s="1"/>
      <c r="J208" s="1"/>
      <c r="K208" s="1" t="s">
        <v>1470</v>
      </c>
      <c r="L208" s="1"/>
      <c r="M208" s="1"/>
      <c r="N208" s="1"/>
      <c r="O208" s="1" t="str">
        <f>_xlfn.CONCAT(OfficeForms.Table3[[#This Row],[القطاع الغربي (Western Sector)]:[القطاع فرسان (Farasan Sector)]])</f>
        <v>مركز الشاطىء (Al-Shati Center)</v>
      </c>
      <c r="P208" s="2">
        <v>46138</v>
      </c>
      <c r="Q208" s="2">
        <v>45924</v>
      </c>
      <c r="R208" s="21" t="s">
        <v>1565</v>
      </c>
      <c r="S208" s="22">
        <v>46333</v>
      </c>
      <c r="T208" s="21">
        <v>31</v>
      </c>
      <c r="U208" s="1" t="s">
        <v>499</v>
      </c>
      <c r="V208" s="21" t="s">
        <v>2024</v>
      </c>
      <c r="W208" s="1" t="s">
        <v>1002</v>
      </c>
      <c r="X208" s="21" t="s">
        <v>668</v>
      </c>
      <c r="Y208" s="10" t="s">
        <v>2025</v>
      </c>
      <c r="Z208" s="13"/>
      <c r="AA208" s="13" t="s">
        <v>1990</v>
      </c>
      <c r="AB208" s="13"/>
      <c r="AC208" s="13"/>
      <c r="AD208" s="13" t="s">
        <v>642</v>
      </c>
      <c r="AE208" s="13"/>
      <c r="AF208" s="1"/>
      <c r="AG208" s="13" t="s">
        <v>643</v>
      </c>
      <c r="AH208" s="13"/>
      <c r="AI208" s="239">
        <v>46139</v>
      </c>
      <c r="AJ208" s="242" t="s">
        <v>1478</v>
      </c>
      <c r="AK208" s="245" t="str">
        <f t="shared" si="3"/>
        <v>✅ ملتزم</v>
      </c>
      <c r="AL208" s="251"/>
      <c r="AN208" s="258" t="s">
        <v>1479</v>
      </c>
      <c r="AO208" s="252"/>
      <c r="AP208" s="241" t="s">
        <v>2026</v>
      </c>
      <c r="AQ208" s="241" t="s">
        <v>1814</v>
      </c>
      <c r="AR208" s="241" t="s">
        <v>1467</v>
      </c>
      <c r="AS208" s="241" t="str">
        <f>IF(AR208="","",IF(ISNUMBER(SEARCH("جازان",AR208)),"مستشفى جازان العام",IF(ISNUMBER(SEARCH("صبيا",AR208)),"مستشفى صبيا العام",IF(ISNUMBER(SEARCH("عريش",AR208)),"مستشفى أبو عريش العام",IF(ISNUMBER(SEARCH("صامط",AR208)),"مستشفى صامطة العام",IF(ISNUMBER(SEARCH("بيش",AR208)),"مستشفى بيش العام",IF(ISNUMBER(SEARCH("فهد",AR208)),"مستشفى الملك فهد المركزي",AR208)))))))</f>
        <v>مستشفى جازان العام</v>
      </c>
      <c r="AT208" s="241">
        <f>ROW()-1</f>
        <v>207</v>
      </c>
    </row>
    <row r="209" spans="1:46" ht="114.75">
      <c r="A209" s="1">
        <v>312</v>
      </c>
      <c r="B209" s="1">
        <v>46138.364143518498</v>
      </c>
      <c r="C209" s="1">
        <v>46138.368437500001</v>
      </c>
      <c r="D209" s="1" t="s">
        <v>662</v>
      </c>
      <c r="E209" s="1"/>
      <c r="F209" s="1" t="s">
        <v>431</v>
      </c>
      <c r="G209" s="1"/>
      <c r="H209" s="1"/>
      <c r="I209" s="1"/>
      <c r="J209" s="1"/>
      <c r="K209" s="1" t="s">
        <v>1542</v>
      </c>
      <c r="L209" s="1"/>
      <c r="M209" s="1"/>
      <c r="N209" s="1"/>
      <c r="O209" s="1" t="str">
        <f>_xlfn.CONCAT(OfficeForms.Table3[[#This Row],[القطاع الغربي (Western Sector)]:[القطاع فرسان (Farasan Sector)]])</f>
        <v>مركز المضايا (Al-Madayah Center)</v>
      </c>
      <c r="P209" s="2">
        <v>46138</v>
      </c>
      <c r="Q209" s="2">
        <v>45937</v>
      </c>
      <c r="R209" s="21" t="s">
        <v>896</v>
      </c>
      <c r="S209" s="22" t="s">
        <v>2027</v>
      </c>
      <c r="T209" s="21">
        <v>30</v>
      </c>
      <c r="U209" s="1" t="s">
        <v>500</v>
      </c>
      <c r="V209" s="21" t="s">
        <v>2028</v>
      </c>
      <c r="W209" s="1" t="s">
        <v>658</v>
      </c>
      <c r="X209" s="21" t="s">
        <v>1277</v>
      </c>
      <c r="Y209" s="10" t="s">
        <v>2029</v>
      </c>
      <c r="Z209" s="13" t="s">
        <v>1745</v>
      </c>
      <c r="AA209" s="13"/>
      <c r="AB209" s="13" t="s">
        <v>1768</v>
      </c>
      <c r="AC209" s="13"/>
      <c r="AD209" s="13" t="s">
        <v>642</v>
      </c>
      <c r="AE209" s="13"/>
      <c r="AF209" s="1"/>
      <c r="AG209" s="13" t="s">
        <v>2030</v>
      </c>
      <c r="AH209" s="13"/>
      <c r="AI209" s="239">
        <v>46139</v>
      </c>
      <c r="AJ209" s="242" t="s">
        <v>1478</v>
      </c>
      <c r="AK209" s="245" t="str">
        <f t="shared" si="3"/>
        <v>✅ ملتزم</v>
      </c>
      <c r="AL209" s="251"/>
      <c r="AN209" s="258" t="s">
        <v>1479</v>
      </c>
      <c r="AO209" s="252"/>
      <c r="AR209" s="241" t="s">
        <v>1467</v>
      </c>
      <c r="AS209" s="241" t="str">
        <f>IF(AR209="","",IF(ISNUMBER(SEARCH("جازان",AR209)),"مستشفى جازان العام",IF(ISNUMBER(SEARCH("صبيا",AR209)),"مستشفى صبيا العام",IF(ISNUMBER(SEARCH("عريش",AR209)),"مستشفى أبو عريش العام",IF(ISNUMBER(SEARCH("صامط",AR209)),"مستشفى صامطة العام",IF(ISNUMBER(SEARCH("بيش",AR209)),"مستشفى بيش العام",IF(ISNUMBER(SEARCH("فهد",AR209)),"مستشفى الملك فهد المركزي",AR209)))))))</f>
        <v>مستشفى جازان العام</v>
      </c>
      <c r="AT209" s="241">
        <f>ROW()-1</f>
        <v>208</v>
      </c>
    </row>
    <row r="210" spans="1:46" ht="76.5">
      <c r="A210" s="1">
        <v>314</v>
      </c>
      <c r="B210" s="1">
        <v>46138.441284722197</v>
      </c>
      <c r="C210" s="1">
        <v>46138.443449074097</v>
      </c>
      <c r="D210" s="1" t="s">
        <v>662</v>
      </c>
      <c r="E210" s="1"/>
      <c r="F210" s="1" t="s">
        <v>431</v>
      </c>
      <c r="G210" s="1"/>
      <c r="H210" s="1"/>
      <c r="I210" s="1"/>
      <c r="J210" s="1"/>
      <c r="K210" s="1" t="s">
        <v>1470</v>
      </c>
      <c r="L210" s="1"/>
      <c r="M210" s="1"/>
      <c r="N210" s="1"/>
      <c r="O210" s="1" t="str">
        <f>_xlfn.CONCAT(OfficeForms.Table3[[#This Row],[القطاع الغربي (Western Sector)]:[القطاع فرسان (Farasan Sector)]])</f>
        <v>مركز الشاطىء (Al-Shati Center)</v>
      </c>
      <c r="P210" s="2">
        <v>46138</v>
      </c>
      <c r="Q210" s="2">
        <v>46101</v>
      </c>
      <c r="R210" s="21" t="s">
        <v>2031</v>
      </c>
      <c r="S210" s="22" t="s">
        <v>1986</v>
      </c>
      <c r="T210" s="21">
        <v>23</v>
      </c>
      <c r="U210" s="1" t="s">
        <v>490</v>
      </c>
      <c r="V210" s="21" t="s">
        <v>1987</v>
      </c>
      <c r="W210" s="1" t="s">
        <v>1733</v>
      </c>
      <c r="X210" s="21" t="s">
        <v>668</v>
      </c>
      <c r="Y210" s="10" t="s">
        <v>1989</v>
      </c>
      <c r="Z210" s="13"/>
      <c r="AA210" s="13" t="s">
        <v>1990</v>
      </c>
      <c r="AB210" s="13"/>
      <c r="AC210" s="13"/>
      <c r="AD210" s="13" t="s">
        <v>642</v>
      </c>
      <c r="AE210" s="13"/>
      <c r="AF210" s="1"/>
      <c r="AG210" s="13" t="s">
        <v>643</v>
      </c>
      <c r="AH210" s="13"/>
      <c r="AI210" s="239">
        <v>46139</v>
      </c>
      <c r="AJ210" s="242" t="s">
        <v>1478</v>
      </c>
      <c r="AK210" s="245" t="str">
        <f t="shared" si="3"/>
        <v>✅ ملتزم</v>
      </c>
      <c r="AL210" s="251"/>
      <c r="AN210" s="258" t="s">
        <v>1479</v>
      </c>
      <c r="AO210" s="252"/>
      <c r="AR210" s="241" t="s">
        <v>1467</v>
      </c>
      <c r="AS210" s="241" t="str">
        <f>IF(AR210="","",IF(ISNUMBER(SEARCH("جازان",AR210)),"مستشفى جازان العام",IF(ISNUMBER(SEARCH("صبيا",AR210)),"مستشفى صبيا العام",IF(ISNUMBER(SEARCH("عريش",AR210)),"مستشفى أبو عريش العام",IF(ISNUMBER(SEARCH("صامط",AR210)),"مستشفى صامطة العام",IF(ISNUMBER(SEARCH("بيش",AR210)),"مستشفى بيش العام",IF(ISNUMBER(SEARCH("فهد",AR210)),"مستشفى الملك فهد المركزي",AR210)))))))</f>
        <v>مستشفى جازان العام</v>
      </c>
      <c r="AT210" s="241">
        <f>ROW()-1</f>
        <v>209</v>
      </c>
    </row>
    <row r="211" spans="1:46" ht="165">
      <c r="A211" s="1">
        <v>315</v>
      </c>
      <c r="B211" s="1">
        <v>46138.6027314815</v>
      </c>
      <c r="C211" s="1">
        <v>46138.608333333301</v>
      </c>
      <c r="D211" s="1" t="s">
        <v>662</v>
      </c>
      <c r="E211" s="1"/>
      <c r="F211" s="1" t="s">
        <v>431</v>
      </c>
      <c r="G211" s="1"/>
      <c r="H211" s="1"/>
      <c r="I211" s="1"/>
      <c r="J211" s="1"/>
      <c r="K211" s="1" t="s">
        <v>1731</v>
      </c>
      <c r="L211" s="1"/>
      <c r="M211" s="1"/>
      <c r="N211" s="1"/>
      <c r="O211" s="1" t="str">
        <f>_xlfn.CONCAT(OfficeForms.Table3[[#This Row],[القطاع الغربي (Western Sector)]:[القطاع فرسان (Farasan Sector)]])</f>
        <v>مركز المطار (Al-Matar Center)</v>
      </c>
      <c r="P211" s="2">
        <v>46138</v>
      </c>
      <c r="Q211" s="2">
        <v>46098</v>
      </c>
      <c r="R211" s="21" t="s">
        <v>2032</v>
      </c>
      <c r="S211" s="22" t="s">
        <v>2033</v>
      </c>
      <c r="T211" s="21">
        <v>36</v>
      </c>
      <c r="U211" s="1" t="s">
        <v>501</v>
      </c>
      <c r="V211" s="21" t="s">
        <v>2034</v>
      </c>
      <c r="W211" s="1" t="s">
        <v>1897</v>
      </c>
      <c r="X211" s="21" t="s">
        <v>1898</v>
      </c>
      <c r="Y211" s="10" t="s">
        <v>2035</v>
      </c>
      <c r="Z211" s="13" t="s">
        <v>2036</v>
      </c>
      <c r="AA211" s="13"/>
      <c r="AB211" s="13"/>
      <c r="AC211" s="13"/>
      <c r="AD211" s="13" t="s">
        <v>642</v>
      </c>
      <c r="AE211" s="13"/>
      <c r="AF211" s="1"/>
      <c r="AG211" s="13" t="s">
        <v>1998</v>
      </c>
      <c r="AH211" s="13"/>
      <c r="AI211" s="239">
        <v>46139</v>
      </c>
      <c r="AJ211" s="242" t="s">
        <v>1478</v>
      </c>
      <c r="AK211" s="245" t="str">
        <f t="shared" si="3"/>
        <v>✅ ملتزم</v>
      </c>
      <c r="AL211" s="251"/>
      <c r="AN211" s="258" t="s">
        <v>1479</v>
      </c>
      <c r="AO211" s="252"/>
      <c r="AR211" s="241" t="s">
        <v>1467</v>
      </c>
      <c r="AS211" s="241" t="str">
        <f>IF(AR211="","",IF(ISNUMBER(SEARCH("جازان",AR211)),"مستشفى جازان العام",IF(ISNUMBER(SEARCH("صبيا",AR211)),"مستشفى صبيا العام",IF(ISNUMBER(SEARCH("عريش",AR211)),"مستشفى أبو عريش العام",IF(ISNUMBER(SEARCH("صامط",AR211)),"مستشفى صامطة العام",IF(ISNUMBER(SEARCH("بيش",AR211)),"مستشفى بيش العام",IF(ISNUMBER(SEARCH("فهد",AR211)),"مستشفى الملك فهد المركزي",AR211)))))))</f>
        <v>مستشفى جازان العام</v>
      </c>
      <c r="AT211" s="241">
        <f>ROW()-1</f>
        <v>210</v>
      </c>
    </row>
    <row r="212" spans="1:46" ht="114.75">
      <c r="A212" s="1">
        <v>316</v>
      </c>
      <c r="B212" s="1">
        <v>46138.609560185199</v>
      </c>
      <c r="C212" s="1">
        <v>46138.6116666667</v>
      </c>
      <c r="D212" s="1" t="s">
        <v>662</v>
      </c>
      <c r="E212" s="1"/>
      <c r="F212" s="1" t="s">
        <v>431</v>
      </c>
      <c r="G212" s="1"/>
      <c r="H212" s="1"/>
      <c r="I212" s="1"/>
      <c r="J212" s="1"/>
      <c r="K212" s="1" t="s">
        <v>1582</v>
      </c>
      <c r="L212" s="1"/>
      <c r="M212" s="1"/>
      <c r="N212" s="1"/>
      <c r="O212" s="1" t="str">
        <f>_xlfn.CONCAT(OfficeForms.Table3[[#This Row],[القطاع الغربي (Western Sector)]:[القطاع فرسان (Farasan Sector)]])</f>
        <v>مركز مخطط 5 (Mukhattat 5 Center)</v>
      </c>
      <c r="P212" s="2">
        <v>46138</v>
      </c>
      <c r="Q212" s="2">
        <v>45940</v>
      </c>
      <c r="R212" s="21" t="s">
        <v>896</v>
      </c>
      <c r="S212" s="22" t="s">
        <v>2037</v>
      </c>
      <c r="T212" s="21">
        <v>39</v>
      </c>
      <c r="U212" s="1" t="s">
        <v>502</v>
      </c>
      <c r="V212" s="21" t="s">
        <v>2038</v>
      </c>
      <c r="W212" s="1" t="s">
        <v>1246</v>
      </c>
      <c r="X212" s="21" t="s">
        <v>2039</v>
      </c>
      <c r="Y212" s="10" t="s">
        <v>2040</v>
      </c>
      <c r="Z212" s="13"/>
      <c r="AA212" s="13"/>
      <c r="AB212" s="13" t="s">
        <v>2041</v>
      </c>
      <c r="AC212" s="13"/>
      <c r="AD212" s="13" t="s">
        <v>642</v>
      </c>
      <c r="AE212" s="13"/>
      <c r="AF212" s="1"/>
      <c r="AG212" s="13" t="s">
        <v>2042</v>
      </c>
      <c r="AH212" s="13"/>
      <c r="AI212" s="239">
        <v>46139</v>
      </c>
      <c r="AJ212" s="242" t="s">
        <v>1478</v>
      </c>
      <c r="AK212" s="245" t="str">
        <f t="shared" si="3"/>
        <v>✅ ملتزم</v>
      </c>
      <c r="AL212" s="251"/>
      <c r="AN212" s="258" t="s">
        <v>1479</v>
      </c>
      <c r="AO212" s="252"/>
      <c r="AR212" s="241" t="s">
        <v>1467</v>
      </c>
      <c r="AS212" s="241" t="str">
        <f>IF(AR212="","",IF(ISNUMBER(SEARCH("جازان",AR212)),"مستشفى جازان العام",IF(ISNUMBER(SEARCH("صبيا",AR212)),"مستشفى صبيا العام",IF(ISNUMBER(SEARCH("عريش",AR212)),"مستشفى أبو عريش العام",IF(ISNUMBER(SEARCH("صامط",AR212)),"مستشفى صامطة العام",IF(ISNUMBER(SEARCH("بيش",AR212)),"مستشفى بيش العام",IF(ISNUMBER(SEARCH("فهد",AR212)),"مستشفى الملك فهد المركزي",AR212)))))))</f>
        <v>مستشفى جازان العام</v>
      </c>
      <c r="AT212" s="241">
        <f>ROW()-1</f>
        <v>211</v>
      </c>
    </row>
    <row r="213" spans="1:46" ht="51">
      <c r="A213" s="1">
        <v>317</v>
      </c>
      <c r="B213" s="1">
        <v>46139.454722222203</v>
      </c>
      <c r="C213" s="1">
        <v>46139.457268518498</v>
      </c>
      <c r="D213" s="1" t="s">
        <v>662</v>
      </c>
      <c r="E213" s="1"/>
      <c r="F213" s="1" t="s">
        <v>431</v>
      </c>
      <c r="G213" s="1"/>
      <c r="H213" s="1"/>
      <c r="I213" s="1"/>
      <c r="J213" s="1"/>
      <c r="K213" s="1" t="s">
        <v>1674</v>
      </c>
      <c r="L213" s="1"/>
      <c r="M213" s="1"/>
      <c r="N213" s="1"/>
      <c r="O213" s="1" t="str">
        <f>_xlfn.CONCAT(OfficeForms.Table3[[#This Row],[القطاع الغربي (Western Sector)]:[القطاع فرسان (Farasan Sector)]])</f>
        <v>مركز مخطط 6 (Mukhattat 6 Center)</v>
      </c>
      <c r="P213" s="2">
        <v>46139</v>
      </c>
      <c r="Q213" s="2">
        <v>45968</v>
      </c>
      <c r="R213" s="21" t="s">
        <v>881</v>
      </c>
      <c r="S213" s="3">
        <v>36221</v>
      </c>
      <c r="T213" s="1">
        <v>27</v>
      </c>
      <c r="U213" s="1" t="s">
        <v>503</v>
      </c>
      <c r="V213" s="21" t="s">
        <v>2043</v>
      </c>
      <c r="W213" s="1" t="s">
        <v>1889</v>
      </c>
      <c r="X213" s="21" t="s">
        <v>876</v>
      </c>
      <c r="Y213" s="10" t="s">
        <v>2044</v>
      </c>
      <c r="Z213" s="13"/>
      <c r="AA213" s="13" t="s">
        <v>1690</v>
      </c>
      <c r="AB213" s="13"/>
      <c r="AC213" s="13"/>
      <c r="AD213" s="13" t="s">
        <v>642</v>
      </c>
      <c r="AE213" s="13"/>
      <c r="AF213" s="1"/>
      <c r="AG213" s="13" t="s">
        <v>879</v>
      </c>
      <c r="AH213" s="13"/>
      <c r="AI213" s="239">
        <v>46140</v>
      </c>
      <c r="AJ213" s="242" t="s">
        <v>1478</v>
      </c>
      <c r="AK213" s="245" t="str">
        <f t="shared" si="3"/>
        <v>✅ ملتزم</v>
      </c>
      <c r="AL213" s="251"/>
      <c r="AN213" s="258" t="s">
        <v>1479</v>
      </c>
      <c r="AO213" s="252"/>
      <c r="AR213" s="241" t="s">
        <v>1467</v>
      </c>
      <c r="AS213" s="241" t="str">
        <f>IF(AR213="","",IF(ISNUMBER(SEARCH("جازان",AR213)),"مستشفى جازان العام",IF(ISNUMBER(SEARCH("صبيا",AR213)),"مستشفى صبيا العام",IF(ISNUMBER(SEARCH("عريش",AR213)),"مستشفى أبو عريش العام",IF(ISNUMBER(SEARCH("صامط",AR213)),"مستشفى صامطة العام",IF(ISNUMBER(SEARCH("بيش",AR213)),"مستشفى بيش العام",IF(ISNUMBER(SEARCH("فهد",AR213)),"مستشفى الملك فهد المركزي",AR213)))))))</f>
        <v>مستشفى جازان العام</v>
      </c>
      <c r="AT213" s="241">
        <f>ROW()-1</f>
        <v>212</v>
      </c>
    </row>
    <row r="214" spans="1:46" ht="140.25">
      <c r="A214" s="1">
        <v>318</v>
      </c>
      <c r="B214" s="1">
        <v>46140.399444444403</v>
      </c>
      <c r="C214" s="1">
        <v>46140.402939814798</v>
      </c>
      <c r="D214" s="1" t="s">
        <v>662</v>
      </c>
      <c r="E214" s="1"/>
      <c r="F214" s="1" t="s">
        <v>431</v>
      </c>
      <c r="G214" s="1"/>
      <c r="H214" s="1"/>
      <c r="I214" s="1"/>
      <c r="J214" s="1"/>
      <c r="K214" s="1" t="s">
        <v>1653</v>
      </c>
      <c r="L214" s="1"/>
      <c r="M214" s="1"/>
      <c r="N214" s="1"/>
      <c r="O214" s="1" t="str">
        <f>_xlfn.CONCAT(OfficeForms.Table3[[#This Row],[القطاع الغربي (Western Sector)]:[القطاع فرسان (Farasan Sector)]])</f>
        <v>مركز المعبوج (Al-Maabooj Center)</v>
      </c>
      <c r="P214" s="2">
        <v>46140</v>
      </c>
      <c r="Q214" s="2">
        <v>45999</v>
      </c>
      <c r="R214" s="21" t="s">
        <v>1156</v>
      </c>
      <c r="S214" s="22" t="s">
        <v>1737</v>
      </c>
      <c r="T214" s="1">
        <v>38</v>
      </c>
      <c r="U214" s="1" t="s">
        <v>504</v>
      </c>
      <c r="V214" s="21" t="s">
        <v>2045</v>
      </c>
      <c r="W214" s="1" t="s">
        <v>875</v>
      </c>
      <c r="X214" s="21" t="s">
        <v>1382</v>
      </c>
      <c r="Y214" s="23">
        <v>534570740</v>
      </c>
      <c r="Z214" s="13" t="s">
        <v>2046</v>
      </c>
      <c r="AA214" s="13" t="s">
        <v>2047</v>
      </c>
      <c r="AB214" s="13"/>
      <c r="AC214" s="13"/>
      <c r="AD214" s="13" t="s">
        <v>680</v>
      </c>
      <c r="AE214" s="13" t="s">
        <v>680</v>
      </c>
      <c r="AF214" s="1" t="s">
        <v>680</v>
      </c>
      <c r="AG214" s="13" t="s">
        <v>1415</v>
      </c>
      <c r="AH214" s="13"/>
      <c r="AI214" s="239">
        <v>46141</v>
      </c>
      <c r="AJ214" s="242" t="s">
        <v>1478</v>
      </c>
      <c r="AK214" s="245" t="str">
        <f t="shared" si="3"/>
        <v>✅ ملتزم</v>
      </c>
      <c r="AL214" s="251"/>
      <c r="AN214" s="258" t="s">
        <v>1479</v>
      </c>
      <c r="AO214" s="252"/>
      <c r="AR214" s="241" t="s">
        <v>1467</v>
      </c>
      <c r="AS214" s="241" t="str">
        <f>IF(AR214="","",IF(ISNUMBER(SEARCH("جازان",AR214)),"مستشفى جازان العام",IF(ISNUMBER(SEARCH("صبيا",AR214)),"مستشفى صبيا العام",IF(ISNUMBER(SEARCH("عريش",AR214)),"مستشفى أبو عريش العام",IF(ISNUMBER(SEARCH("صامط",AR214)),"مستشفى صامطة العام",IF(ISNUMBER(SEARCH("بيش",AR214)),"مستشفى بيش العام",IF(ISNUMBER(SEARCH("فهد",AR214)),"مستشفى الملك فهد المركزي",AR214)))))))</f>
        <v>مستشفى جازان العام</v>
      </c>
      <c r="AT214" s="241">
        <f>ROW()-1</f>
        <v>213</v>
      </c>
    </row>
    <row r="215" spans="1:46" ht="39">
      <c r="A215" s="1">
        <v>319</v>
      </c>
      <c r="B215" s="1">
        <v>46140.389155092598</v>
      </c>
      <c r="C215" s="1">
        <v>46140.4116319444</v>
      </c>
      <c r="D215" s="1" t="s">
        <v>662</v>
      </c>
      <c r="E215" s="1"/>
      <c r="F215" s="1" t="s">
        <v>461</v>
      </c>
      <c r="G215" s="1"/>
      <c r="H215" s="1"/>
      <c r="I215" s="1"/>
      <c r="J215" s="1" t="s">
        <v>1612</v>
      </c>
      <c r="K215" s="1"/>
      <c r="L215" s="1"/>
      <c r="M215" s="1"/>
      <c r="N215" s="1"/>
      <c r="O215" s="1" t="str">
        <f>_xlfn.CONCAT(OfficeForms.Table3[[#This Row],[القطاع الغربي (Western Sector)]:[القطاع فرسان (Farasan Sector)]])</f>
        <v>مركز الريث (Al-Rayth Center)</v>
      </c>
      <c r="P215" s="2">
        <v>46140</v>
      </c>
      <c r="Q215" s="2">
        <v>46075</v>
      </c>
      <c r="R215" s="21" t="s">
        <v>2048</v>
      </c>
      <c r="S215" s="3">
        <v>38207</v>
      </c>
      <c r="T215" s="1">
        <v>21</v>
      </c>
      <c r="U215" s="1" t="s">
        <v>505</v>
      </c>
      <c r="V215" s="21" t="s">
        <v>2049</v>
      </c>
      <c r="W215" s="1" t="s">
        <v>769</v>
      </c>
      <c r="X215" s="21" t="s">
        <v>770</v>
      </c>
      <c r="Y215" s="10" t="s">
        <v>2050</v>
      </c>
      <c r="Z215" s="13" t="s">
        <v>2051</v>
      </c>
      <c r="AA215" s="13"/>
      <c r="AB215" s="13"/>
      <c r="AC215" s="13" t="s">
        <v>773</v>
      </c>
      <c r="AD215" s="13" t="s">
        <v>642</v>
      </c>
      <c r="AE215" s="13"/>
      <c r="AF215" s="1"/>
      <c r="AG215" s="13" t="s">
        <v>774</v>
      </c>
      <c r="AH215" s="13"/>
      <c r="AI215" s="239">
        <v>46149</v>
      </c>
      <c r="AJ215" s="242"/>
      <c r="AK215" s="245" t="str">
        <f t="shared" si="3"/>
        <v>❌ غير ملتزم</v>
      </c>
      <c r="AL215" s="251"/>
      <c r="AN215" s="258" t="s">
        <v>1479</v>
      </c>
      <c r="AO215" s="252" t="s">
        <v>1999</v>
      </c>
      <c r="AR215" s="241" t="s">
        <v>57</v>
      </c>
      <c r="AS215" s="241" t="str">
        <f>IF(AR215="","",IF(ISNUMBER(SEARCH("جازان",AR215)),"مستشفى جازان العام",IF(ISNUMBER(SEARCH("صبيا",AR215)),"مستشفى صبيا العام",IF(ISNUMBER(SEARCH("عريش",AR215)),"مستشفى أبو عريش العام",IF(ISNUMBER(SEARCH("صامط",AR215)),"مستشفى صامطة العام",IF(ISNUMBER(SEARCH("بيش",AR215)),"مستشفى بيش العام",IF(ISNUMBER(SEARCH("فهد",AR215)),"مستشفى الملك فهد المركزي",AR215)))))))</f>
        <v>مستشفى صبيا العام</v>
      </c>
      <c r="AT215" s="241">
        <f>ROW()-1</f>
        <v>214</v>
      </c>
    </row>
    <row r="216" spans="1:46" ht="51">
      <c r="A216" s="1">
        <v>320</v>
      </c>
      <c r="B216" s="1">
        <v>46140.357013888897</v>
      </c>
      <c r="C216" s="1">
        <v>46140.419351851902</v>
      </c>
      <c r="D216" s="1" t="s">
        <v>662</v>
      </c>
      <c r="E216" s="1"/>
      <c r="F216" s="1" t="s">
        <v>427</v>
      </c>
      <c r="G216" s="1" t="s">
        <v>1638</v>
      </c>
      <c r="H216" s="1"/>
      <c r="I216" s="1"/>
      <c r="J216" s="1"/>
      <c r="K216" s="1"/>
      <c r="L216" s="1"/>
      <c r="M216" s="1"/>
      <c r="N216" s="1"/>
      <c r="O216" s="1" t="str">
        <f>_xlfn.CONCAT(OfficeForms.Table3[[#This Row],[القطاع الغربي (Western Sector)]:[القطاع فرسان (Farasan Sector)]])</f>
        <v>مركز ضمد الشمالي (Northern Dhamad Center)</v>
      </c>
      <c r="P216" s="2">
        <v>46140</v>
      </c>
      <c r="Q216" s="2">
        <v>45865</v>
      </c>
      <c r="R216" s="21" t="s">
        <v>2052</v>
      </c>
      <c r="S216" s="22" t="s">
        <v>1590</v>
      </c>
      <c r="T216" s="1">
        <v>39</v>
      </c>
      <c r="U216" s="1" t="s">
        <v>506</v>
      </c>
      <c r="V216" s="21" t="s">
        <v>2053</v>
      </c>
      <c r="W216" s="1" t="s">
        <v>1641</v>
      </c>
      <c r="X216" s="21" t="s">
        <v>2054</v>
      </c>
      <c r="Y216" s="10" t="s">
        <v>2055</v>
      </c>
      <c r="Z216" s="13"/>
      <c r="AA216" s="13" t="s">
        <v>1684</v>
      </c>
      <c r="AB216" s="13"/>
      <c r="AC216" s="13" t="s">
        <v>2056</v>
      </c>
      <c r="AD216" s="13" t="s">
        <v>642</v>
      </c>
      <c r="AE216" s="13"/>
      <c r="AF216" s="1"/>
      <c r="AG216" s="13" t="s">
        <v>2057</v>
      </c>
      <c r="AH216" s="13"/>
      <c r="AI216" s="239">
        <v>46142</v>
      </c>
      <c r="AJ216" s="242" t="s">
        <v>1478</v>
      </c>
      <c r="AK216" s="245" t="str">
        <f t="shared" si="3"/>
        <v>✅ ملتزم</v>
      </c>
      <c r="AL216" s="251"/>
      <c r="AN216" s="258" t="s">
        <v>1479</v>
      </c>
      <c r="AO216" s="252"/>
      <c r="AR216" s="241" t="s">
        <v>57</v>
      </c>
      <c r="AS216" s="241" t="str">
        <f>IF(AR216="","",IF(ISNUMBER(SEARCH("جازان",AR216)),"مستشفى جازان العام",IF(ISNUMBER(SEARCH("صبيا",AR216)),"مستشفى صبيا العام",IF(ISNUMBER(SEARCH("عريش",AR216)),"مستشفى أبو عريش العام",IF(ISNUMBER(SEARCH("صامط",AR216)),"مستشفى صامطة العام",IF(ISNUMBER(SEARCH("بيش",AR216)),"مستشفى بيش العام",IF(ISNUMBER(SEARCH("فهد",AR216)),"مستشفى الملك فهد المركزي",AR216)))))))</f>
        <v>مستشفى صبيا العام</v>
      </c>
      <c r="AT216" s="241">
        <f>ROW()-1</f>
        <v>215</v>
      </c>
    </row>
    <row r="217" spans="1:46" ht="63.75">
      <c r="A217" s="1">
        <v>321</v>
      </c>
      <c r="B217" s="1">
        <v>46140.431250000001</v>
      </c>
      <c r="C217" s="1">
        <v>46140.435821759304</v>
      </c>
      <c r="D217" s="1" t="s">
        <v>662</v>
      </c>
      <c r="E217" s="1"/>
      <c r="F217" s="1" t="s">
        <v>431</v>
      </c>
      <c r="G217" s="1"/>
      <c r="H217" s="1"/>
      <c r="I217" s="1"/>
      <c r="J217" s="1"/>
      <c r="K217" s="1" t="s">
        <v>2058</v>
      </c>
      <c r="L217" s="1"/>
      <c r="M217" s="1"/>
      <c r="N217" s="1"/>
      <c r="O217" s="1" t="str">
        <f>_xlfn.CONCAT(OfficeForms.Table3[[#This Row],[القطاع الغربي (Western Sector)]:[القطاع فرسان (Farasan Sector)]])</f>
        <v>مركز الصفاء (Al-Safaa Center)</v>
      </c>
      <c r="P217" s="2">
        <v>46140</v>
      </c>
      <c r="Q217" s="2">
        <v>46072</v>
      </c>
      <c r="R217" s="21" t="s">
        <v>2059</v>
      </c>
      <c r="S217" s="22" t="s">
        <v>2060</v>
      </c>
      <c r="T217" s="1">
        <v>43</v>
      </c>
      <c r="U217" s="1" t="s">
        <v>507</v>
      </c>
      <c r="V217" s="21" t="s">
        <v>2061</v>
      </c>
      <c r="W217" s="1" t="s">
        <v>2062</v>
      </c>
      <c r="X217" s="21" t="s">
        <v>2063</v>
      </c>
      <c r="Y217" s="10" t="s">
        <v>2064</v>
      </c>
      <c r="Z217" s="13" t="s">
        <v>1865</v>
      </c>
      <c r="AA217" s="13" t="s">
        <v>2003</v>
      </c>
      <c r="AB217" s="13"/>
      <c r="AC217" s="13" t="s">
        <v>2065</v>
      </c>
      <c r="AD217" s="13" t="s">
        <v>642</v>
      </c>
      <c r="AE217" s="13"/>
      <c r="AF217" s="1"/>
      <c r="AG217" s="13" t="s">
        <v>2066</v>
      </c>
      <c r="AH217" s="13"/>
      <c r="AI217" s="239">
        <v>46141</v>
      </c>
      <c r="AJ217" s="242" t="s">
        <v>1478</v>
      </c>
      <c r="AK217" s="245" t="str">
        <f t="shared" si="3"/>
        <v>✅ ملتزم</v>
      </c>
      <c r="AL217" s="251"/>
      <c r="AN217" s="258" t="s">
        <v>1479</v>
      </c>
      <c r="AO217" s="252"/>
      <c r="AR217" s="241" t="s">
        <v>1467</v>
      </c>
      <c r="AS217" s="241" t="str">
        <f>IF(AR217="","",IF(ISNUMBER(SEARCH("جازان",AR217)),"مستشفى جازان العام",IF(ISNUMBER(SEARCH("صبيا",AR217)),"مستشفى صبيا العام",IF(ISNUMBER(SEARCH("عريش",AR217)),"مستشفى أبو عريش العام",IF(ISNUMBER(SEARCH("صامط",AR217)),"مستشفى صامطة العام",IF(ISNUMBER(SEARCH("بيش",AR217)),"مستشفى بيش العام",IF(ISNUMBER(SEARCH("فهد",AR217)),"مستشفى الملك فهد المركزي",AR217)))))))</f>
        <v>مستشفى جازان العام</v>
      </c>
      <c r="AT217" s="241">
        <f>ROW()-1</f>
        <v>216</v>
      </c>
    </row>
    <row r="218" spans="1:46" ht="39">
      <c r="A218" s="1">
        <v>322</v>
      </c>
      <c r="B218" s="1">
        <v>46140.518668981502</v>
      </c>
      <c r="C218" s="1">
        <v>46140.521284722199</v>
      </c>
      <c r="D218" s="1" t="s">
        <v>662</v>
      </c>
      <c r="E218" s="1"/>
      <c r="F218" s="1" t="s">
        <v>496</v>
      </c>
      <c r="G218" s="1"/>
      <c r="H218" s="1"/>
      <c r="I218" s="1" t="s">
        <v>1568</v>
      </c>
      <c r="J218" s="1"/>
      <c r="K218" s="1"/>
      <c r="L218" s="1"/>
      <c r="M218" s="1"/>
      <c r="N218" s="1"/>
      <c r="O218" s="1" t="str">
        <f>_xlfn.CONCAT(OfficeForms.Table3[[#This Row],[القطاع الغربي (Western Sector)]:[القطاع فرسان (Farasan Sector)]])</f>
        <v>مركز الأساملة (Al-Asamalah Center)</v>
      </c>
      <c r="P218" s="2">
        <v>46140</v>
      </c>
      <c r="Q218" s="2">
        <v>46031</v>
      </c>
      <c r="R218" s="21" t="s">
        <v>2067</v>
      </c>
      <c r="S218" s="22" t="s">
        <v>2068</v>
      </c>
      <c r="T218" s="1">
        <v>39</v>
      </c>
      <c r="U218" s="1" t="s">
        <v>508</v>
      </c>
      <c r="V218" s="21" t="s">
        <v>2069</v>
      </c>
      <c r="W218" s="1" t="s">
        <v>2070</v>
      </c>
      <c r="X218" s="21" t="s">
        <v>1572</v>
      </c>
      <c r="Y218" s="10" t="s">
        <v>2071</v>
      </c>
      <c r="Z218" s="13" t="s">
        <v>1528</v>
      </c>
      <c r="AA218" s="13"/>
      <c r="AB218" s="13"/>
      <c r="AC218" s="13" t="s">
        <v>2072</v>
      </c>
      <c r="AD218" s="13" t="s">
        <v>642</v>
      </c>
      <c r="AE218" s="13"/>
      <c r="AF218" s="1"/>
      <c r="AG218" s="13" t="s">
        <v>2073</v>
      </c>
      <c r="AH218" s="13"/>
      <c r="AI218" s="239">
        <v>46142</v>
      </c>
      <c r="AJ218" s="242" t="s">
        <v>1548</v>
      </c>
      <c r="AK218" s="245" t="str">
        <f t="shared" si="3"/>
        <v>✅ ملتزم</v>
      </c>
      <c r="AL218" s="251"/>
      <c r="AN218" s="258" t="s">
        <v>1468</v>
      </c>
      <c r="AO218" s="252"/>
      <c r="AR218" s="241" t="s">
        <v>61</v>
      </c>
      <c r="AS218" s="241" t="str">
        <f>IF(AR218="","",IF(ISNUMBER(SEARCH("جازان",AR218)),"مستشفى جازان العام",IF(ISNUMBER(SEARCH("صبيا",AR218)),"مستشفى صبيا العام",IF(ISNUMBER(SEARCH("عريش",AR218)),"مستشفى أبو عريش العام",IF(ISNUMBER(SEARCH("صامط",AR218)),"مستشفى صامطة العام",IF(ISNUMBER(SEARCH("بيش",AR218)),"مستشفى بيش العام",IF(ISNUMBER(SEARCH("فهد",AR218)),"مستشفى الملك فهد المركزي",AR218)))))))</f>
        <v>مستشفى أبو عريش العام</v>
      </c>
      <c r="AT218" s="241">
        <f>ROW()-1</f>
        <v>217</v>
      </c>
    </row>
    <row r="219" spans="1:46" ht="165">
      <c r="A219" s="1">
        <v>323</v>
      </c>
      <c r="B219" s="1">
        <v>46140.615949074097</v>
      </c>
      <c r="C219" s="1">
        <v>46140.622685185197</v>
      </c>
      <c r="D219" s="1" t="s">
        <v>662</v>
      </c>
      <c r="E219" s="1"/>
      <c r="F219" s="1" t="s">
        <v>468</v>
      </c>
      <c r="G219" s="1"/>
      <c r="H219" s="1" t="s">
        <v>2074</v>
      </c>
      <c r="I219" s="1"/>
      <c r="J219" s="1"/>
      <c r="K219" s="1"/>
      <c r="L219" s="1"/>
      <c r="M219" s="1"/>
      <c r="N219" s="1"/>
      <c r="O219" s="1" t="str">
        <f>_xlfn.CONCAT(OfficeForms.Table3[[#This Row],[القطاع الغربي (Western Sector)]:[القطاع فرسان (Farasan Sector)]])</f>
        <v>مركز المروه (Al-Marwah Center)</v>
      </c>
      <c r="P219" s="2">
        <v>46140</v>
      </c>
      <c r="Q219" s="2">
        <v>46071</v>
      </c>
      <c r="R219" s="21" t="s">
        <v>2075</v>
      </c>
      <c r="S219" s="22" t="s">
        <v>2076</v>
      </c>
      <c r="T219" s="1">
        <v>42</v>
      </c>
      <c r="U219" s="1" t="s">
        <v>509</v>
      </c>
      <c r="V219" s="21" t="s">
        <v>2077</v>
      </c>
      <c r="W219" s="1" t="s">
        <v>2078</v>
      </c>
      <c r="X219" s="21" t="s">
        <v>2079</v>
      </c>
      <c r="Y219" s="10" t="s">
        <v>2080</v>
      </c>
      <c r="Z219" s="13" t="s">
        <v>2081</v>
      </c>
      <c r="AA219" s="13" t="s">
        <v>2082</v>
      </c>
      <c r="AB219" s="13"/>
      <c r="AC219" s="13" t="s">
        <v>693</v>
      </c>
      <c r="AD219" s="13" t="s">
        <v>680</v>
      </c>
      <c r="AE219" s="13" t="s">
        <v>642</v>
      </c>
      <c r="AF219" s="1" t="s">
        <v>680</v>
      </c>
      <c r="AG219" s="13" t="s">
        <v>2083</v>
      </c>
      <c r="AH219" s="13"/>
      <c r="AI219" s="239">
        <v>46141</v>
      </c>
      <c r="AJ219" s="242" t="s">
        <v>1478</v>
      </c>
      <c r="AK219" s="245" t="str">
        <f t="shared" si="3"/>
        <v>✅ ملتزم</v>
      </c>
      <c r="AL219" s="251"/>
      <c r="AN219" s="258" t="s">
        <v>1479</v>
      </c>
      <c r="AO219" s="252"/>
      <c r="AR219" s="241" t="s">
        <v>65</v>
      </c>
      <c r="AS219" s="241" t="str">
        <f>IF(AR219="","",IF(ISNUMBER(SEARCH("جازان",AR219)),"مستشفى جازان العام",IF(ISNUMBER(SEARCH("صبيا",AR219)),"مستشفى صبيا العام",IF(ISNUMBER(SEARCH("عريش",AR219)),"مستشفى أبو عريش العام",IF(ISNUMBER(SEARCH("صامط",AR219)),"مستشفى صامطة العام",IF(ISNUMBER(SEARCH("بيش",AR219)),"مستشفى بيش العام",IF(ISNUMBER(SEARCH("فهد",AR219)),"مستشفى الملك فهد المركزي",AR219)))))))</f>
        <v>مستشفى صامطة العام</v>
      </c>
      <c r="AT219" s="241">
        <f>ROW()-1</f>
        <v>218</v>
      </c>
    </row>
    <row r="220" spans="1:46" ht="51">
      <c r="A220" s="1">
        <v>324</v>
      </c>
      <c r="B220" s="1">
        <v>46140.648969907401</v>
      </c>
      <c r="C220" s="1">
        <v>46140.651759259301</v>
      </c>
      <c r="D220" s="1" t="s">
        <v>662</v>
      </c>
      <c r="E220" s="1"/>
      <c r="F220" s="1" t="s">
        <v>496</v>
      </c>
      <c r="G220" s="1"/>
      <c r="H220" s="1"/>
      <c r="I220" s="1" t="s">
        <v>2084</v>
      </c>
      <c r="J220" s="1"/>
      <c r="K220" s="1"/>
      <c r="L220" s="1"/>
      <c r="M220" s="1"/>
      <c r="N220" s="1"/>
      <c r="O220" s="1" t="str">
        <f>_xlfn.CONCAT(OfficeForms.Table3[[#This Row],[القطاع الغربي (Western Sector)]:[القطاع فرسان (Farasan Sector)]])</f>
        <v>مركز ابو عريش الشمالي (Northern Abu Arish Center)</v>
      </c>
      <c r="P220" s="2">
        <v>46140</v>
      </c>
      <c r="Q220" s="2">
        <v>46101</v>
      </c>
      <c r="R220" s="21" t="s">
        <v>1887</v>
      </c>
      <c r="S220" s="22" t="s">
        <v>1986</v>
      </c>
      <c r="T220" s="1">
        <v>41</v>
      </c>
      <c r="U220" s="1" t="s">
        <v>510</v>
      </c>
      <c r="V220" s="21" t="s">
        <v>2085</v>
      </c>
      <c r="W220" s="1" t="s">
        <v>2086</v>
      </c>
      <c r="X220" s="21" t="s">
        <v>1406</v>
      </c>
      <c r="Y220" s="10" t="s">
        <v>2087</v>
      </c>
      <c r="Z220" s="13"/>
      <c r="AA220" s="13" t="s">
        <v>1564</v>
      </c>
      <c r="AB220" s="13" t="s">
        <v>1956</v>
      </c>
      <c r="AC220" s="13" t="s">
        <v>693</v>
      </c>
      <c r="AD220" s="13" t="s">
        <v>642</v>
      </c>
      <c r="AE220" s="13"/>
      <c r="AF220" s="1"/>
      <c r="AG220" s="13" t="s">
        <v>2088</v>
      </c>
      <c r="AH220" s="13"/>
      <c r="AI220" s="239">
        <v>46142</v>
      </c>
      <c r="AJ220" s="242" t="s">
        <v>1478</v>
      </c>
      <c r="AK220" s="245" t="str">
        <f t="shared" si="3"/>
        <v>✅ ملتزم</v>
      </c>
      <c r="AL220" s="251"/>
      <c r="AN220" s="258" t="s">
        <v>1479</v>
      </c>
      <c r="AO220" s="252"/>
      <c r="AP220" s="241" t="s">
        <v>1619</v>
      </c>
      <c r="AQ220" s="241" t="s">
        <v>1505</v>
      </c>
      <c r="AR220" s="241" t="s">
        <v>61</v>
      </c>
      <c r="AS220" s="241" t="str">
        <f>IF(AR220="","",IF(ISNUMBER(SEARCH("جازان",AR220)),"مستشفى جازان العام",IF(ISNUMBER(SEARCH("صبيا",AR220)),"مستشفى صبيا العام",IF(ISNUMBER(SEARCH("عريش",AR220)),"مستشفى أبو عريش العام",IF(ISNUMBER(SEARCH("صامط",AR220)),"مستشفى صامطة العام",IF(ISNUMBER(SEARCH("بيش",AR220)),"مستشفى بيش العام",IF(ISNUMBER(SEARCH("فهد",AR220)),"مستشفى الملك فهد المركزي",AR220)))))))</f>
        <v>مستشفى أبو عريش العام</v>
      </c>
      <c r="AT220" s="241">
        <f>ROW()-1</f>
        <v>219</v>
      </c>
    </row>
    <row r="221" spans="1:46" ht="63.75">
      <c r="A221" s="1">
        <v>325</v>
      </c>
      <c r="B221" s="1">
        <v>46140.6551736111</v>
      </c>
      <c r="C221" s="1">
        <v>46140.660983796297</v>
      </c>
      <c r="D221" s="1" t="s">
        <v>662</v>
      </c>
      <c r="E221" s="1"/>
      <c r="F221" s="1" t="s">
        <v>461</v>
      </c>
      <c r="G221" s="1"/>
      <c r="H221" s="1"/>
      <c r="I221" s="1"/>
      <c r="J221" s="1" t="s">
        <v>2089</v>
      </c>
      <c r="K221" s="1"/>
      <c r="L221" s="1"/>
      <c r="M221" s="1"/>
      <c r="N221" s="1"/>
      <c r="O221" s="1" t="str">
        <f>_xlfn.CONCAT(OfficeForms.Table3[[#This Row],[القطاع الغربي (Western Sector)]:[القطاع فرسان (Farasan Sector)]])</f>
        <v>مركز بيش (Baish Center)</v>
      </c>
      <c r="P221" s="2">
        <v>46140</v>
      </c>
      <c r="Q221" s="2">
        <v>46026</v>
      </c>
      <c r="R221" s="21" t="s">
        <v>2090</v>
      </c>
      <c r="S221" s="22" t="s">
        <v>2091</v>
      </c>
      <c r="T221" s="1">
        <v>41</v>
      </c>
      <c r="U221" s="1" t="s">
        <v>511</v>
      </c>
      <c r="V221" s="21" t="s">
        <v>2092</v>
      </c>
      <c r="W221" s="1" t="s">
        <v>1857</v>
      </c>
      <c r="X221" s="21" t="s">
        <v>2093</v>
      </c>
      <c r="Y221" s="10" t="s">
        <v>2094</v>
      </c>
      <c r="Z221" s="13" t="s">
        <v>1865</v>
      </c>
      <c r="AA221" s="13" t="s">
        <v>2095</v>
      </c>
      <c r="AB221" s="13"/>
      <c r="AC221" s="13"/>
      <c r="AD221" s="13" t="s">
        <v>680</v>
      </c>
      <c r="AE221" s="13" t="s">
        <v>642</v>
      </c>
      <c r="AF221" s="1" t="s">
        <v>680</v>
      </c>
      <c r="AG221" s="13" t="s">
        <v>2093</v>
      </c>
      <c r="AH221" s="13"/>
      <c r="AI221" s="239">
        <v>46146</v>
      </c>
      <c r="AJ221" s="242" t="s">
        <v>1548</v>
      </c>
      <c r="AK221" s="245" t="str">
        <f t="shared" si="3"/>
        <v>❌ غير ملتزم</v>
      </c>
      <c r="AL221" s="251"/>
      <c r="AN221" s="258" t="s">
        <v>1479</v>
      </c>
      <c r="AO221" s="240" t="s">
        <v>2096</v>
      </c>
      <c r="AR221" s="241" t="s">
        <v>67</v>
      </c>
      <c r="AS221" s="241" t="str">
        <f>IF(AR221="","",IF(ISNUMBER(SEARCH("جازان",AR221)),"مستشفى جازان العام",IF(ISNUMBER(SEARCH("صبيا",AR221)),"مستشفى صبيا العام",IF(ISNUMBER(SEARCH("عريش",AR221)),"مستشفى أبو عريش العام",IF(ISNUMBER(SEARCH("صامط",AR221)),"مستشفى صامطة العام",IF(ISNUMBER(SEARCH("بيش",AR221)),"مستشفى بيش العام",IF(ISNUMBER(SEARCH("فهد",AR221)),"مستشفى الملك فهد المركزي",AR221)))))))</f>
        <v>مستشفى بيش العام</v>
      </c>
      <c r="AT221" s="241">
        <f>ROW()-1</f>
        <v>220</v>
      </c>
    </row>
    <row r="222" spans="1:46" ht="114.75">
      <c r="A222" s="1">
        <v>326</v>
      </c>
      <c r="B222" s="1">
        <v>46141.346643518496</v>
      </c>
      <c r="C222" s="1">
        <v>46141.374745370398</v>
      </c>
      <c r="D222" s="1" t="s">
        <v>662</v>
      </c>
      <c r="E222" s="1"/>
      <c r="F222" s="1" t="s">
        <v>431</v>
      </c>
      <c r="G222" s="1"/>
      <c r="H222" s="1"/>
      <c r="I222" s="1"/>
      <c r="J222" s="1"/>
      <c r="K222" s="1" t="s">
        <v>1470</v>
      </c>
      <c r="L222" s="1"/>
      <c r="M222" s="1"/>
      <c r="N222" s="1"/>
      <c r="O222" s="1" t="str">
        <f>_xlfn.CONCAT(OfficeForms.Table3[[#This Row],[القطاع الغربي (Western Sector)]:[القطاع فرسان (Farasan Sector)]])</f>
        <v>مركز الشاطىء (Al-Shati Center)</v>
      </c>
      <c r="P222" s="2">
        <v>46141</v>
      </c>
      <c r="Q222" s="2">
        <v>45934</v>
      </c>
      <c r="R222" s="21" t="s">
        <v>2097</v>
      </c>
      <c r="S222" s="3">
        <v>46333</v>
      </c>
      <c r="T222" s="1">
        <v>34</v>
      </c>
      <c r="U222" s="1" t="s">
        <v>512</v>
      </c>
      <c r="V222" s="21" t="s">
        <v>2098</v>
      </c>
      <c r="W222" s="1" t="s">
        <v>2099</v>
      </c>
      <c r="X222" s="21" t="s">
        <v>668</v>
      </c>
      <c r="Y222" s="10" t="s">
        <v>2100</v>
      </c>
      <c r="Z222" s="13" t="s">
        <v>2101</v>
      </c>
      <c r="AA222" s="13" t="s">
        <v>2102</v>
      </c>
      <c r="AB222" s="13"/>
      <c r="AC222" s="13"/>
      <c r="AD222" s="13" t="s">
        <v>642</v>
      </c>
      <c r="AE222" s="13"/>
      <c r="AF222" s="1"/>
      <c r="AG222" s="13" t="s">
        <v>643</v>
      </c>
      <c r="AH222" s="13"/>
      <c r="AI222" s="239">
        <v>46142</v>
      </c>
      <c r="AJ222" s="242" t="s">
        <v>1478</v>
      </c>
      <c r="AK222" s="245" t="str">
        <f t="shared" si="3"/>
        <v>✅ ملتزم</v>
      </c>
      <c r="AL222" s="251"/>
      <c r="AN222" s="258" t="s">
        <v>1479</v>
      </c>
      <c r="AO222" s="252"/>
      <c r="AR222" s="241" t="s">
        <v>1467</v>
      </c>
      <c r="AS222" s="241" t="str">
        <f>IF(AR222="","",IF(ISNUMBER(SEARCH("جازان",AR222)),"مستشفى جازان العام",IF(ISNUMBER(SEARCH("صبيا",AR222)),"مستشفى صبيا العام",IF(ISNUMBER(SEARCH("عريش",AR222)),"مستشفى أبو عريش العام",IF(ISNUMBER(SEARCH("صامط",AR222)),"مستشفى صامطة العام",IF(ISNUMBER(SEARCH("بيش",AR222)),"مستشفى بيش العام",IF(ISNUMBER(SEARCH("فهد",AR222)),"مستشفى الملك فهد المركزي",AR222)))))))</f>
        <v>مستشفى جازان العام</v>
      </c>
      <c r="AT222" s="241">
        <f>ROW()-1</f>
        <v>221</v>
      </c>
    </row>
    <row r="223" spans="1:46" ht="63.75">
      <c r="A223" s="1">
        <v>327</v>
      </c>
      <c r="B223" s="1">
        <v>46141.369814814803</v>
      </c>
      <c r="C223" s="1">
        <v>46141.378993055601</v>
      </c>
      <c r="D223" s="1" t="s">
        <v>662</v>
      </c>
      <c r="E223" s="1"/>
      <c r="F223" s="1" t="s">
        <v>496</v>
      </c>
      <c r="G223" s="1"/>
      <c r="H223" s="1"/>
      <c r="I223" s="1" t="s">
        <v>1568</v>
      </c>
      <c r="J223" s="1"/>
      <c r="K223" s="1"/>
      <c r="L223" s="1"/>
      <c r="M223" s="1"/>
      <c r="N223" s="1"/>
      <c r="O223" s="1" t="str">
        <f>_xlfn.CONCAT(OfficeForms.Table3[[#This Row],[القطاع الغربي (Western Sector)]:[القطاع فرسان (Farasan Sector)]])</f>
        <v>مركز الأساملة (Al-Asamalah Center)</v>
      </c>
      <c r="P223" s="2">
        <v>46141</v>
      </c>
      <c r="Q223" s="2">
        <v>46056</v>
      </c>
      <c r="R223" s="21" t="s">
        <v>1667</v>
      </c>
      <c r="S223" s="3">
        <v>46306</v>
      </c>
      <c r="T223" s="1">
        <v>43</v>
      </c>
      <c r="U223" s="1" t="s">
        <v>513</v>
      </c>
      <c r="V223" s="21" t="s">
        <v>2103</v>
      </c>
      <c r="W223" s="1" t="s">
        <v>2104</v>
      </c>
      <c r="X223" s="21" t="s">
        <v>2105</v>
      </c>
      <c r="Y223" s="10" t="s">
        <v>2106</v>
      </c>
      <c r="Z223" s="13" t="s">
        <v>2107</v>
      </c>
      <c r="AA223" s="13" t="s">
        <v>1564</v>
      </c>
      <c r="AB223" s="13"/>
      <c r="AC223" s="13" t="s">
        <v>2108</v>
      </c>
      <c r="AD223" s="13" t="s">
        <v>680</v>
      </c>
      <c r="AE223" s="13" t="s">
        <v>642</v>
      </c>
      <c r="AF223" s="1" t="s">
        <v>680</v>
      </c>
      <c r="AG223" s="13" t="s">
        <v>2109</v>
      </c>
      <c r="AH223" s="13"/>
      <c r="AI223" s="239">
        <v>46145</v>
      </c>
      <c r="AJ223" s="242" t="s">
        <v>1478</v>
      </c>
      <c r="AK223" s="245" t="str">
        <f t="shared" si="3"/>
        <v>✅ ملتزم</v>
      </c>
      <c r="AL223" s="251"/>
      <c r="AN223" s="258" t="s">
        <v>1479</v>
      </c>
      <c r="AO223" s="252"/>
      <c r="AR223" s="241" t="s">
        <v>61</v>
      </c>
      <c r="AS223" s="241" t="str">
        <f>IF(AR223="","",IF(ISNUMBER(SEARCH("جازان",AR223)),"مستشفى جازان العام",IF(ISNUMBER(SEARCH("صبيا",AR223)),"مستشفى صبيا العام",IF(ISNUMBER(SEARCH("عريش",AR223)),"مستشفى أبو عريش العام",IF(ISNUMBER(SEARCH("صامط",AR223)),"مستشفى صامطة العام",IF(ISNUMBER(SEARCH("بيش",AR223)),"مستشفى بيش العام",IF(ISNUMBER(SEARCH("فهد",AR223)),"مستشفى الملك فهد المركزي",AR223)))))))</f>
        <v>مستشفى أبو عريش العام</v>
      </c>
      <c r="AT223" s="241">
        <f>ROW()-1</f>
        <v>222</v>
      </c>
    </row>
    <row r="224" spans="1:46" ht="39">
      <c r="A224" s="1">
        <v>328</v>
      </c>
      <c r="B224" s="1">
        <v>46141.390520833302</v>
      </c>
      <c r="C224" s="1">
        <v>46141.3925578704</v>
      </c>
      <c r="D224" s="1" t="s">
        <v>662</v>
      </c>
      <c r="E224" s="1"/>
      <c r="F224" s="1" t="s">
        <v>431</v>
      </c>
      <c r="G224" s="1"/>
      <c r="H224" s="1"/>
      <c r="I224" s="1"/>
      <c r="J224" s="1"/>
      <c r="K224" s="1" t="s">
        <v>1674</v>
      </c>
      <c r="L224" s="1"/>
      <c r="M224" s="1"/>
      <c r="N224" s="1"/>
      <c r="O224" s="1" t="str">
        <f>_xlfn.CONCAT(OfficeForms.Table3[[#This Row],[القطاع الغربي (Western Sector)]:[القطاع فرسان (Farasan Sector)]])</f>
        <v>مركز مخطط 6 (Mukhattat 6 Center)</v>
      </c>
      <c r="P224" s="2">
        <v>46141</v>
      </c>
      <c r="Q224" s="2">
        <v>45986</v>
      </c>
      <c r="R224" s="21" t="s">
        <v>1379</v>
      </c>
      <c r="S224" s="3">
        <v>33639</v>
      </c>
      <c r="T224" s="1">
        <v>33</v>
      </c>
      <c r="U224" s="1" t="s">
        <v>514</v>
      </c>
      <c r="V224" s="21" t="s">
        <v>2110</v>
      </c>
      <c r="W224" s="1" t="s">
        <v>1889</v>
      </c>
      <c r="X224" s="21" t="s">
        <v>876</v>
      </c>
      <c r="Y224" s="10" t="s">
        <v>2111</v>
      </c>
      <c r="Z224" s="13"/>
      <c r="AA224" s="13" t="s">
        <v>1729</v>
      </c>
      <c r="AB224" s="13"/>
      <c r="AC224" s="13"/>
      <c r="AD224" s="13" t="s">
        <v>642</v>
      </c>
      <c r="AE224" s="13"/>
      <c r="AF224" s="1"/>
      <c r="AG224" s="13" t="s">
        <v>879</v>
      </c>
      <c r="AH224" s="13"/>
      <c r="AI224" s="239">
        <v>46142</v>
      </c>
      <c r="AJ224" s="242" t="s">
        <v>1478</v>
      </c>
      <c r="AK224" s="245" t="str">
        <f t="shared" si="3"/>
        <v>✅ ملتزم</v>
      </c>
      <c r="AL224" s="251"/>
      <c r="AN224" s="258" t="s">
        <v>1479</v>
      </c>
      <c r="AO224" s="252"/>
      <c r="AR224" s="241" t="s">
        <v>1467</v>
      </c>
      <c r="AS224" s="241" t="str">
        <f>IF(AR224="","",IF(ISNUMBER(SEARCH("جازان",AR224)),"مستشفى جازان العام",IF(ISNUMBER(SEARCH("صبيا",AR224)),"مستشفى صبيا العام",IF(ISNUMBER(SEARCH("عريش",AR224)),"مستشفى أبو عريش العام",IF(ISNUMBER(SEARCH("صامط",AR224)),"مستشفى صامطة العام",IF(ISNUMBER(SEARCH("بيش",AR224)),"مستشفى بيش العام",IF(ISNUMBER(SEARCH("فهد",AR224)),"مستشفى الملك فهد المركزي",AR224)))))))</f>
        <v>مستشفى جازان العام</v>
      </c>
      <c r="AT224" s="241">
        <f>ROW()-1</f>
        <v>223</v>
      </c>
    </row>
    <row r="225" spans="1:50" ht="39">
      <c r="A225" s="1">
        <v>329</v>
      </c>
      <c r="B225" s="1">
        <v>46141.3957407407</v>
      </c>
      <c r="C225" s="1">
        <v>46141.402743055602</v>
      </c>
      <c r="D225" s="1" t="s">
        <v>662</v>
      </c>
      <c r="E225" s="1"/>
      <c r="F225" s="1" t="s">
        <v>431</v>
      </c>
      <c r="G225" s="1"/>
      <c r="H225" s="1"/>
      <c r="I225" s="1"/>
      <c r="J225" s="1"/>
      <c r="K225" s="1" t="s">
        <v>1470</v>
      </c>
      <c r="L225" s="1"/>
      <c r="M225" s="1"/>
      <c r="N225" s="1"/>
      <c r="O225" s="1" t="str">
        <f>_xlfn.CONCAT(OfficeForms.Table3[[#This Row],[القطاع الغربي (Western Sector)]:[القطاع فرسان (Farasan Sector)]])</f>
        <v>مركز الشاطىء (Al-Shati Center)</v>
      </c>
      <c r="P225" s="2">
        <v>46141</v>
      </c>
      <c r="Q225" s="2">
        <v>46068</v>
      </c>
      <c r="R225" s="21" t="s">
        <v>2112</v>
      </c>
      <c r="S225" s="22" t="s">
        <v>2113</v>
      </c>
      <c r="T225" s="1">
        <v>35</v>
      </c>
      <c r="U225" s="1" t="s">
        <v>515</v>
      </c>
      <c r="V225" s="21" t="s">
        <v>2114</v>
      </c>
      <c r="W225" s="1" t="s">
        <v>928</v>
      </c>
      <c r="X225" s="21" t="s">
        <v>668</v>
      </c>
      <c r="Y225" s="10" t="s">
        <v>2115</v>
      </c>
      <c r="Z225" s="13" t="s">
        <v>2116</v>
      </c>
      <c r="AA225" s="13" t="s">
        <v>1900</v>
      </c>
      <c r="AB225" s="13"/>
      <c r="AC225" s="13"/>
      <c r="AD225" s="13" t="s">
        <v>680</v>
      </c>
      <c r="AE225" s="13" t="s">
        <v>642</v>
      </c>
      <c r="AF225" s="1" t="s">
        <v>680</v>
      </c>
      <c r="AG225" s="13" t="s">
        <v>643</v>
      </c>
      <c r="AH225" s="13"/>
      <c r="AI225" s="239">
        <v>46142</v>
      </c>
      <c r="AJ225" s="242" t="s">
        <v>1478</v>
      </c>
      <c r="AK225" s="245" t="str">
        <f t="shared" si="3"/>
        <v>✅ ملتزم</v>
      </c>
      <c r="AL225" s="251"/>
      <c r="AN225" s="258" t="s">
        <v>1479</v>
      </c>
      <c r="AO225" s="252"/>
      <c r="AP225" s="241" t="s">
        <v>1619</v>
      </c>
      <c r="AQ225" s="241" t="s">
        <v>1505</v>
      </c>
      <c r="AR225" s="241" t="s">
        <v>1467</v>
      </c>
      <c r="AS225" s="241" t="str">
        <f>IF(AR225="","",IF(ISNUMBER(SEARCH("جازان",AR225)),"مستشفى جازان العام",IF(ISNUMBER(SEARCH("صبيا",AR225)),"مستشفى صبيا العام",IF(ISNUMBER(SEARCH("عريش",AR225)),"مستشفى أبو عريش العام",IF(ISNUMBER(SEARCH("صامط",AR225)),"مستشفى صامطة العام",IF(ISNUMBER(SEARCH("بيش",AR225)),"مستشفى بيش العام",IF(ISNUMBER(SEARCH("فهد",AR225)),"مستشفى الملك فهد المركزي",AR225)))))))</f>
        <v>مستشفى جازان العام</v>
      </c>
      <c r="AT225" s="241">
        <f>ROW()-1</f>
        <v>224</v>
      </c>
    </row>
    <row r="226" spans="1:50" ht="39">
      <c r="A226" s="1">
        <v>330</v>
      </c>
      <c r="B226" s="1">
        <v>46141.4133912037</v>
      </c>
      <c r="C226" s="1">
        <v>46141.415405092601</v>
      </c>
      <c r="D226" s="1" t="s">
        <v>662</v>
      </c>
      <c r="E226" s="1"/>
      <c r="F226" s="1" t="s">
        <v>431</v>
      </c>
      <c r="G226" s="1"/>
      <c r="H226" s="1"/>
      <c r="I226" s="1"/>
      <c r="J226" s="1"/>
      <c r="K226" s="1" t="s">
        <v>1674</v>
      </c>
      <c r="L226" s="1"/>
      <c r="M226" s="1"/>
      <c r="N226" s="1"/>
      <c r="O226" s="1" t="str">
        <f>_xlfn.CONCAT(OfficeForms.Table3[[#This Row],[القطاع الغربي (Western Sector)]:[القطاع فرسان (Farasan Sector)]])</f>
        <v>مركز مخطط 6 (Mukhattat 6 Center)</v>
      </c>
      <c r="P226" s="2">
        <v>46141</v>
      </c>
      <c r="Q226" s="2">
        <v>46082</v>
      </c>
      <c r="R226" s="21" t="s">
        <v>673</v>
      </c>
      <c r="S226" s="3">
        <v>38565</v>
      </c>
      <c r="T226" s="1">
        <v>21</v>
      </c>
      <c r="U226" s="1" t="s">
        <v>516</v>
      </c>
      <c r="V226" s="21" t="s">
        <v>2117</v>
      </c>
      <c r="W226" s="1" t="s">
        <v>1889</v>
      </c>
      <c r="X226" s="21" t="s">
        <v>876</v>
      </c>
      <c r="Y226" s="10" t="s">
        <v>2118</v>
      </c>
      <c r="Z226" s="13" t="s">
        <v>1528</v>
      </c>
      <c r="AA226" s="13"/>
      <c r="AB226" s="13"/>
      <c r="AC226" s="13"/>
      <c r="AD226" s="13" t="s">
        <v>642</v>
      </c>
      <c r="AE226" s="13"/>
      <c r="AF226" s="1"/>
      <c r="AG226" s="13" t="s">
        <v>879</v>
      </c>
      <c r="AH226" s="13"/>
      <c r="AI226" s="239">
        <v>46142</v>
      </c>
      <c r="AJ226" s="242" t="s">
        <v>1478</v>
      </c>
      <c r="AK226" s="245" t="str">
        <f t="shared" si="3"/>
        <v>✅ ملتزم</v>
      </c>
      <c r="AL226" s="251"/>
      <c r="AN226" s="258" t="s">
        <v>1479</v>
      </c>
      <c r="AO226" s="252"/>
      <c r="AR226" s="241" t="s">
        <v>1467</v>
      </c>
      <c r="AS226" s="241" t="str">
        <f>IF(AR226="","",IF(ISNUMBER(SEARCH("جازان",AR226)),"مستشفى جازان العام",IF(ISNUMBER(SEARCH("صبيا",AR226)),"مستشفى صبيا العام",IF(ISNUMBER(SEARCH("عريش",AR226)),"مستشفى أبو عريش العام",IF(ISNUMBER(SEARCH("صامط",AR226)),"مستشفى صامطة العام",IF(ISNUMBER(SEARCH("بيش",AR226)),"مستشفى بيش العام",IF(ISNUMBER(SEARCH("فهد",AR226)),"مستشفى الملك فهد المركزي",AR226)))))))</f>
        <v>مستشفى جازان العام</v>
      </c>
      <c r="AT226" s="241">
        <f>ROW()-1</f>
        <v>225</v>
      </c>
    </row>
    <row r="227" spans="1:50" ht="51">
      <c r="A227" s="1">
        <v>331</v>
      </c>
      <c r="B227" s="1">
        <v>46141.418807870403</v>
      </c>
      <c r="C227" s="1">
        <v>46141.425844907397</v>
      </c>
      <c r="D227" s="1" t="s">
        <v>662</v>
      </c>
      <c r="E227" s="1"/>
      <c r="F227" s="1" t="s">
        <v>431</v>
      </c>
      <c r="G227" s="1"/>
      <c r="H227" s="1"/>
      <c r="I227" s="1"/>
      <c r="J227" s="1"/>
      <c r="K227" s="1" t="s">
        <v>1731</v>
      </c>
      <c r="L227" s="1"/>
      <c r="M227" s="1"/>
      <c r="N227" s="1"/>
      <c r="O227" s="1" t="str">
        <f>_xlfn.CONCAT(OfficeForms.Table3[[#This Row],[القطاع الغربي (Western Sector)]:[القطاع فرسان (Farasan Sector)]])</f>
        <v>مركز المطار (Al-Matar Center)</v>
      </c>
      <c r="P227" s="2">
        <v>46141</v>
      </c>
      <c r="Q227" s="2">
        <v>46023</v>
      </c>
      <c r="R227" s="21" t="s">
        <v>2119</v>
      </c>
      <c r="S227" s="22" t="s">
        <v>2120</v>
      </c>
      <c r="T227" s="1">
        <v>38</v>
      </c>
      <c r="U227" s="1" t="s">
        <v>517</v>
      </c>
      <c r="V227" s="21" t="s">
        <v>2121</v>
      </c>
      <c r="W227" s="1" t="s">
        <v>2122</v>
      </c>
      <c r="X227" s="21" t="s">
        <v>1898</v>
      </c>
      <c r="Y227" s="10" t="s">
        <v>2123</v>
      </c>
      <c r="Z227" s="13" t="s">
        <v>1528</v>
      </c>
      <c r="AA227" s="13" t="s">
        <v>1684</v>
      </c>
      <c r="AB227" s="13"/>
      <c r="AC227" s="13" t="s">
        <v>2124</v>
      </c>
      <c r="AD227" s="13" t="s">
        <v>642</v>
      </c>
      <c r="AE227" s="13"/>
      <c r="AF227" s="1"/>
      <c r="AG227" s="13" t="s">
        <v>1998</v>
      </c>
      <c r="AH227" s="13"/>
      <c r="AI227" s="239">
        <v>46146</v>
      </c>
      <c r="AJ227" s="242" t="s">
        <v>1478</v>
      </c>
      <c r="AK227" s="245" t="str">
        <f t="shared" si="3"/>
        <v>❌ غير ملتزم</v>
      </c>
      <c r="AL227" s="251"/>
      <c r="AN227" s="258" t="s">
        <v>1479</v>
      </c>
      <c r="AO227" s="252"/>
      <c r="AP227" s="241" t="s">
        <v>1619</v>
      </c>
      <c r="AQ227" s="241" t="s">
        <v>1505</v>
      </c>
      <c r="AR227" s="241" t="s">
        <v>57</v>
      </c>
      <c r="AS227" s="241" t="str">
        <f>IF(AR227="","",IF(ISNUMBER(SEARCH("جازان",AR227)),"مستشفى جازان العام",IF(ISNUMBER(SEARCH("صبيا",AR227)),"مستشفى صبيا العام",IF(ISNUMBER(SEARCH("عريش",AR227)),"مستشفى أبو عريش العام",IF(ISNUMBER(SEARCH("صامط",AR227)),"مستشفى صامطة العام",IF(ISNUMBER(SEARCH("بيش",AR227)),"مستشفى بيش العام",IF(ISNUMBER(SEARCH("فهد",AR227)),"مستشفى الملك فهد المركزي",AR227)))))))</f>
        <v>مستشفى صبيا العام</v>
      </c>
      <c r="AT227" s="241">
        <f>ROW()-1</f>
        <v>226</v>
      </c>
    </row>
    <row r="228" spans="1:50" ht="39">
      <c r="A228" s="1">
        <v>332</v>
      </c>
      <c r="B228" s="1">
        <v>46141.501493055599</v>
      </c>
      <c r="C228" s="1">
        <v>46141.503819444399</v>
      </c>
      <c r="D228" s="1" t="s">
        <v>662</v>
      </c>
      <c r="E228" s="1"/>
      <c r="F228" s="1" t="s">
        <v>431</v>
      </c>
      <c r="G228" s="1"/>
      <c r="H228" s="1"/>
      <c r="I228" s="1"/>
      <c r="J228" s="1"/>
      <c r="K228" s="1" t="s">
        <v>1731</v>
      </c>
      <c r="L228" s="1"/>
      <c r="M228" s="1"/>
      <c r="N228" s="1"/>
      <c r="O228" s="1" t="str">
        <f>_xlfn.CONCAT(OfficeForms.Table3[[#This Row],[القطاع الغربي (Western Sector)]:[القطاع فرسان (Farasan Sector)]])</f>
        <v>مركز المطار (Al-Matar Center)</v>
      </c>
      <c r="P228" s="2">
        <v>46141</v>
      </c>
      <c r="Q228" s="2">
        <v>45947</v>
      </c>
      <c r="R228" s="21" t="s">
        <v>999</v>
      </c>
      <c r="S228" s="22" t="s">
        <v>1632</v>
      </c>
      <c r="T228" s="1">
        <v>28</v>
      </c>
      <c r="U228" s="1" t="s">
        <v>518</v>
      </c>
      <c r="V228" s="21" t="s">
        <v>2125</v>
      </c>
      <c r="W228" s="1" t="s">
        <v>1897</v>
      </c>
      <c r="X228" s="21" t="s">
        <v>1898</v>
      </c>
      <c r="Y228" s="10" t="s">
        <v>2126</v>
      </c>
      <c r="Z228" s="13"/>
      <c r="AA228" s="13" t="s">
        <v>1900</v>
      </c>
      <c r="AB228" s="13"/>
      <c r="AC228" s="13"/>
      <c r="AD228" s="13" t="s">
        <v>642</v>
      </c>
      <c r="AE228" s="13"/>
      <c r="AF228" s="1"/>
      <c r="AG228" s="13" t="s">
        <v>1998</v>
      </c>
      <c r="AH228" s="13"/>
      <c r="AI228" s="239">
        <v>46147</v>
      </c>
      <c r="AJ228" s="242" t="s">
        <v>1478</v>
      </c>
      <c r="AK228" s="245" t="str">
        <f t="shared" si="3"/>
        <v>❌ غير ملتزم</v>
      </c>
      <c r="AL228" s="251"/>
      <c r="AN228" s="258" t="s">
        <v>1479</v>
      </c>
      <c r="AO228" s="252"/>
      <c r="AR228" s="241" t="s">
        <v>1467</v>
      </c>
      <c r="AS228" s="241" t="str">
        <f>IF(AR228="","",IF(ISNUMBER(SEARCH("جازان",AR228)),"مستشفى جازان العام",IF(ISNUMBER(SEARCH("صبيا",AR228)),"مستشفى صبيا العام",IF(ISNUMBER(SEARCH("عريش",AR228)),"مستشفى أبو عريش العام",IF(ISNUMBER(SEARCH("صامط",AR228)),"مستشفى صامطة العام",IF(ISNUMBER(SEARCH("بيش",AR228)),"مستشفى بيش العام",IF(ISNUMBER(SEARCH("فهد",AR228)),"مستشفى الملك فهد المركزي",AR228)))))))</f>
        <v>مستشفى جازان العام</v>
      </c>
      <c r="AT228" s="241">
        <f>ROW()-1</f>
        <v>227</v>
      </c>
    </row>
    <row r="229" spans="1:50" ht="140.25">
      <c r="A229" s="1">
        <v>333</v>
      </c>
      <c r="B229" s="1">
        <v>46142.407210648104</v>
      </c>
      <c r="C229" s="1">
        <v>46142.411527777796</v>
      </c>
      <c r="D229" s="1" t="s">
        <v>662</v>
      </c>
      <c r="E229" s="1"/>
      <c r="F229" s="1" t="s">
        <v>468</v>
      </c>
      <c r="G229" s="1"/>
      <c r="H229" s="1" t="s">
        <v>1747</v>
      </c>
      <c r="I229" s="1"/>
      <c r="J229" s="1"/>
      <c r="K229" s="1"/>
      <c r="L229" s="1"/>
      <c r="M229" s="1"/>
      <c r="N229" s="1"/>
      <c r="O229" s="1" t="str">
        <f>_xlfn.CONCAT(OfficeForms.Table3[[#This Row],[القطاع الغربي (Western Sector)]:[القطاع فرسان (Farasan Sector)]])</f>
        <v>مركز الدريعية (Al-Durayiyah Center)</v>
      </c>
      <c r="P229" s="2">
        <v>46142</v>
      </c>
      <c r="Q229" s="2">
        <v>46023</v>
      </c>
      <c r="R229" s="21" t="s">
        <v>2127</v>
      </c>
      <c r="S229" s="22" t="s">
        <v>2128</v>
      </c>
      <c r="T229" s="1">
        <v>30</v>
      </c>
      <c r="U229" s="1" t="s">
        <v>519</v>
      </c>
      <c r="V229" s="21" t="s">
        <v>2129</v>
      </c>
      <c r="W229" s="1" t="s">
        <v>2130</v>
      </c>
      <c r="X229" s="21" t="s">
        <v>1137</v>
      </c>
      <c r="Y229" s="10" t="s">
        <v>2131</v>
      </c>
      <c r="Z229" s="13" t="s">
        <v>2132</v>
      </c>
      <c r="AA229" s="13"/>
      <c r="AB229" s="13"/>
      <c r="AC229" s="13" t="s">
        <v>693</v>
      </c>
      <c r="AD229" s="13" t="s">
        <v>642</v>
      </c>
      <c r="AE229" s="13"/>
      <c r="AF229" s="1"/>
      <c r="AG229" s="13" t="s">
        <v>1886</v>
      </c>
      <c r="AH229" s="13"/>
      <c r="AI229" s="239">
        <v>46145</v>
      </c>
      <c r="AJ229" s="242" t="s">
        <v>1478</v>
      </c>
      <c r="AK229" s="245" t="str">
        <f t="shared" si="3"/>
        <v>✅ ملتزم</v>
      </c>
      <c r="AL229" s="251"/>
      <c r="AN229" s="258" t="s">
        <v>1479</v>
      </c>
      <c r="AO229" s="252"/>
      <c r="AP229" s="241" t="s">
        <v>1317</v>
      </c>
      <c r="AQ229" s="241" t="s">
        <v>1814</v>
      </c>
      <c r="AR229" s="241" t="s">
        <v>65</v>
      </c>
      <c r="AS229" s="241" t="str">
        <f>IF(AR229="","",IF(ISNUMBER(SEARCH("جازان",AR229)),"مستشفى جازان العام",IF(ISNUMBER(SEARCH("صبيا",AR229)),"مستشفى صبيا العام",IF(ISNUMBER(SEARCH("عريش",AR229)),"مستشفى أبو عريش العام",IF(ISNUMBER(SEARCH("صامط",AR229)),"مستشفى صامطة العام",IF(ISNUMBER(SEARCH("بيش",AR229)),"مستشفى بيش العام",IF(ISNUMBER(SEARCH("فهد",AR229)),"مستشفى الملك فهد المركزي",AR229)))))))</f>
        <v>مستشفى صامطة العام</v>
      </c>
      <c r="AT229" s="241">
        <f>ROW()-1</f>
        <v>228</v>
      </c>
    </row>
    <row r="230" spans="1:50" ht="190.5">
      <c r="A230" s="1">
        <v>334</v>
      </c>
      <c r="B230" s="1">
        <v>46145.361388888901</v>
      </c>
      <c r="C230" s="1">
        <v>46145.367210648197</v>
      </c>
      <c r="D230" s="1" t="s">
        <v>662</v>
      </c>
      <c r="E230" s="1"/>
      <c r="F230" s="1" t="s">
        <v>431</v>
      </c>
      <c r="G230" s="1"/>
      <c r="H230" s="1"/>
      <c r="I230" s="1"/>
      <c r="J230" s="1"/>
      <c r="K230" s="1" t="s">
        <v>1582</v>
      </c>
      <c r="L230" s="1"/>
      <c r="M230" s="1"/>
      <c r="N230" s="1"/>
      <c r="O230" s="1" t="str">
        <f>_xlfn.CONCAT(OfficeForms.Table3[[#This Row],[القطاع الغربي (Western Sector)]:[القطاع فرسان (Farasan Sector)]])</f>
        <v>مركز مخطط 5 (Mukhattat 5 Center)</v>
      </c>
      <c r="P230" s="2">
        <v>46145</v>
      </c>
      <c r="Q230" s="2">
        <v>46108</v>
      </c>
      <c r="R230" s="21" t="s">
        <v>654</v>
      </c>
      <c r="S230" s="22">
        <v>30219</v>
      </c>
      <c r="T230" s="1">
        <v>41</v>
      </c>
      <c r="U230" s="1" t="s">
        <v>520</v>
      </c>
      <c r="V230" s="21" t="s">
        <v>2133</v>
      </c>
      <c r="W230" s="1" t="s">
        <v>2134</v>
      </c>
      <c r="X230" s="21" t="s">
        <v>2135</v>
      </c>
      <c r="Y230" s="10" t="s">
        <v>2136</v>
      </c>
      <c r="Z230" s="13" t="s">
        <v>1947</v>
      </c>
      <c r="AA230" s="13" t="s">
        <v>2137</v>
      </c>
      <c r="AB230" s="13"/>
      <c r="AC230" s="13"/>
      <c r="AD230" s="13" t="s">
        <v>642</v>
      </c>
      <c r="AE230" s="13"/>
      <c r="AF230" s="1"/>
      <c r="AG230" s="13" t="s">
        <v>2138</v>
      </c>
      <c r="AH230" s="13"/>
      <c r="AI230" s="239">
        <v>46149</v>
      </c>
      <c r="AJ230" s="242"/>
      <c r="AK230" s="245" t="str">
        <f t="shared" si="3"/>
        <v>❌ غير ملتزم</v>
      </c>
      <c r="AL230" s="251"/>
      <c r="AN230" s="258" t="s">
        <v>1479</v>
      </c>
      <c r="AO230" s="252"/>
      <c r="AR230" s="241" t="s">
        <v>1467</v>
      </c>
      <c r="AS230" s="241" t="str">
        <f>IF(AR230="","",IF(ISNUMBER(SEARCH("جازان",AR230)),"مستشفى جازان العام",IF(ISNUMBER(SEARCH("صبيا",AR230)),"مستشفى صبيا العام",IF(ISNUMBER(SEARCH("عريش",AR230)),"مستشفى أبو عريش العام",IF(ISNUMBER(SEARCH("صامط",AR230)),"مستشفى صامطة العام",IF(ISNUMBER(SEARCH("بيش",AR230)),"مستشفى بيش العام",IF(ISNUMBER(SEARCH("فهد",AR230)),"مستشفى الملك فهد المركزي",AR230)))))))</f>
        <v>مستشفى جازان العام</v>
      </c>
      <c r="AT230" s="241">
        <f>ROW()-1</f>
        <v>229</v>
      </c>
    </row>
    <row r="231" spans="1:50" ht="39">
      <c r="A231" s="1">
        <v>335</v>
      </c>
      <c r="B231" s="1">
        <v>46145.383240740703</v>
      </c>
      <c r="C231" s="1">
        <v>46145.401956018497</v>
      </c>
      <c r="D231" s="1" t="s">
        <v>662</v>
      </c>
      <c r="E231" s="1"/>
      <c r="F231" s="1" t="s">
        <v>461</v>
      </c>
      <c r="G231" s="1"/>
      <c r="H231" s="1"/>
      <c r="I231" s="1"/>
      <c r="J231" s="1" t="s">
        <v>1612</v>
      </c>
      <c r="K231" s="1"/>
      <c r="L231" s="1"/>
      <c r="M231" s="1"/>
      <c r="N231" s="1"/>
      <c r="O231" s="1" t="str">
        <f>_xlfn.CONCAT(OfficeForms.Table3[[#This Row],[القطاع الغربي (Western Sector)]:[القطاع فرسان (Farasan Sector)]])</f>
        <v>مركز الريث (Al-Rayth Center)</v>
      </c>
      <c r="P231" s="2">
        <v>46145</v>
      </c>
      <c r="Q231" s="2">
        <v>45997</v>
      </c>
      <c r="R231" s="21" t="s">
        <v>1156</v>
      </c>
      <c r="S231" s="22">
        <v>40537</v>
      </c>
      <c r="T231" s="1">
        <v>15</v>
      </c>
      <c r="U231" s="1" t="s">
        <v>521</v>
      </c>
      <c r="V231" s="21" t="s">
        <v>2139</v>
      </c>
      <c r="W231" s="1" t="s">
        <v>2140</v>
      </c>
      <c r="X231" s="21" t="s">
        <v>770</v>
      </c>
      <c r="Y231" s="10" t="s">
        <v>2141</v>
      </c>
      <c r="Z231" s="13"/>
      <c r="AA231" s="13" t="s">
        <v>2142</v>
      </c>
      <c r="AB231" s="13"/>
      <c r="AC231" s="13" t="s">
        <v>693</v>
      </c>
      <c r="AD231" s="13" t="s">
        <v>680</v>
      </c>
      <c r="AE231" s="13" t="s">
        <v>642</v>
      </c>
      <c r="AF231" s="1" t="s">
        <v>680</v>
      </c>
      <c r="AG231" s="13" t="s">
        <v>2143</v>
      </c>
      <c r="AH231" s="13"/>
      <c r="AI231" s="239">
        <v>46146</v>
      </c>
      <c r="AJ231" s="242" t="s">
        <v>1548</v>
      </c>
      <c r="AK231" s="245" t="str">
        <f t="shared" si="3"/>
        <v>✅ ملتزم</v>
      </c>
      <c r="AL231" s="251"/>
      <c r="AN231" s="258" t="s">
        <v>1468</v>
      </c>
      <c r="AO231" s="252"/>
      <c r="AP231" s="241" t="s">
        <v>1401</v>
      </c>
      <c r="AQ231" s="241" t="s">
        <v>1814</v>
      </c>
      <c r="AR231" s="241" t="s">
        <v>67</v>
      </c>
      <c r="AS231" s="241" t="str">
        <f>IF(AR231="","",IF(ISNUMBER(SEARCH("جازان",AR231)),"مستشفى جازان العام",IF(ISNUMBER(SEARCH("صبيا",AR231)),"مستشفى صبيا العام",IF(ISNUMBER(SEARCH("عريش",AR231)),"مستشفى أبو عريش العام",IF(ISNUMBER(SEARCH("صامط",AR231)),"مستشفى صامطة العام",IF(ISNUMBER(SEARCH("بيش",AR231)),"مستشفى بيش العام",IF(ISNUMBER(SEARCH("فهد",AR231)),"مستشفى الملك فهد المركزي",AR231)))))))</f>
        <v>مستشفى بيش العام</v>
      </c>
      <c r="AT231" s="241">
        <f>ROW()-1</f>
        <v>230</v>
      </c>
      <c r="AX231" s="278">
        <f>NETWORKDAYS.INTL(P231,AI231,"0000011")-1</f>
        <v>0</v>
      </c>
    </row>
    <row r="232" spans="1:50" ht="39">
      <c r="A232" s="1">
        <v>336</v>
      </c>
      <c r="B232" s="1">
        <v>46145.4152777778</v>
      </c>
      <c r="C232" s="1">
        <v>46145.417557870402</v>
      </c>
      <c r="D232" s="1" t="s">
        <v>662</v>
      </c>
      <c r="E232" s="1"/>
      <c r="F232" s="1" t="s">
        <v>431</v>
      </c>
      <c r="G232" s="1"/>
      <c r="H232" s="1"/>
      <c r="I232" s="1"/>
      <c r="J232" s="1"/>
      <c r="K232" s="1" t="s">
        <v>1582</v>
      </c>
      <c r="L232" s="1"/>
      <c r="M232" s="1"/>
      <c r="N232" s="1"/>
      <c r="O232" s="1" t="str">
        <f>_xlfn.CONCAT(OfficeForms.Table3[[#This Row],[القطاع الغربي (Western Sector)]:[القطاع فرسان (Farasan Sector)]])</f>
        <v>مركز مخطط 5 (Mukhattat 5 Center)</v>
      </c>
      <c r="P232" s="2">
        <v>46145</v>
      </c>
      <c r="Q232" s="2">
        <v>45991</v>
      </c>
      <c r="R232" s="21" t="s">
        <v>1379</v>
      </c>
      <c r="S232" s="22">
        <v>34154</v>
      </c>
      <c r="T232" s="1">
        <v>32</v>
      </c>
      <c r="U232" s="1" t="s">
        <v>522</v>
      </c>
      <c r="V232" s="21" t="s">
        <v>2144</v>
      </c>
      <c r="W232" s="1" t="s">
        <v>1098</v>
      </c>
      <c r="X232" s="21" t="s">
        <v>1286</v>
      </c>
      <c r="Y232" s="10" t="s">
        <v>2145</v>
      </c>
      <c r="Z232" s="13" t="s">
        <v>2051</v>
      </c>
      <c r="AA232" s="13"/>
      <c r="AB232" s="13"/>
      <c r="AC232" s="13"/>
      <c r="AD232" s="13" t="s">
        <v>642</v>
      </c>
      <c r="AE232" s="13"/>
      <c r="AF232" s="1"/>
      <c r="AG232" s="13" t="s">
        <v>2146</v>
      </c>
      <c r="AH232" s="13"/>
      <c r="AI232" s="239">
        <v>46149</v>
      </c>
      <c r="AJ232" s="242"/>
      <c r="AK232" s="245" t="str">
        <f t="shared" si="3"/>
        <v>❌ غير ملتزم</v>
      </c>
      <c r="AL232" s="251"/>
      <c r="AN232" s="258" t="s">
        <v>1479</v>
      </c>
      <c r="AO232" s="252"/>
      <c r="AR232" s="241" t="s">
        <v>1467</v>
      </c>
      <c r="AS232" s="241" t="str">
        <f>IF(AR232="","",IF(ISNUMBER(SEARCH("جازان",AR232)),"مستشفى جازان العام",IF(ISNUMBER(SEARCH("صبيا",AR232)),"مستشفى صبيا العام",IF(ISNUMBER(SEARCH("عريش",AR232)),"مستشفى أبو عريش العام",IF(ISNUMBER(SEARCH("صامط",AR232)),"مستشفى صامطة العام",IF(ISNUMBER(SEARCH("بيش",AR232)),"مستشفى بيش العام",IF(ISNUMBER(SEARCH("فهد",AR232)),"مستشفى الملك فهد المركزي",AR232)))))))</f>
        <v>مستشفى جازان العام</v>
      </c>
      <c r="AT232" s="241">
        <f>ROW()-1</f>
        <v>231</v>
      </c>
    </row>
    <row r="233" spans="1:50" ht="127.5">
      <c r="A233" s="1">
        <v>337</v>
      </c>
      <c r="B233" s="1">
        <v>46145.423333333303</v>
      </c>
      <c r="C233" s="1">
        <v>46145.431226851899</v>
      </c>
      <c r="D233" s="1" t="s">
        <v>662</v>
      </c>
      <c r="E233" s="1"/>
      <c r="F233" s="1" t="s">
        <v>445</v>
      </c>
      <c r="G233" s="1"/>
      <c r="H233" s="1"/>
      <c r="I233" s="1"/>
      <c r="J233" s="1"/>
      <c r="K233" s="1"/>
      <c r="L233" s="1" t="s">
        <v>1529</v>
      </c>
      <c r="M233" s="1"/>
      <c r="N233" s="1"/>
      <c r="O233" s="1" t="str">
        <f>_xlfn.CONCAT(OfficeForms.Table3[[#This Row],[القطاع الغربي (Western Sector)]:[القطاع فرسان (Farasan Sector)]])</f>
        <v>مركز العيدابي (Al-Eidabi Center)</v>
      </c>
      <c r="P233" s="2">
        <v>46145</v>
      </c>
      <c r="Q233" s="2">
        <v>46145</v>
      </c>
      <c r="R233" s="21" t="s">
        <v>999</v>
      </c>
      <c r="S233" s="22">
        <v>46234</v>
      </c>
      <c r="T233" s="1">
        <v>40</v>
      </c>
      <c r="U233" s="1" t="s">
        <v>523</v>
      </c>
      <c r="V233" s="21" t="s">
        <v>2147</v>
      </c>
      <c r="W233" s="1" t="s">
        <v>817</v>
      </c>
      <c r="X233" s="21" t="s">
        <v>818</v>
      </c>
      <c r="Y233" s="10" t="s">
        <v>2148</v>
      </c>
      <c r="Z233" s="13" t="s">
        <v>2149</v>
      </c>
      <c r="AA233" s="13" t="s">
        <v>1564</v>
      </c>
      <c r="AB233" s="13"/>
      <c r="AC233" s="13"/>
      <c r="AD233" s="13" t="s">
        <v>642</v>
      </c>
      <c r="AE233" s="13"/>
      <c r="AF233" s="1"/>
      <c r="AG233" s="13" t="s">
        <v>822</v>
      </c>
      <c r="AH233" s="13"/>
      <c r="AI233" s="239">
        <v>46149</v>
      </c>
      <c r="AJ233" s="242"/>
      <c r="AK233" s="245" t="str">
        <f t="shared" si="3"/>
        <v>❌ غير ملتزم</v>
      </c>
      <c r="AL233" s="251"/>
      <c r="AN233" s="258" t="s">
        <v>1479</v>
      </c>
      <c r="AO233" s="252"/>
      <c r="AR233" s="241" t="s">
        <v>57</v>
      </c>
      <c r="AS233" s="241" t="str">
        <f>IF(AR233="","",IF(ISNUMBER(SEARCH("جازان",AR233)),"مستشفى جازان العام",IF(ISNUMBER(SEARCH("صبيا",AR233)),"مستشفى صبيا العام",IF(ISNUMBER(SEARCH("عريش",AR233)),"مستشفى أبو عريش العام",IF(ISNUMBER(SEARCH("صامط",AR233)),"مستشفى صامطة العام",IF(ISNUMBER(SEARCH("بيش",AR233)),"مستشفى بيش العام",IF(ISNUMBER(SEARCH("فهد",AR233)),"مستشفى الملك فهد المركزي",AR233)))))))</f>
        <v>مستشفى صبيا العام</v>
      </c>
      <c r="AT233" s="241">
        <f>ROW()-1</f>
        <v>232</v>
      </c>
    </row>
    <row r="234" spans="1:50" ht="114.75">
      <c r="A234" s="1">
        <v>338</v>
      </c>
      <c r="B234" s="1">
        <v>46145.454016203701</v>
      </c>
      <c r="C234" s="1">
        <v>46145.457349536999</v>
      </c>
      <c r="D234" s="1" t="s">
        <v>662</v>
      </c>
      <c r="E234" s="1"/>
      <c r="F234" s="1" t="s">
        <v>431</v>
      </c>
      <c r="G234" s="1"/>
      <c r="H234" s="1"/>
      <c r="I234" s="1"/>
      <c r="J234" s="1"/>
      <c r="K234" s="1" t="s">
        <v>1470</v>
      </c>
      <c r="L234" s="1"/>
      <c r="M234" s="1"/>
      <c r="N234" s="1"/>
      <c r="O234" s="1" t="str">
        <f>_xlfn.CONCAT(OfficeForms.Table3[[#This Row],[القطاع الغربي (Western Sector)]:[القطاع فرسان (Farasan Sector)]])</f>
        <v>مركز الشاطىء (Al-Shati Center)</v>
      </c>
      <c r="P234" s="2">
        <v>46145</v>
      </c>
      <c r="Q234" s="2">
        <v>46102</v>
      </c>
      <c r="R234" s="21" t="s">
        <v>2150</v>
      </c>
      <c r="S234" s="3">
        <v>46384</v>
      </c>
      <c r="T234" s="1">
        <v>32</v>
      </c>
      <c r="U234" s="1" t="s">
        <v>524</v>
      </c>
      <c r="V234" s="21" t="s">
        <v>2151</v>
      </c>
      <c r="W234" s="1" t="s">
        <v>2152</v>
      </c>
      <c r="X234" s="21" t="s">
        <v>668</v>
      </c>
      <c r="Y234" s="10" t="s">
        <v>2153</v>
      </c>
      <c r="Z234" s="13" t="s">
        <v>2154</v>
      </c>
      <c r="AA234" s="13"/>
      <c r="AB234" s="13"/>
      <c r="AC234" s="13"/>
      <c r="AD234" s="13" t="s">
        <v>642</v>
      </c>
      <c r="AE234" s="13"/>
      <c r="AF234" s="1"/>
      <c r="AG234" s="13" t="s">
        <v>2155</v>
      </c>
      <c r="AH234" s="13"/>
      <c r="AI234" s="239">
        <v>46149</v>
      </c>
      <c r="AJ234" s="242"/>
      <c r="AK234" s="245" t="str">
        <f t="shared" si="3"/>
        <v>❌ غير ملتزم</v>
      </c>
      <c r="AL234" s="251"/>
      <c r="AN234" s="258" t="s">
        <v>1479</v>
      </c>
      <c r="AO234" s="252"/>
      <c r="AR234" s="241" t="s">
        <v>1467</v>
      </c>
      <c r="AS234" s="241" t="str">
        <f>IF(AR234="","",IF(ISNUMBER(SEARCH("جازان",AR234)),"مستشفى جازان العام",IF(ISNUMBER(SEARCH("صبيا",AR234)),"مستشفى صبيا العام",IF(ISNUMBER(SEARCH("عريش",AR234)),"مستشفى أبو عريش العام",IF(ISNUMBER(SEARCH("صامط",AR234)),"مستشفى صامطة العام",IF(ISNUMBER(SEARCH("بيش",AR234)),"مستشفى بيش العام",IF(ISNUMBER(SEARCH("فهد",AR234)),"مستشفى الملك فهد المركزي",AR234)))))))</f>
        <v>مستشفى جازان العام</v>
      </c>
      <c r="AT234" s="241">
        <f>ROW()-1</f>
        <v>233</v>
      </c>
    </row>
    <row r="235" spans="1:50" ht="51">
      <c r="A235" s="1">
        <v>339</v>
      </c>
      <c r="B235" s="1">
        <v>46145.462430555599</v>
      </c>
      <c r="C235" s="1">
        <v>46145.465810185196</v>
      </c>
      <c r="D235" s="1" t="s">
        <v>662</v>
      </c>
      <c r="E235" s="1"/>
      <c r="F235" s="1" t="s">
        <v>431</v>
      </c>
      <c r="G235" s="1"/>
      <c r="H235" s="1"/>
      <c r="I235" s="1"/>
      <c r="J235" s="1"/>
      <c r="K235" s="1" t="s">
        <v>1470</v>
      </c>
      <c r="L235" s="1"/>
      <c r="M235" s="1"/>
      <c r="N235" s="1"/>
      <c r="O235" s="1" t="str">
        <f>_xlfn.CONCAT(OfficeForms.Table3[[#This Row],[القطاع الغربي (Western Sector)]:[القطاع فرسان (Farasan Sector)]])</f>
        <v>مركز الشاطىء (Al-Shati Center)</v>
      </c>
      <c r="P235" s="2">
        <v>46145</v>
      </c>
      <c r="Q235" s="2">
        <v>45906</v>
      </c>
      <c r="R235" s="21" t="s">
        <v>2156</v>
      </c>
      <c r="S235" s="3">
        <v>46186</v>
      </c>
      <c r="T235" s="1">
        <v>31</v>
      </c>
      <c r="U235" s="1" t="s">
        <v>525</v>
      </c>
      <c r="V235" s="21" t="s">
        <v>2157</v>
      </c>
      <c r="W235" s="1" t="s">
        <v>2158</v>
      </c>
      <c r="X235" s="21" t="s">
        <v>668</v>
      </c>
      <c r="Y235" s="10" t="s">
        <v>2159</v>
      </c>
      <c r="Z235" s="13"/>
      <c r="AA235" s="13" t="s">
        <v>1690</v>
      </c>
      <c r="AB235" s="13"/>
      <c r="AC235" s="13"/>
      <c r="AD235" s="13" t="s">
        <v>642</v>
      </c>
      <c r="AE235" s="13"/>
      <c r="AF235" s="1"/>
      <c r="AG235" s="13" t="s">
        <v>643</v>
      </c>
      <c r="AH235" s="13"/>
      <c r="AI235" s="239">
        <v>46149</v>
      </c>
      <c r="AJ235" s="242"/>
      <c r="AK235" s="245" t="str">
        <f t="shared" si="3"/>
        <v>❌ غير ملتزم</v>
      </c>
      <c r="AL235" s="251"/>
      <c r="AN235" s="258" t="s">
        <v>1479</v>
      </c>
      <c r="AO235" s="252"/>
      <c r="AR235" s="241" t="s">
        <v>1467</v>
      </c>
      <c r="AS235" s="241" t="str">
        <f>IF(AR235="","",IF(ISNUMBER(SEARCH("جازان",AR235)),"مستشفى جازان العام",IF(ISNUMBER(SEARCH("صبيا",AR235)),"مستشفى صبيا العام",IF(ISNUMBER(SEARCH("عريش",AR235)),"مستشفى أبو عريش العام",IF(ISNUMBER(SEARCH("صامط",AR235)),"مستشفى صامطة العام",IF(ISNUMBER(SEARCH("بيش",AR235)),"مستشفى بيش العام",IF(ISNUMBER(SEARCH("فهد",AR235)),"مستشفى الملك فهد المركزي",AR235)))))))</f>
        <v>مستشفى جازان العام</v>
      </c>
      <c r="AT235" s="241">
        <f>ROW()-1</f>
        <v>234</v>
      </c>
    </row>
    <row r="236" spans="1:50" ht="63.75">
      <c r="A236" s="1">
        <v>340</v>
      </c>
      <c r="B236" s="1">
        <v>46145.417951388903</v>
      </c>
      <c r="C236" s="1">
        <v>46145.469398148103</v>
      </c>
      <c r="D236" s="1" t="s">
        <v>662</v>
      </c>
      <c r="E236" s="1"/>
      <c r="F236" s="1" t="s">
        <v>431</v>
      </c>
      <c r="G236" s="1"/>
      <c r="H236" s="1"/>
      <c r="I236" s="1"/>
      <c r="J236" s="1"/>
      <c r="K236" s="1" t="s">
        <v>1582</v>
      </c>
      <c r="L236" s="1"/>
      <c r="M236" s="1"/>
      <c r="N236" s="1"/>
      <c r="O236" s="1" t="str">
        <f>_xlfn.CONCAT(OfficeForms.Table3[[#This Row],[القطاع الغربي (Western Sector)]:[القطاع فرسان (Farasan Sector)]])</f>
        <v>مركز مخطط 5 (Mukhattat 5 Center)</v>
      </c>
      <c r="P236" s="2">
        <v>46145</v>
      </c>
      <c r="Q236" s="2">
        <v>46020</v>
      </c>
      <c r="R236" s="21" t="s">
        <v>2160</v>
      </c>
      <c r="S236" s="3">
        <v>36973</v>
      </c>
      <c r="T236" s="1">
        <v>25</v>
      </c>
      <c r="U236" s="1" t="s">
        <v>526</v>
      </c>
      <c r="V236" s="21" t="s">
        <v>2161</v>
      </c>
      <c r="W236" s="1" t="s">
        <v>2162</v>
      </c>
      <c r="X236" s="21" t="s">
        <v>1286</v>
      </c>
      <c r="Y236" s="10" t="s">
        <v>2163</v>
      </c>
      <c r="Z236" s="13"/>
      <c r="AA236" s="13" t="s">
        <v>2164</v>
      </c>
      <c r="AB236" s="13"/>
      <c r="AC236" s="13"/>
      <c r="AD236" s="13" t="s">
        <v>642</v>
      </c>
      <c r="AE236" s="13"/>
      <c r="AF236" s="1"/>
      <c r="AG236" s="13" t="s">
        <v>1399</v>
      </c>
      <c r="AH236" s="13"/>
      <c r="AI236" s="239">
        <v>46147</v>
      </c>
      <c r="AJ236" s="242" t="s">
        <v>1478</v>
      </c>
      <c r="AK236" s="245" t="str">
        <f t="shared" si="3"/>
        <v>✅ ملتزم</v>
      </c>
      <c r="AL236" s="251"/>
      <c r="AN236" s="258" t="s">
        <v>1479</v>
      </c>
      <c r="AO236" s="252"/>
      <c r="AR236" s="241" t="s">
        <v>1467</v>
      </c>
      <c r="AS236" s="241" t="str">
        <f>IF(AR236="","",IF(ISNUMBER(SEARCH("جازان",AR236)),"مستشفى جازان العام",IF(ISNUMBER(SEARCH("صبيا",AR236)),"مستشفى صبيا العام",IF(ISNUMBER(SEARCH("عريش",AR236)),"مستشفى أبو عريش العام",IF(ISNUMBER(SEARCH("صامط",AR236)),"مستشفى صامطة العام",IF(ISNUMBER(SEARCH("بيش",AR236)),"مستشفى بيش العام",IF(ISNUMBER(SEARCH("فهد",AR236)),"مستشفى الملك فهد المركزي",AR236)))))))</f>
        <v>مستشفى جازان العام</v>
      </c>
      <c r="AT236" s="241">
        <f>ROW()-1</f>
        <v>235</v>
      </c>
    </row>
    <row r="237" spans="1:50" ht="39">
      <c r="A237" s="1">
        <v>341</v>
      </c>
      <c r="B237" s="1">
        <v>46145.569201388898</v>
      </c>
      <c r="C237" s="1">
        <v>46145.575115740699</v>
      </c>
      <c r="D237" s="1" t="s">
        <v>662</v>
      </c>
      <c r="E237" s="1"/>
      <c r="F237" s="1" t="s">
        <v>461</v>
      </c>
      <c r="G237" s="1"/>
      <c r="H237" s="1"/>
      <c r="I237" s="1"/>
      <c r="J237" s="1" t="s">
        <v>1612</v>
      </c>
      <c r="K237" s="1"/>
      <c r="L237" s="1"/>
      <c r="M237" s="1"/>
      <c r="N237" s="1"/>
      <c r="O237" s="1" t="str">
        <f>_xlfn.CONCAT(OfficeForms.Table3[[#This Row],[القطاع الغربي (Western Sector)]:[القطاع فرسان (Farasan Sector)]])</f>
        <v>مركز الريث (Al-Rayth Center)</v>
      </c>
      <c r="P237" s="2">
        <v>46145</v>
      </c>
      <c r="Q237" s="2">
        <v>45927</v>
      </c>
      <c r="R237" s="21" t="s">
        <v>1764</v>
      </c>
      <c r="S237" s="3">
        <v>35363</v>
      </c>
      <c r="T237" s="1">
        <v>29</v>
      </c>
      <c r="U237" s="1" t="s">
        <v>527</v>
      </c>
      <c r="V237" s="1">
        <v>1123199612</v>
      </c>
      <c r="W237" s="1" t="s">
        <v>769</v>
      </c>
      <c r="X237" s="21" t="s">
        <v>770</v>
      </c>
      <c r="Y237" s="10" t="s">
        <v>2165</v>
      </c>
      <c r="Z237" s="13"/>
      <c r="AA237" s="13" t="s">
        <v>1900</v>
      </c>
      <c r="AB237" s="13"/>
      <c r="AC237" s="13"/>
      <c r="AD237" s="13" t="s">
        <v>642</v>
      </c>
      <c r="AE237" s="13"/>
      <c r="AF237" s="1"/>
      <c r="AG237" s="13" t="s">
        <v>774</v>
      </c>
      <c r="AH237" s="13"/>
      <c r="AI237" s="239">
        <v>46146</v>
      </c>
      <c r="AJ237" s="242" t="s">
        <v>1478</v>
      </c>
      <c r="AK237" s="245" t="str">
        <f t="shared" si="3"/>
        <v>✅ ملتزم</v>
      </c>
      <c r="AL237" s="251"/>
      <c r="AN237" s="258" t="s">
        <v>1479</v>
      </c>
      <c r="AO237" s="252"/>
      <c r="AP237" s="241" t="s">
        <v>1401</v>
      </c>
      <c r="AQ237" s="241" t="s">
        <v>2166</v>
      </c>
      <c r="AR237" s="241" t="s">
        <v>67</v>
      </c>
      <c r="AS237" s="241" t="str">
        <f>IF(AR237="","",IF(ISNUMBER(SEARCH("جازان",AR237)),"مستشفى جازان العام",IF(ISNUMBER(SEARCH("صبيا",AR237)),"مستشفى صبيا العام",IF(ISNUMBER(SEARCH("عريش",AR237)),"مستشفى أبو عريش العام",IF(ISNUMBER(SEARCH("صامط",AR237)),"مستشفى صامطة العام",IF(ISNUMBER(SEARCH("بيش",AR237)),"مستشفى بيش العام",IF(ISNUMBER(SEARCH("فهد",AR237)),"مستشفى الملك فهد المركزي",AR237)))))))</f>
        <v>مستشفى بيش العام</v>
      </c>
      <c r="AT237" s="241">
        <f>ROW()-1</f>
        <v>236</v>
      </c>
    </row>
    <row r="238" spans="1:50" ht="39">
      <c r="A238" s="1">
        <v>342</v>
      </c>
      <c r="B238" s="1">
        <v>46146.395011574103</v>
      </c>
      <c r="C238" s="1">
        <v>46146.399930555599</v>
      </c>
      <c r="D238" s="1" t="s">
        <v>662</v>
      </c>
      <c r="E238" s="1"/>
      <c r="F238" s="1" t="s">
        <v>445</v>
      </c>
      <c r="G238" s="1"/>
      <c r="H238" s="1"/>
      <c r="I238" s="1"/>
      <c r="J238" s="1"/>
      <c r="K238" s="1"/>
      <c r="L238" s="1" t="s">
        <v>1497</v>
      </c>
      <c r="M238" s="1"/>
      <c r="N238" s="1"/>
      <c r="O238" s="1" t="str">
        <f>_xlfn.CONCAT(OfficeForms.Table3[[#This Row],[القطاع الغربي (Western Sector)]:[القطاع فرسان (Farasan Sector)]])</f>
        <v>مركز بلغازي (Balghazi Center)</v>
      </c>
      <c r="P238" s="2">
        <v>46146</v>
      </c>
      <c r="Q238" s="2">
        <v>46016</v>
      </c>
      <c r="R238" s="21" t="s">
        <v>1024</v>
      </c>
      <c r="S238" s="3">
        <v>46297</v>
      </c>
      <c r="T238" s="1">
        <v>34</v>
      </c>
      <c r="U238" s="1" t="s">
        <v>528</v>
      </c>
      <c r="V238" s="21" t="s">
        <v>2167</v>
      </c>
      <c r="W238" s="1" t="s">
        <v>1089</v>
      </c>
      <c r="X238" s="21" t="s">
        <v>1501</v>
      </c>
      <c r="Y238" s="10" t="s">
        <v>2168</v>
      </c>
      <c r="Z238" s="13" t="s">
        <v>1528</v>
      </c>
      <c r="AA238" s="13"/>
      <c r="AB238" s="13"/>
      <c r="AC238" s="13"/>
      <c r="AD238" s="13" t="s">
        <v>642</v>
      </c>
      <c r="AE238" s="13"/>
      <c r="AF238" s="1"/>
      <c r="AG238" s="13" t="s">
        <v>2169</v>
      </c>
      <c r="AH238" s="13"/>
      <c r="AI238" s="239">
        <v>46148</v>
      </c>
      <c r="AJ238" s="242" t="s">
        <v>1478</v>
      </c>
      <c r="AK238" s="245" t="str">
        <f t="shared" si="3"/>
        <v>✅ ملتزم</v>
      </c>
      <c r="AL238" s="251"/>
      <c r="AN238" s="258" t="s">
        <v>1479</v>
      </c>
      <c r="AO238" s="252"/>
      <c r="AR238" s="241" t="s">
        <v>61</v>
      </c>
      <c r="AS238" s="241" t="str">
        <f>IF(AR238="","",IF(ISNUMBER(SEARCH("جازان",AR238)),"مستشفى جازان العام",IF(ISNUMBER(SEARCH("صبيا",AR238)),"مستشفى صبيا العام",IF(ISNUMBER(SEARCH("عريش",AR238)),"مستشفى أبو عريش العام",IF(ISNUMBER(SEARCH("صامط",AR238)),"مستشفى صامطة العام",IF(ISNUMBER(SEARCH("بيش",AR238)),"مستشفى بيش العام",IF(ISNUMBER(SEARCH("فهد",AR238)),"مستشفى الملك فهد المركزي",AR238)))))))</f>
        <v>مستشفى أبو عريش العام</v>
      </c>
      <c r="AT238" s="241">
        <f>ROW()-1</f>
        <v>237</v>
      </c>
    </row>
    <row r="239" spans="1:50" ht="89.25">
      <c r="A239" s="1">
        <v>343</v>
      </c>
      <c r="B239" s="1">
        <v>46146.4131597222</v>
      </c>
      <c r="C239" s="1">
        <v>46146.417789351799</v>
      </c>
      <c r="D239" s="1" t="s">
        <v>662</v>
      </c>
      <c r="E239" s="1"/>
      <c r="F239" s="1" t="s">
        <v>431</v>
      </c>
      <c r="G239" s="1"/>
      <c r="H239" s="1"/>
      <c r="I239" s="1"/>
      <c r="J239" s="1"/>
      <c r="K239" s="1" t="s">
        <v>1646</v>
      </c>
      <c r="L239" s="1"/>
      <c r="M239" s="1"/>
      <c r="N239" s="1"/>
      <c r="O239" s="1" t="str">
        <f>_xlfn.CONCAT(OfficeForms.Table3[[#This Row],[القطاع الغربي (Western Sector)]:[القطاع فرسان (Farasan Sector)]])</f>
        <v>مركز محلية (Mahaliyah Center)</v>
      </c>
      <c r="P239" s="2">
        <v>46146</v>
      </c>
      <c r="Q239" s="2">
        <v>46002</v>
      </c>
      <c r="R239" s="21" t="s">
        <v>1310</v>
      </c>
      <c r="S239" s="3">
        <v>32401</v>
      </c>
      <c r="T239" s="1">
        <v>37</v>
      </c>
      <c r="U239" s="1" t="s">
        <v>529</v>
      </c>
      <c r="V239" s="21" t="s">
        <v>2170</v>
      </c>
      <c r="W239" s="1" t="s">
        <v>2171</v>
      </c>
      <c r="X239" s="21" t="s">
        <v>1648</v>
      </c>
      <c r="Y239" s="10" t="s">
        <v>2172</v>
      </c>
      <c r="Z239" s="13" t="s">
        <v>2173</v>
      </c>
      <c r="AA239" s="13" t="s">
        <v>2102</v>
      </c>
      <c r="AB239" s="13"/>
      <c r="AC239" s="13"/>
      <c r="AD239" s="13" t="s">
        <v>642</v>
      </c>
      <c r="AE239" s="13"/>
      <c r="AF239" s="1"/>
      <c r="AG239" s="13" t="s">
        <v>2174</v>
      </c>
      <c r="AH239" s="13"/>
      <c r="AI239" s="239">
        <v>46149</v>
      </c>
      <c r="AJ239" s="242"/>
      <c r="AK239" s="245" t="str">
        <f t="shared" si="3"/>
        <v>❌ غير ملتزم</v>
      </c>
      <c r="AL239" s="251"/>
      <c r="AN239" s="258" t="s">
        <v>1479</v>
      </c>
      <c r="AO239" s="252"/>
      <c r="AR239" s="241" t="s">
        <v>1467</v>
      </c>
      <c r="AS239" s="241" t="str">
        <f>IF(AR239="","",IF(ISNUMBER(SEARCH("جازان",AR239)),"مستشفى جازان العام",IF(ISNUMBER(SEARCH("صبيا",AR239)),"مستشفى صبيا العام",IF(ISNUMBER(SEARCH("عريش",AR239)),"مستشفى أبو عريش العام",IF(ISNUMBER(SEARCH("صامط",AR239)),"مستشفى صامطة العام",IF(ISNUMBER(SEARCH("بيش",AR239)),"مستشفى بيش العام",IF(ISNUMBER(SEARCH("فهد",AR239)),"مستشفى الملك فهد المركزي",AR239)))))))</f>
        <v>مستشفى جازان العام</v>
      </c>
      <c r="AT239" s="241">
        <f>ROW()-1</f>
        <v>238</v>
      </c>
    </row>
    <row r="240" spans="1:50" ht="89.25">
      <c r="A240" s="1">
        <v>344</v>
      </c>
      <c r="B240" s="1">
        <v>46146.432245370401</v>
      </c>
      <c r="C240" s="1">
        <v>46146.437326388899</v>
      </c>
      <c r="D240" s="1" t="s">
        <v>662</v>
      </c>
      <c r="E240" s="1"/>
      <c r="F240" s="1" t="s">
        <v>468</v>
      </c>
      <c r="G240" s="1"/>
      <c r="H240" s="1" t="s">
        <v>2175</v>
      </c>
      <c r="I240" s="1"/>
      <c r="J240" s="1"/>
      <c r="K240" s="1"/>
      <c r="L240" s="1"/>
      <c r="M240" s="1"/>
      <c r="N240" s="1"/>
      <c r="O240" s="1" t="str">
        <f>_xlfn.CONCAT(OfficeForms.Table3[[#This Row],[القطاع الغربي (Western Sector)]:[القطاع فرسان (Farasan Sector)]])</f>
        <v>مركز الحقلة (Al-Haqla Center)</v>
      </c>
      <c r="P240" s="2">
        <v>46134</v>
      </c>
      <c r="Q240" s="2">
        <v>45999</v>
      </c>
      <c r="R240" s="21" t="s">
        <v>1627</v>
      </c>
      <c r="S240" s="3">
        <v>33772</v>
      </c>
      <c r="T240" s="1">
        <v>33</v>
      </c>
      <c r="U240" s="1" t="s">
        <v>530</v>
      </c>
      <c r="V240" s="21" t="s">
        <v>2176</v>
      </c>
      <c r="W240" s="1" t="s">
        <v>1246</v>
      </c>
      <c r="X240" s="21" t="s">
        <v>2177</v>
      </c>
      <c r="Y240" s="10" t="s">
        <v>2178</v>
      </c>
      <c r="Z240" s="13" t="s">
        <v>2179</v>
      </c>
      <c r="AA240" s="13"/>
      <c r="AB240" s="13"/>
      <c r="AC240" s="13" t="s">
        <v>642</v>
      </c>
      <c r="AD240" s="13" t="s">
        <v>642</v>
      </c>
      <c r="AE240" s="13"/>
      <c r="AF240" s="1"/>
      <c r="AG240" s="13" t="s">
        <v>2180</v>
      </c>
      <c r="AH240" s="13"/>
      <c r="AI240" s="239">
        <v>46147</v>
      </c>
      <c r="AJ240" s="242" t="s">
        <v>1478</v>
      </c>
      <c r="AK240" s="245" t="str">
        <f t="shared" si="3"/>
        <v>❌ غير ملتزم</v>
      </c>
      <c r="AL240" s="251"/>
      <c r="AN240" s="258" t="s">
        <v>1479</v>
      </c>
      <c r="AO240" s="252"/>
      <c r="AR240" s="241" t="s">
        <v>65</v>
      </c>
      <c r="AS240" s="241" t="str">
        <f>IF(AR240="","",IF(ISNUMBER(SEARCH("جازان",AR240)),"مستشفى جازان العام",IF(ISNUMBER(SEARCH("صبيا",AR240)),"مستشفى صبيا العام",IF(ISNUMBER(SEARCH("عريش",AR240)),"مستشفى أبو عريش العام",IF(ISNUMBER(SEARCH("صامط",AR240)),"مستشفى صامطة العام",IF(ISNUMBER(SEARCH("بيش",AR240)),"مستشفى بيش العام",IF(ISNUMBER(SEARCH("فهد",AR240)),"مستشفى الملك فهد المركزي",AR240)))))))</f>
        <v>مستشفى صامطة العام</v>
      </c>
      <c r="AT240" s="241">
        <f>ROW()-1</f>
        <v>239</v>
      </c>
    </row>
    <row r="241" spans="1:46" ht="39">
      <c r="A241" s="1">
        <v>345</v>
      </c>
      <c r="B241" s="1">
        <v>46146.482592592598</v>
      </c>
      <c r="C241" s="1">
        <v>46146.491493055597</v>
      </c>
      <c r="D241" s="1" t="s">
        <v>662</v>
      </c>
      <c r="E241" s="1"/>
      <c r="F241" s="1" t="s">
        <v>461</v>
      </c>
      <c r="G241" s="1"/>
      <c r="H241" s="1"/>
      <c r="I241" s="1"/>
      <c r="J241" s="1" t="s">
        <v>1612</v>
      </c>
      <c r="K241" s="1"/>
      <c r="L241" s="1"/>
      <c r="M241" s="1"/>
      <c r="N241" s="1"/>
      <c r="O241" s="1" t="str">
        <f>_xlfn.CONCAT(OfficeForms.Table3[[#This Row],[القطاع الغربي (Western Sector)]:[القطاع فرسان (Farasan Sector)]])</f>
        <v>مركز الريث (Al-Rayth Center)</v>
      </c>
      <c r="P241" s="2">
        <v>46146</v>
      </c>
      <c r="Q241" s="2">
        <v>46026</v>
      </c>
      <c r="R241" s="21" t="s">
        <v>2181</v>
      </c>
      <c r="S241" s="3">
        <v>31542</v>
      </c>
      <c r="T241" s="1">
        <v>39</v>
      </c>
      <c r="U241" s="1" t="s">
        <v>531</v>
      </c>
      <c r="V241" s="21" t="s">
        <v>2182</v>
      </c>
      <c r="W241" s="1" t="s">
        <v>769</v>
      </c>
      <c r="X241" s="21" t="s">
        <v>770</v>
      </c>
      <c r="Y241" s="10" t="s">
        <v>2183</v>
      </c>
      <c r="Z241" s="13"/>
      <c r="AA241" s="13" t="s">
        <v>2102</v>
      </c>
      <c r="AB241" s="13"/>
      <c r="AC241" s="13" t="s">
        <v>773</v>
      </c>
      <c r="AD241" s="13" t="s">
        <v>642</v>
      </c>
      <c r="AE241" s="13"/>
      <c r="AF241" s="1"/>
      <c r="AG241" s="13" t="s">
        <v>1966</v>
      </c>
      <c r="AH241" s="13"/>
      <c r="AI241" s="239">
        <v>46149</v>
      </c>
      <c r="AJ241" s="242"/>
      <c r="AK241" s="245" t="str">
        <f t="shared" si="3"/>
        <v>❌ غير ملتزم</v>
      </c>
      <c r="AL241" s="251"/>
      <c r="AN241" s="258" t="s">
        <v>1479</v>
      </c>
      <c r="AO241" s="252"/>
      <c r="AR241" s="241" t="s">
        <v>57</v>
      </c>
      <c r="AS241" s="241" t="str">
        <f>IF(AR241="","",IF(ISNUMBER(SEARCH("جازان",AR241)),"مستشفى جازان العام",IF(ISNUMBER(SEARCH("صبيا",AR241)),"مستشفى صبيا العام",IF(ISNUMBER(SEARCH("عريش",AR241)),"مستشفى أبو عريش العام",IF(ISNUMBER(SEARCH("صامط",AR241)),"مستشفى صامطة العام",IF(ISNUMBER(SEARCH("بيش",AR241)),"مستشفى بيش العام",IF(ISNUMBER(SEARCH("فهد",AR241)),"مستشفى الملك فهد المركزي",AR241)))))))</f>
        <v>مستشفى صبيا العام</v>
      </c>
      <c r="AT241" s="241">
        <f>ROW()-1</f>
        <v>240</v>
      </c>
    </row>
    <row r="242" spans="1:46" ht="114.75">
      <c r="A242" s="1">
        <v>346</v>
      </c>
      <c r="B242" s="1">
        <v>46146.498437499999</v>
      </c>
      <c r="C242" s="1">
        <v>46146.502662036997</v>
      </c>
      <c r="D242" s="1" t="s">
        <v>662</v>
      </c>
      <c r="E242" s="1"/>
      <c r="F242" s="1" t="s">
        <v>431</v>
      </c>
      <c r="G242" s="1"/>
      <c r="H242" s="1"/>
      <c r="I242" s="1"/>
      <c r="J242" s="1"/>
      <c r="K242" s="1" t="s">
        <v>1927</v>
      </c>
      <c r="L242" s="1"/>
      <c r="M242" s="1"/>
      <c r="N242" s="1"/>
      <c r="O242" s="1" t="str">
        <f>_xlfn.CONCAT(OfficeForms.Table3[[#This Row],[القطاع الغربي (Western Sector)]:[القطاع فرسان (Farasan Sector)]])</f>
        <v>مركز الكربوس ( Alkarbuse Center)</v>
      </c>
      <c r="P242" s="2">
        <v>46146</v>
      </c>
      <c r="Q242" s="2">
        <v>45972</v>
      </c>
      <c r="R242" s="21" t="s">
        <v>2184</v>
      </c>
      <c r="S242" s="3">
        <v>46251</v>
      </c>
      <c r="T242" s="1">
        <v>26</v>
      </c>
      <c r="U242" s="1" t="s">
        <v>532</v>
      </c>
      <c r="V242" s="21" t="s">
        <v>2185</v>
      </c>
      <c r="W242" s="1" t="s">
        <v>2186</v>
      </c>
      <c r="X242" s="21" t="s">
        <v>702</v>
      </c>
      <c r="Y242" s="10" t="s">
        <v>2187</v>
      </c>
      <c r="Z242" s="13"/>
      <c r="AA242" s="13"/>
      <c r="AB242" s="13" t="s">
        <v>1885</v>
      </c>
      <c r="AC242" s="13"/>
      <c r="AD242" s="13" t="s">
        <v>642</v>
      </c>
      <c r="AE242" s="13"/>
      <c r="AF242" s="1"/>
      <c r="AG242" s="13" t="s">
        <v>705</v>
      </c>
      <c r="AH242" s="13"/>
      <c r="AI242" s="239">
        <v>46147</v>
      </c>
      <c r="AJ242" s="242" t="s">
        <v>1478</v>
      </c>
      <c r="AK242" s="245" t="str">
        <f t="shared" si="3"/>
        <v>✅ ملتزم</v>
      </c>
      <c r="AL242" s="251"/>
      <c r="AN242" s="258" t="s">
        <v>1479</v>
      </c>
      <c r="AO242" s="252"/>
      <c r="AR242" s="241" t="s">
        <v>1467</v>
      </c>
      <c r="AS242" s="241" t="str">
        <f>IF(AR242="","",IF(ISNUMBER(SEARCH("جازان",AR242)),"مستشفى جازان العام",IF(ISNUMBER(SEARCH("صبيا",AR242)),"مستشفى صبيا العام",IF(ISNUMBER(SEARCH("عريش",AR242)),"مستشفى أبو عريش العام",IF(ISNUMBER(SEARCH("صامط",AR242)),"مستشفى صامطة العام",IF(ISNUMBER(SEARCH("بيش",AR242)),"مستشفى بيش العام",IF(ISNUMBER(SEARCH("فهد",AR242)),"مستشفى الملك فهد المركزي",AR242)))))))</f>
        <v>مستشفى جازان العام</v>
      </c>
      <c r="AT242" s="241">
        <f>ROW()-1</f>
        <v>241</v>
      </c>
    </row>
    <row r="243" spans="1:46" ht="114.75">
      <c r="A243" s="1">
        <v>347</v>
      </c>
      <c r="B243" s="1">
        <v>46146.551851851902</v>
      </c>
      <c r="C243" s="1">
        <v>46146.557696759301</v>
      </c>
      <c r="D243" s="1" t="s">
        <v>662</v>
      </c>
      <c r="E243" s="1"/>
      <c r="F243" s="1" t="s">
        <v>468</v>
      </c>
      <c r="G243" s="1"/>
      <c r="H243" s="1" t="s">
        <v>2175</v>
      </c>
      <c r="I243" s="1"/>
      <c r="J243" s="1"/>
      <c r="K243" s="1"/>
      <c r="L243" s="1"/>
      <c r="M243" s="1"/>
      <c r="N243" s="1"/>
      <c r="O243" s="1" t="str">
        <f>_xlfn.CONCAT(OfficeForms.Table3[[#This Row],[القطاع الغربي (Western Sector)]:[القطاع فرسان (Farasan Sector)]])</f>
        <v>مركز الحقلة (Al-Haqla Center)</v>
      </c>
      <c r="P243" s="2">
        <v>46145</v>
      </c>
      <c r="Q243" s="2">
        <v>45936</v>
      </c>
      <c r="R243" s="21" t="s">
        <v>1243</v>
      </c>
      <c r="S243" s="3">
        <v>32551</v>
      </c>
      <c r="T243" s="1">
        <v>37</v>
      </c>
      <c r="U243" s="1" t="s">
        <v>533</v>
      </c>
      <c r="V243" s="21" t="s">
        <v>2188</v>
      </c>
      <c r="W243" s="1" t="s">
        <v>743</v>
      </c>
      <c r="X243" s="21" t="s">
        <v>2177</v>
      </c>
      <c r="Y243" s="10" t="s">
        <v>2189</v>
      </c>
      <c r="Z243" s="13" t="s">
        <v>1905</v>
      </c>
      <c r="AA243" s="13" t="s">
        <v>2190</v>
      </c>
      <c r="AB243" s="13"/>
      <c r="AC243" s="13" t="s">
        <v>2191</v>
      </c>
      <c r="AD243" s="13" t="s">
        <v>680</v>
      </c>
      <c r="AE243" s="13" t="s">
        <v>642</v>
      </c>
      <c r="AF243" s="1" t="s">
        <v>680</v>
      </c>
      <c r="AG243" s="13" t="s">
        <v>2192</v>
      </c>
      <c r="AH243" s="13"/>
      <c r="AI243" s="239">
        <v>46147</v>
      </c>
      <c r="AJ243" s="242" t="s">
        <v>1478</v>
      </c>
      <c r="AK243" s="245" t="str">
        <f t="shared" si="3"/>
        <v>✅ ملتزم</v>
      </c>
      <c r="AL243" s="251"/>
      <c r="AN243" s="258" t="s">
        <v>1479</v>
      </c>
      <c r="AO243" s="252"/>
      <c r="AR243" s="241" t="s">
        <v>1467</v>
      </c>
      <c r="AS243" s="241" t="str">
        <f>IF(AR243="","",IF(ISNUMBER(SEARCH("جازان",AR243)),"مستشفى جازان العام",IF(ISNUMBER(SEARCH("صبيا",AR243)),"مستشفى صبيا العام",IF(ISNUMBER(SEARCH("عريش",AR243)),"مستشفى أبو عريش العام",IF(ISNUMBER(SEARCH("صامط",AR243)),"مستشفى صامطة العام",IF(ISNUMBER(SEARCH("بيش",AR243)),"مستشفى بيش العام",IF(ISNUMBER(SEARCH("فهد",AR243)),"مستشفى الملك فهد المركزي",AR243)))))))</f>
        <v>مستشفى جازان العام</v>
      </c>
      <c r="AT243" s="241">
        <f>ROW()-1</f>
        <v>242</v>
      </c>
    </row>
    <row r="244" spans="1:46" ht="63.75">
      <c r="A244" s="1">
        <v>348</v>
      </c>
      <c r="B244" s="1">
        <v>46146.607824074097</v>
      </c>
      <c r="C244" s="1">
        <v>46146.614027777803</v>
      </c>
      <c r="D244" s="1" t="s">
        <v>662</v>
      </c>
      <c r="E244" s="1"/>
      <c r="F244" s="1" t="s">
        <v>468</v>
      </c>
      <c r="G244" s="1"/>
      <c r="H244" s="1" t="s">
        <v>1591</v>
      </c>
      <c r="I244" s="1"/>
      <c r="J244" s="1"/>
      <c r="K244" s="1"/>
      <c r="L244" s="1"/>
      <c r="M244" s="1"/>
      <c r="N244" s="1"/>
      <c r="O244" s="1" t="str">
        <f>_xlfn.CONCAT(OfficeForms.Table3[[#This Row],[القطاع الغربي (Western Sector)]:[القطاع فرسان (Farasan Sector)]])</f>
        <v>مركز الخوالف (Al-Khawalif Center)</v>
      </c>
      <c r="P244" s="2">
        <v>46146</v>
      </c>
      <c r="Q244" s="2">
        <v>46052</v>
      </c>
      <c r="R244" s="21" t="s">
        <v>2181</v>
      </c>
      <c r="S244" s="3">
        <v>46332</v>
      </c>
      <c r="T244" s="1">
        <v>41</v>
      </c>
      <c r="U244" s="1" t="s">
        <v>534</v>
      </c>
      <c r="V244" s="21" t="s">
        <v>2193</v>
      </c>
      <c r="W244" s="1" t="s">
        <v>743</v>
      </c>
      <c r="X244" s="21" t="s">
        <v>1453</v>
      </c>
      <c r="Y244" s="10" t="s">
        <v>2194</v>
      </c>
      <c r="Z244" s="13" t="s">
        <v>1860</v>
      </c>
      <c r="AA244" s="13" t="s">
        <v>2003</v>
      </c>
      <c r="AB244" s="13"/>
      <c r="AC244" s="13"/>
      <c r="AD244" s="13" t="s">
        <v>680</v>
      </c>
      <c r="AE244" s="13" t="s">
        <v>680</v>
      </c>
      <c r="AF244" s="1" t="s">
        <v>680</v>
      </c>
      <c r="AG244" s="13" t="s">
        <v>2195</v>
      </c>
      <c r="AH244" s="13"/>
      <c r="AI244" s="239">
        <v>46147</v>
      </c>
      <c r="AJ244" s="242" t="s">
        <v>1478</v>
      </c>
      <c r="AK244" s="245" t="str">
        <f t="shared" si="3"/>
        <v>✅ ملتزم</v>
      </c>
      <c r="AL244" s="251"/>
      <c r="AN244" s="258" t="s">
        <v>1479</v>
      </c>
      <c r="AO244" s="252"/>
      <c r="AR244" s="241" t="s">
        <v>1467</v>
      </c>
      <c r="AS244" s="241" t="str">
        <f>IF(AR244="","",IF(ISNUMBER(SEARCH("جازان",AR244)),"مستشفى جازان العام",IF(ISNUMBER(SEARCH("صبيا",AR244)),"مستشفى صبيا العام",IF(ISNUMBER(SEARCH("عريش",AR244)),"مستشفى أبو عريش العام",IF(ISNUMBER(SEARCH("صامط",AR244)),"مستشفى صامطة العام",IF(ISNUMBER(SEARCH("بيش",AR244)),"مستشفى بيش العام",IF(ISNUMBER(SEARCH("فهد",AR244)),"مستشفى الملك فهد المركزي",AR244)))))))</f>
        <v>مستشفى جازان العام</v>
      </c>
      <c r="AT244" s="241">
        <f>ROW()-1</f>
        <v>243</v>
      </c>
    </row>
    <row r="245" spans="1:46" ht="51">
      <c r="A245" s="1">
        <v>349</v>
      </c>
      <c r="B245" s="1">
        <v>46147.347129629597</v>
      </c>
      <c r="C245" s="1">
        <v>46147.3507523148</v>
      </c>
      <c r="D245" s="1" t="s">
        <v>662</v>
      </c>
      <c r="E245" s="1"/>
      <c r="F245" s="1" t="s">
        <v>431</v>
      </c>
      <c r="G245" s="1"/>
      <c r="H245" s="1"/>
      <c r="I245" s="1"/>
      <c r="J245" s="1"/>
      <c r="K245" s="1" t="s">
        <v>1653</v>
      </c>
      <c r="L245" s="1"/>
      <c r="M245" s="1"/>
      <c r="N245" s="1"/>
      <c r="O245" s="1" t="str">
        <f>_xlfn.CONCAT(OfficeForms.Table3[[#This Row],[القطاع الغربي (Western Sector)]:[القطاع فرسان (Farasan Sector)]])</f>
        <v>مركز المعبوج (Al-Maabooj Center)</v>
      </c>
      <c r="P245" s="2">
        <v>46147</v>
      </c>
      <c r="Q245" s="2">
        <v>46028</v>
      </c>
      <c r="R245" s="21" t="s">
        <v>2196</v>
      </c>
      <c r="S245" s="3">
        <v>46298</v>
      </c>
      <c r="T245" s="1">
        <v>36</v>
      </c>
      <c r="U245" s="1" t="s">
        <v>535</v>
      </c>
      <c r="V245" s="21" t="s">
        <v>1413</v>
      </c>
      <c r="W245" s="1" t="s">
        <v>667</v>
      </c>
      <c r="X245" s="21" t="s">
        <v>1382</v>
      </c>
      <c r="Y245" s="10" t="s">
        <v>1414</v>
      </c>
      <c r="Z245" s="13" t="s">
        <v>1951</v>
      </c>
      <c r="AA245" s="13" t="s">
        <v>1900</v>
      </c>
      <c r="AB245" s="13"/>
      <c r="AC245" s="13"/>
      <c r="AD245" s="13" t="s">
        <v>642</v>
      </c>
      <c r="AE245" s="13"/>
      <c r="AF245" s="1"/>
      <c r="AG245" s="13" t="s">
        <v>1415</v>
      </c>
      <c r="AH245" s="13"/>
      <c r="AI245" s="239">
        <v>46148</v>
      </c>
      <c r="AJ245" s="242" t="s">
        <v>1478</v>
      </c>
      <c r="AK245" s="245" t="str">
        <f t="shared" si="3"/>
        <v>✅ ملتزم</v>
      </c>
      <c r="AL245" s="251"/>
      <c r="AN245" s="258" t="s">
        <v>1479</v>
      </c>
      <c r="AO245" s="252"/>
      <c r="AR245" s="241" t="s">
        <v>1467</v>
      </c>
      <c r="AS245" s="241" t="str">
        <f>IF(AR245="","",IF(ISNUMBER(SEARCH("جازان",AR245)),"مستشفى جازان العام",IF(ISNUMBER(SEARCH("صبيا",AR245)),"مستشفى صبيا العام",IF(ISNUMBER(SEARCH("عريش",AR245)),"مستشفى أبو عريش العام",IF(ISNUMBER(SEARCH("صامط",AR245)),"مستشفى صامطة العام",IF(ISNUMBER(SEARCH("بيش",AR245)),"مستشفى بيش العام",IF(ISNUMBER(SEARCH("فهد",AR245)),"مستشفى الملك فهد المركزي",AR245)))))))</f>
        <v>مستشفى جازان العام</v>
      </c>
      <c r="AT245" s="241">
        <f>ROW()-1</f>
        <v>244</v>
      </c>
    </row>
    <row r="246" spans="1:46" ht="51">
      <c r="A246" s="1">
        <v>350</v>
      </c>
      <c r="B246" s="1">
        <v>46147.368437500001</v>
      </c>
      <c r="C246" s="1">
        <v>46147.373043981497</v>
      </c>
      <c r="D246" s="1" t="s">
        <v>662</v>
      </c>
      <c r="E246" s="1"/>
      <c r="F246" s="1" t="s">
        <v>431</v>
      </c>
      <c r="G246" s="1"/>
      <c r="H246" s="1"/>
      <c r="I246" s="1"/>
      <c r="J246" s="1"/>
      <c r="K246" s="1" t="s">
        <v>1653</v>
      </c>
      <c r="L246" s="1"/>
      <c r="M246" s="1"/>
      <c r="N246" s="1"/>
      <c r="O246" s="1" t="str">
        <f>_xlfn.CONCAT(OfficeForms.Table3[[#This Row],[القطاع الغربي (Western Sector)]:[القطاع فرسان (Farasan Sector)]])</f>
        <v>مركز المعبوج (Al-Maabooj Center)</v>
      </c>
      <c r="P246" s="2">
        <v>46147</v>
      </c>
      <c r="Q246" s="2">
        <v>45985</v>
      </c>
      <c r="R246" s="21" t="s">
        <v>1303</v>
      </c>
      <c r="S246" s="3">
        <v>46265</v>
      </c>
      <c r="T246" s="1">
        <v>35</v>
      </c>
      <c r="U246" s="1" t="s">
        <v>536</v>
      </c>
      <c r="V246" s="21" t="s">
        <v>2197</v>
      </c>
      <c r="W246" s="1" t="s">
        <v>667</v>
      </c>
      <c r="X246" s="21" t="s">
        <v>1382</v>
      </c>
      <c r="Y246" s="10" t="s">
        <v>2198</v>
      </c>
      <c r="Z246" s="13"/>
      <c r="AA246" s="13" t="s">
        <v>2199</v>
      </c>
      <c r="AB246" s="13"/>
      <c r="AC246" s="13"/>
      <c r="AD246" s="13" t="s">
        <v>642</v>
      </c>
      <c r="AE246" s="13"/>
      <c r="AF246" s="1"/>
      <c r="AG246" s="13" t="s">
        <v>1415</v>
      </c>
      <c r="AH246" s="13"/>
      <c r="AI246" s="239">
        <v>46148</v>
      </c>
      <c r="AJ246" s="242" t="s">
        <v>1478</v>
      </c>
      <c r="AK246" s="245" t="str">
        <f t="shared" si="3"/>
        <v>✅ ملتزم</v>
      </c>
      <c r="AL246" s="251"/>
      <c r="AN246" s="258" t="s">
        <v>1479</v>
      </c>
      <c r="AO246" s="252"/>
      <c r="AR246" s="241" t="s">
        <v>1467</v>
      </c>
      <c r="AS246" s="241" t="str">
        <f>IF(AR246="","",IF(ISNUMBER(SEARCH("جازان",AR246)),"مستشفى جازان العام",IF(ISNUMBER(SEARCH("صبيا",AR246)),"مستشفى صبيا العام",IF(ISNUMBER(SEARCH("عريش",AR246)),"مستشفى أبو عريش العام",IF(ISNUMBER(SEARCH("صامط",AR246)),"مستشفى صامطة العام",IF(ISNUMBER(SEARCH("بيش",AR246)),"مستشفى بيش العام",IF(ISNUMBER(SEARCH("فهد",AR246)),"مستشفى الملك فهد المركزي",AR246)))))))</f>
        <v>مستشفى جازان العام</v>
      </c>
      <c r="AT246" s="241">
        <f>ROW()-1</f>
        <v>245</v>
      </c>
    </row>
    <row r="247" spans="1:46" ht="140.25">
      <c r="A247" s="1">
        <v>351</v>
      </c>
      <c r="B247" s="1">
        <v>46147.393078703702</v>
      </c>
      <c r="C247" s="1">
        <v>46147.396087963003</v>
      </c>
      <c r="D247" s="1" t="s">
        <v>662</v>
      </c>
      <c r="E247" s="1"/>
      <c r="F247" s="1" t="s">
        <v>431</v>
      </c>
      <c r="G247" s="1"/>
      <c r="H247" s="1"/>
      <c r="I247" s="1"/>
      <c r="J247" s="1"/>
      <c r="K247" s="1" t="s">
        <v>1653</v>
      </c>
      <c r="L247" s="1"/>
      <c r="M247" s="1"/>
      <c r="N247" s="1"/>
      <c r="O247" s="1" t="str">
        <f>_xlfn.CONCAT(OfficeForms.Table3[[#This Row],[القطاع الغربي (Western Sector)]:[القطاع فرسان (Farasan Sector)]])</f>
        <v>مركز المعبوج (Al-Maabooj Center)</v>
      </c>
      <c r="P247" s="2">
        <v>46147</v>
      </c>
      <c r="Q247" s="2">
        <v>46107</v>
      </c>
      <c r="R247" s="21" t="s">
        <v>945</v>
      </c>
      <c r="S247" s="3">
        <v>46389</v>
      </c>
      <c r="T247" s="1">
        <v>31</v>
      </c>
      <c r="U247" s="1" t="s">
        <v>537</v>
      </c>
      <c r="V247" s="21" t="s">
        <v>2200</v>
      </c>
      <c r="W247" s="1" t="s">
        <v>1889</v>
      </c>
      <c r="X247" s="21" t="s">
        <v>1382</v>
      </c>
      <c r="Y247" s="10" t="s">
        <v>2201</v>
      </c>
      <c r="Z247" s="13" t="s">
        <v>2132</v>
      </c>
      <c r="AA247" s="13"/>
      <c r="AB247" s="13"/>
      <c r="AC247" s="13"/>
      <c r="AD247" s="13" t="s">
        <v>642</v>
      </c>
      <c r="AE247" s="13"/>
      <c r="AF247" s="1"/>
      <c r="AG247" s="13" t="s">
        <v>1984</v>
      </c>
      <c r="AH247" s="13"/>
      <c r="AI247" s="239">
        <v>46148</v>
      </c>
      <c r="AJ247" s="242" t="s">
        <v>1478</v>
      </c>
      <c r="AK247" s="245" t="str">
        <f t="shared" si="3"/>
        <v>✅ ملتزم</v>
      </c>
      <c r="AL247" s="251"/>
      <c r="AN247" s="258" t="s">
        <v>1479</v>
      </c>
      <c r="AO247" s="252"/>
      <c r="AR247" s="241" t="s">
        <v>1467</v>
      </c>
      <c r="AS247" s="241" t="str">
        <f>IF(AR247="","",IF(ISNUMBER(SEARCH("جازان",AR247)),"مستشفى جازان العام",IF(ISNUMBER(SEARCH("صبيا",AR247)),"مستشفى صبيا العام",IF(ISNUMBER(SEARCH("عريش",AR247)),"مستشفى أبو عريش العام",IF(ISNUMBER(SEARCH("صامط",AR247)),"مستشفى صامطة العام",IF(ISNUMBER(SEARCH("بيش",AR247)),"مستشفى بيش العام",IF(ISNUMBER(SEARCH("فهد",AR247)),"مستشفى الملك فهد المركزي",AR247)))))))</f>
        <v>مستشفى جازان العام</v>
      </c>
      <c r="AT247" s="241">
        <f>ROW()-1</f>
        <v>246</v>
      </c>
    </row>
    <row r="248" spans="1:46" ht="127.5">
      <c r="A248" s="1">
        <v>352</v>
      </c>
      <c r="B248" s="1">
        <v>46147.413043981498</v>
      </c>
      <c r="C248" s="1">
        <v>46147.420902777798</v>
      </c>
      <c r="D248" s="1" t="s">
        <v>662</v>
      </c>
      <c r="E248" s="1"/>
      <c r="F248" s="1" t="s">
        <v>431</v>
      </c>
      <c r="G248" s="1"/>
      <c r="H248" s="1"/>
      <c r="I248" s="1"/>
      <c r="J248" s="1"/>
      <c r="K248" s="1" t="s">
        <v>1674</v>
      </c>
      <c r="L248" s="1"/>
      <c r="M248" s="1"/>
      <c r="N248" s="1"/>
      <c r="O248" s="1" t="str">
        <f>_xlfn.CONCAT(OfficeForms.Table3[[#This Row],[القطاع الغربي (Western Sector)]:[القطاع فرسان (Farasan Sector)]])</f>
        <v>مركز مخطط 6 (Mukhattat 6 Center)</v>
      </c>
      <c r="P248" s="2">
        <v>46147</v>
      </c>
      <c r="Q248" s="2">
        <v>46090</v>
      </c>
      <c r="R248" s="21" t="s">
        <v>673</v>
      </c>
      <c r="S248" s="3">
        <v>31416</v>
      </c>
      <c r="T248" s="1">
        <v>40</v>
      </c>
      <c r="U248" s="1" t="s">
        <v>538</v>
      </c>
      <c r="V248" s="21" t="s">
        <v>2202</v>
      </c>
      <c r="W248" s="1" t="s">
        <v>1889</v>
      </c>
      <c r="X248" s="21" t="s">
        <v>876</v>
      </c>
      <c r="Y248" s="10" t="s">
        <v>2203</v>
      </c>
      <c r="Z248" s="13"/>
      <c r="AA248" s="13" t="s">
        <v>1829</v>
      </c>
      <c r="AB248" s="13" t="s">
        <v>1956</v>
      </c>
      <c r="AC248" s="13"/>
      <c r="AD248" s="13" t="s">
        <v>642</v>
      </c>
      <c r="AE248" s="13"/>
      <c r="AF248" s="1"/>
      <c r="AG248" s="13" t="s">
        <v>879</v>
      </c>
      <c r="AH248" s="13"/>
      <c r="AI248" s="239">
        <v>46148</v>
      </c>
      <c r="AJ248" s="242" t="s">
        <v>1478</v>
      </c>
      <c r="AK248" s="245" t="str">
        <f t="shared" si="3"/>
        <v>✅ ملتزم</v>
      </c>
      <c r="AL248" s="251"/>
      <c r="AN248" s="258" t="s">
        <v>1479</v>
      </c>
      <c r="AO248" s="252"/>
      <c r="AR248" s="241" t="s">
        <v>1467</v>
      </c>
      <c r="AS248" s="241" t="str">
        <f>IF(AR248="","",IF(ISNUMBER(SEARCH("جازان",AR248)),"مستشفى جازان العام",IF(ISNUMBER(SEARCH("صبيا",AR248)),"مستشفى صبيا العام",IF(ISNUMBER(SEARCH("عريش",AR248)),"مستشفى أبو عريش العام",IF(ISNUMBER(SEARCH("صامط",AR248)),"مستشفى صامطة العام",IF(ISNUMBER(SEARCH("بيش",AR248)),"مستشفى بيش العام",IF(ISNUMBER(SEARCH("فهد",AR248)),"مستشفى الملك فهد المركزي",AR248)))))))</f>
        <v>مستشفى جازان العام</v>
      </c>
      <c r="AT248" s="241">
        <f>ROW()-1</f>
        <v>247</v>
      </c>
    </row>
    <row r="249" spans="1:46" ht="39">
      <c r="A249" s="1">
        <v>353</v>
      </c>
      <c r="B249" s="1">
        <v>46147.443356481497</v>
      </c>
      <c r="C249" s="1">
        <v>46147.446354166699</v>
      </c>
      <c r="D249" s="1" t="s">
        <v>662</v>
      </c>
      <c r="E249" s="1"/>
      <c r="F249" s="1" t="s">
        <v>431</v>
      </c>
      <c r="G249" s="1"/>
      <c r="H249" s="1"/>
      <c r="I249" s="1"/>
      <c r="J249" s="1"/>
      <c r="K249" s="1" t="s">
        <v>1653</v>
      </c>
      <c r="L249" s="1"/>
      <c r="M249" s="1"/>
      <c r="N249" s="1"/>
      <c r="O249" s="1" t="str">
        <f>_xlfn.CONCAT(OfficeForms.Table3[[#This Row],[القطاع الغربي (Western Sector)]:[القطاع فرسان (Farasan Sector)]])</f>
        <v>مركز المعبوج (Al-Maabooj Center)</v>
      </c>
      <c r="P249" s="2">
        <v>46147</v>
      </c>
      <c r="Q249" s="2">
        <v>46035</v>
      </c>
      <c r="R249" s="21" t="s">
        <v>1265</v>
      </c>
      <c r="S249" s="3">
        <v>46315</v>
      </c>
      <c r="T249" s="1">
        <v>29</v>
      </c>
      <c r="U249" s="1" t="s">
        <v>539</v>
      </c>
      <c r="V249" s="21" t="s">
        <v>2204</v>
      </c>
      <c r="W249" s="1" t="s">
        <v>667</v>
      </c>
      <c r="X249" s="21" t="s">
        <v>1382</v>
      </c>
      <c r="Y249" s="10" t="s">
        <v>2205</v>
      </c>
      <c r="Z249" s="13"/>
      <c r="AA249" s="13" t="s">
        <v>2102</v>
      </c>
      <c r="AB249" s="13"/>
      <c r="AC249" s="13"/>
      <c r="AD249" s="13" t="s">
        <v>642</v>
      </c>
      <c r="AE249" s="13"/>
      <c r="AF249" s="1"/>
      <c r="AG249" s="13" t="s">
        <v>1415</v>
      </c>
      <c r="AH249" s="13"/>
      <c r="AI249" s="239">
        <v>46148</v>
      </c>
      <c r="AJ249" s="242" t="s">
        <v>1478</v>
      </c>
      <c r="AK249" s="245" t="str">
        <f t="shared" si="3"/>
        <v>✅ ملتزم</v>
      </c>
      <c r="AL249" s="251"/>
      <c r="AN249" s="258" t="s">
        <v>1479</v>
      </c>
      <c r="AO249" s="252"/>
      <c r="AP249" s="241" t="s">
        <v>1619</v>
      </c>
      <c r="AQ249" s="241" t="s">
        <v>1505</v>
      </c>
      <c r="AR249" s="241" t="s">
        <v>1467</v>
      </c>
      <c r="AS249" s="241" t="str">
        <f>IF(AR249="","",IF(ISNUMBER(SEARCH("جازان",AR249)),"مستشفى جازان العام",IF(ISNUMBER(SEARCH("صبيا",AR249)),"مستشفى صبيا العام",IF(ISNUMBER(SEARCH("عريش",AR249)),"مستشفى أبو عريش العام",IF(ISNUMBER(SEARCH("صامط",AR249)),"مستشفى صامطة العام",IF(ISNUMBER(SEARCH("بيش",AR249)),"مستشفى بيش العام",IF(ISNUMBER(SEARCH("فهد",AR249)),"مستشفى الملك فهد المركزي",AR249)))))))</f>
        <v>مستشفى جازان العام</v>
      </c>
      <c r="AT249" s="241">
        <f>ROW()-1</f>
        <v>248</v>
      </c>
    </row>
    <row r="250" spans="1:46" ht="51">
      <c r="A250" s="1">
        <v>354</v>
      </c>
      <c r="B250" s="1">
        <v>46147.466087963003</v>
      </c>
      <c r="C250" s="1">
        <v>46147.470625000002</v>
      </c>
      <c r="D250" s="1" t="s">
        <v>662</v>
      </c>
      <c r="E250" s="1"/>
      <c r="F250" s="1" t="s">
        <v>431</v>
      </c>
      <c r="G250" s="1"/>
      <c r="H250" s="1"/>
      <c r="I250" s="1"/>
      <c r="J250" s="1"/>
      <c r="K250" s="1" t="s">
        <v>1674</v>
      </c>
      <c r="L250" s="1"/>
      <c r="M250" s="1"/>
      <c r="N250" s="1"/>
      <c r="O250" s="1" t="str">
        <f>_xlfn.CONCAT(OfficeForms.Table3[[#This Row],[القطاع الغربي (Western Sector)]:[القطاع فرسان (Farasan Sector)]])</f>
        <v>مركز مخطط 6 (Mukhattat 6 Center)</v>
      </c>
      <c r="P250" s="2">
        <v>46147</v>
      </c>
      <c r="Q250" s="2">
        <v>45899</v>
      </c>
      <c r="R250" s="21" t="s">
        <v>1086</v>
      </c>
      <c r="S250" s="3">
        <v>33006</v>
      </c>
      <c r="T250" s="1">
        <v>36</v>
      </c>
      <c r="U250" s="1" t="s">
        <v>540</v>
      </c>
      <c r="V250" s="21" t="s">
        <v>2206</v>
      </c>
      <c r="W250" s="1" t="s">
        <v>1889</v>
      </c>
      <c r="X250" s="21" t="s">
        <v>876</v>
      </c>
      <c r="Y250" s="185">
        <v>508042848</v>
      </c>
      <c r="Z250" s="13"/>
      <c r="AA250" s="13" t="s">
        <v>1684</v>
      </c>
      <c r="AB250" s="13"/>
      <c r="AC250" s="13"/>
      <c r="AD250" s="13" t="s">
        <v>642</v>
      </c>
      <c r="AE250" s="13"/>
      <c r="AF250" s="1"/>
      <c r="AG250" s="13" t="s">
        <v>879</v>
      </c>
      <c r="AH250" s="13"/>
      <c r="AI250" s="239">
        <v>46148</v>
      </c>
      <c r="AJ250" s="242" t="s">
        <v>1478</v>
      </c>
      <c r="AK250" s="245" t="str">
        <f t="shared" si="3"/>
        <v>✅ ملتزم</v>
      </c>
      <c r="AL250" s="251"/>
      <c r="AN250" s="258" t="s">
        <v>1479</v>
      </c>
      <c r="AO250" s="252"/>
      <c r="AP250" s="241" t="s">
        <v>1619</v>
      </c>
      <c r="AQ250" s="241" t="s">
        <v>1505</v>
      </c>
      <c r="AR250" s="241" t="s">
        <v>1467</v>
      </c>
      <c r="AS250" s="241" t="str">
        <f>IF(AR250="","",IF(ISNUMBER(SEARCH("جازان",AR250)),"مستشفى جازان العام",IF(ISNUMBER(SEARCH("صبيا",AR250)),"مستشفى صبيا العام",IF(ISNUMBER(SEARCH("عريش",AR250)),"مستشفى أبو عريش العام",IF(ISNUMBER(SEARCH("صامط",AR250)),"مستشفى صامطة العام",IF(ISNUMBER(SEARCH("بيش",AR250)),"مستشفى بيش العام",IF(ISNUMBER(SEARCH("فهد",AR250)),"مستشفى الملك فهد المركزي",AR250)))))))</f>
        <v>مستشفى جازان العام</v>
      </c>
      <c r="AT250" s="241">
        <f>ROW()-1</f>
        <v>249</v>
      </c>
    </row>
    <row r="251" spans="1:46" ht="102">
      <c r="A251" s="1">
        <v>355</v>
      </c>
      <c r="B251" s="1">
        <v>46148.3496759259</v>
      </c>
      <c r="C251" s="1">
        <v>46148.353715277801</v>
      </c>
      <c r="D251" s="1" t="s">
        <v>662</v>
      </c>
      <c r="E251" s="1"/>
      <c r="F251" s="1" t="s">
        <v>431</v>
      </c>
      <c r="G251" s="1"/>
      <c r="H251" s="1"/>
      <c r="I251" s="1"/>
      <c r="J251" s="1"/>
      <c r="K251" s="1" t="s">
        <v>1674</v>
      </c>
      <c r="L251" s="1"/>
      <c r="M251" s="1"/>
      <c r="N251" s="1"/>
      <c r="O251" s="1" t="str">
        <f>_xlfn.CONCAT(OfficeForms.Table3[[#This Row],[القطاع الغربي (Western Sector)]:[القطاع فرسان (Farasan Sector)]])</f>
        <v>مركز مخطط 6 (Mukhattat 6 Center)</v>
      </c>
      <c r="P251" s="2">
        <v>46148</v>
      </c>
      <c r="Q251" s="2">
        <v>45985</v>
      </c>
      <c r="R251" s="21" t="s">
        <v>999</v>
      </c>
      <c r="S251" s="3">
        <v>33744</v>
      </c>
      <c r="T251" s="1">
        <v>34</v>
      </c>
      <c r="U251" s="1" t="s">
        <v>541</v>
      </c>
      <c r="V251" s="21" t="s">
        <v>2207</v>
      </c>
      <c r="W251" s="1" t="s">
        <v>2158</v>
      </c>
      <c r="X251" s="21" t="s">
        <v>876</v>
      </c>
      <c r="Y251" s="10" t="s">
        <v>2208</v>
      </c>
      <c r="Z251" s="13" t="s">
        <v>1983</v>
      </c>
      <c r="AA251" s="13"/>
      <c r="AB251" s="13"/>
      <c r="AC251" s="13"/>
      <c r="AD251" s="13" t="s">
        <v>642</v>
      </c>
      <c r="AE251" s="13"/>
      <c r="AF251" s="1"/>
      <c r="AG251" s="13" t="s">
        <v>1037</v>
      </c>
      <c r="AH251" s="13"/>
      <c r="AI251" s="239">
        <v>46149</v>
      </c>
      <c r="AJ251" s="242"/>
      <c r="AK251" s="245" t="str">
        <f t="shared" si="3"/>
        <v>✅ ملتزم</v>
      </c>
      <c r="AL251" s="251"/>
      <c r="AN251" s="258" t="s">
        <v>1479</v>
      </c>
      <c r="AO251" s="252"/>
      <c r="AR251" s="241" t="s">
        <v>1467</v>
      </c>
      <c r="AS251" s="241" t="str">
        <f>IF(AR251="","",IF(ISNUMBER(SEARCH("جازان",AR251)),"مستشفى جازان العام",IF(ISNUMBER(SEARCH("صبيا",AR251)),"مستشفى صبيا العام",IF(ISNUMBER(SEARCH("عريش",AR251)),"مستشفى أبو عريش العام",IF(ISNUMBER(SEARCH("صامط",AR251)),"مستشفى صامطة العام",IF(ISNUMBER(SEARCH("بيش",AR251)),"مستشفى بيش العام",IF(ISNUMBER(SEARCH("فهد",AR251)),"مستشفى الملك فهد المركزي",AR251)))))))</f>
        <v>مستشفى جازان العام</v>
      </c>
      <c r="AT251" s="241">
        <f>ROW()-1</f>
        <v>250</v>
      </c>
    </row>
    <row r="252" spans="1:46" ht="114.75">
      <c r="A252" s="1">
        <v>356</v>
      </c>
      <c r="B252" s="1">
        <v>46148.393831018497</v>
      </c>
      <c r="C252" s="1">
        <v>46148.3963194444</v>
      </c>
      <c r="D252" s="1" t="s">
        <v>662</v>
      </c>
      <c r="E252" s="1"/>
      <c r="F252" s="1" t="s">
        <v>496</v>
      </c>
      <c r="G252" s="1"/>
      <c r="H252" s="1"/>
      <c r="I252" s="1" t="s">
        <v>2084</v>
      </c>
      <c r="J252" s="1"/>
      <c r="K252" s="1"/>
      <c r="L252" s="1"/>
      <c r="M252" s="1"/>
      <c r="N252" s="1"/>
      <c r="O252" s="1" t="str">
        <f>_xlfn.CONCAT(OfficeForms.Table3[[#This Row],[القطاع الغربي (Western Sector)]:[القطاع فرسان (Farasan Sector)]])</f>
        <v>مركز ابو عريش الشمالي (Northern Abu Arish Center)</v>
      </c>
      <c r="P252" s="2">
        <v>46148</v>
      </c>
      <c r="Q252" s="2">
        <v>46023</v>
      </c>
      <c r="R252" s="21" t="s">
        <v>2209</v>
      </c>
      <c r="S252" s="3">
        <v>46303</v>
      </c>
      <c r="T252" s="1">
        <v>42</v>
      </c>
      <c r="U252" s="1" t="s">
        <v>542</v>
      </c>
      <c r="V252" s="21" t="s">
        <v>2210</v>
      </c>
      <c r="W252" s="1" t="s">
        <v>2211</v>
      </c>
      <c r="X252" s="21" t="s">
        <v>1406</v>
      </c>
      <c r="Y252" s="10" t="s">
        <v>2212</v>
      </c>
      <c r="Z252" s="13"/>
      <c r="AA252" s="13" t="s">
        <v>2213</v>
      </c>
      <c r="AB252" s="13" t="s">
        <v>1768</v>
      </c>
      <c r="AC252" s="13" t="s">
        <v>773</v>
      </c>
      <c r="AD252" s="13" t="s">
        <v>680</v>
      </c>
      <c r="AE252" s="13" t="s">
        <v>642</v>
      </c>
      <c r="AF252" s="1" t="s">
        <v>680</v>
      </c>
      <c r="AG252" s="13" t="s">
        <v>1409</v>
      </c>
      <c r="AH252" s="13"/>
      <c r="AI252" s="239">
        <v>46149</v>
      </c>
      <c r="AJ252" s="242"/>
      <c r="AK252" s="245" t="str">
        <f t="shared" si="3"/>
        <v>✅ ملتزم</v>
      </c>
      <c r="AL252" s="251"/>
      <c r="AN252" s="258" t="s">
        <v>1479</v>
      </c>
      <c r="AO252" s="252"/>
      <c r="AR252" s="241" t="s">
        <v>61</v>
      </c>
      <c r="AS252" s="241" t="str">
        <f>IF(AR252="","",IF(ISNUMBER(SEARCH("جازان",AR252)),"مستشفى جازان العام",IF(ISNUMBER(SEARCH("صبيا",AR252)),"مستشفى صبيا العام",IF(ISNUMBER(SEARCH("عريش",AR252)),"مستشفى أبو عريش العام",IF(ISNUMBER(SEARCH("صامط",AR252)),"مستشفى صامطة العام",IF(ISNUMBER(SEARCH("بيش",AR252)),"مستشفى بيش العام",IF(ISNUMBER(SEARCH("فهد",AR252)),"مستشفى الملك فهد المركزي",AR252)))))))</f>
        <v>مستشفى أبو عريش العام</v>
      </c>
      <c r="AT252" s="241">
        <f>ROW()-1</f>
        <v>251</v>
      </c>
    </row>
    <row r="253" spans="1:46" ht="127.5">
      <c r="A253" s="1">
        <v>357</v>
      </c>
      <c r="B253" s="1">
        <v>46148.394120370402</v>
      </c>
      <c r="C253" s="1">
        <v>46148.3976273148</v>
      </c>
      <c r="D253" s="1" t="s">
        <v>662</v>
      </c>
      <c r="E253" s="1"/>
      <c r="F253" s="1" t="s">
        <v>431</v>
      </c>
      <c r="G253" s="1"/>
      <c r="H253" s="1"/>
      <c r="I253" s="1"/>
      <c r="J253" s="1"/>
      <c r="K253" s="1" t="s">
        <v>1674</v>
      </c>
      <c r="L253" s="1"/>
      <c r="M253" s="1"/>
      <c r="N253" s="1"/>
      <c r="O253" s="1" t="str">
        <f>_xlfn.CONCAT(OfficeForms.Table3[[#This Row],[القطاع الغربي (Western Sector)]:[القطاع فرسان (Farasan Sector)]])</f>
        <v>مركز مخطط 6 (Mukhattat 6 Center)</v>
      </c>
      <c r="P253" s="2">
        <v>46148</v>
      </c>
      <c r="Q253" s="2">
        <v>46100</v>
      </c>
      <c r="R253" s="21" t="s">
        <v>924</v>
      </c>
      <c r="S253" s="3">
        <v>37097</v>
      </c>
      <c r="T253" s="1">
        <v>24</v>
      </c>
      <c r="U253" s="1" t="s">
        <v>543</v>
      </c>
      <c r="V253" s="21" t="s">
        <v>2214</v>
      </c>
      <c r="W253" s="1" t="s">
        <v>875</v>
      </c>
      <c r="X253" s="21" t="s">
        <v>876</v>
      </c>
      <c r="Y253" s="10" t="s">
        <v>2215</v>
      </c>
      <c r="Z253" s="13" t="s">
        <v>2216</v>
      </c>
      <c r="AA253" s="13"/>
      <c r="AB253" s="13"/>
      <c r="AC253" s="13"/>
      <c r="AD253" s="13" t="s">
        <v>642</v>
      </c>
      <c r="AE253" s="13"/>
      <c r="AF253" s="1"/>
      <c r="AG253" s="13" t="s">
        <v>879</v>
      </c>
      <c r="AH253" s="13"/>
      <c r="AI253" s="239">
        <v>46152</v>
      </c>
      <c r="AJ253" s="242"/>
      <c r="AK253" s="245" t="str">
        <f t="shared" si="3"/>
        <v>✅ ملتزم</v>
      </c>
      <c r="AL253" s="251"/>
      <c r="AN253" s="258" t="s">
        <v>1479</v>
      </c>
      <c r="AO253" s="252"/>
      <c r="AR253" s="241" t="s">
        <v>1467</v>
      </c>
      <c r="AS253" s="241" t="str">
        <f>IF(AR253="","",IF(ISNUMBER(SEARCH("جازان",AR253)),"مستشفى جازان العام",IF(ISNUMBER(SEARCH("صبيا",AR253)),"مستشفى صبيا العام",IF(ISNUMBER(SEARCH("عريش",AR253)),"مستشفى أبو عريش العام",IF(ISNUMBER(SEARCH("صامط",AR253)),"مستشفى صامطة العام",IF(ISNUMBER(SEARCH("بيش",AR253)),"مستشفى بيش العام",IF(ISNUMBER(SEARCH("فهد",AR253)),"مستشفى الملك فهد المركزي",AR253)))))))</f>
        <v>مستشفى جازان العام</v>
      </c>
      <c r="AT253" s="241">
        <f>ROW()-1</f>
        <v>252</v>
      </c>
    </row>
    <row r="254" spans="1:46" ht="89.25">
      <c r="A254" s="1">
        <v>358</v>
      </c>
      <c r="B254" s="1">
        <v>46148.397048611099</v>
      </c>
      <c r="C254" s="1">
        <v>46148.401446759301</v>
      </c>
      <c r="D254" s="1" t="s">
        <v>662</v>
      </c>
      <c r="E254" s="1"/>
      <c r="F254" s="1" t="s">
        <v>431</v>
      </c>
      <c r="G254" s="1"/>
      <c r="H254" s="1"/>
      <c r="I254" s="1"/>
      <c r="J254" s="1"/>
      <c r="K254" s="1" t="s">
        <v>1470</v>
      </c>
      <c r="L254" s="1"/>
      <c r="M254" s="1"/>
      <c r="N254" s="1"/>
      <c r="O254" s="1" t="str">
        <f>_xlfn.CONCAT(OfficeForms.Table3[[#This Row],[القطاع الغربي (Western Sector)]:[القطاع فرسان (Farasan Sector)]])</f>
        <v>مركز الشاطىء (Al-Shati Center)</v>
      </c>
      <c r="P254" s="2">
        <v>46148</v>
      </c>
      <c r="Q254" s="2">
        <v>46010</v>
      </c>
      <c r="R254" s="21" t="s">
        <v>2217</v>
      </c>
      <c r="S254" s="3">
        <v>46291</v>
      </c>
      <c r="T254" s="1">
        <v>35</v>
      </c>
      <c r="U254" s="1" t="s">
        <v>544</v>
      </c>
      <c r="V254" s="21" t="s">
        <v>2218</v>
      </c>
      <c r="W254" s="1" t="s">
        <v>1147</v>
      </c>
      <c r="X254" s="21" t="s">
        <v>668</v>
      </c>
      <c r="Y254" s="10" t="s">
        <v>2219</v>
      </c>
      <c r="Z254" s="13" t="s">
        <v>2220</v>
      </c>
      <c r="AA254" s="13" t="s">
        <v>1900</v>
      </c>
      <c r="AB254" s="13"/>
      <c r="AC254" s="13"/>
      <c r="AD254" s="13" t="s">
        <v>642</v>
      </c>
      <c r="AE254" s="13"/>
      <c r="AF254" s="1"/>
      <c r="AG254" s="13" t="s">
        <v>643</v>
      </c>
      <c r="AH254" s="13"/>
      <c r="AI254" s="239">
        <v>46152</v>
      </c>
      <c r="AJ254" s="242"/>
      <c r="AK254" s="245" t="str">
        <f t="shared" si="3"/>
        <v>✅ ملتزم</v>
      </c>
      <c r="AL254" s="251"/>
      <c r="AN254" s="258" t="s">
        <v>1479</v>
      </c>
      <c r="AO254" s="252"/>
      <c r="AR254" s="241" t="s">
        <v>1467</v>
      </c>
      <c r="AS254" s="241" t="str">
        <f>IF(AR254="","",IF(ISNUMBER(SEARCH("جازان",AR254)),"مستشفى جازان العام",IF(ISNUMBER(SEARCH("صبيا",AR254)),"مستشفى صبيا العام",IF(ISNUMBER(SEARCH("عريش",AR254)),"مستشفى أبو عريش العام",IF(ISNUMBER(SEARCH("صامط",AR254)),"مستشفى صامطة العام",IF(ISNUMBER(SEARCH("بيش",AR254)),"مستشفى بيش العام",IF(ISNUMBER(SEARCH("فهد",AR254)),"مستشفى الملك فهد المركزي",AR254)))))))</f>
        <v>مستشفى جازان العام</v>
      </c>
      <c r="AT254" s="241">
        <f>ROW()-1</f>
        <v>253</v>
      </c>
    </row>
    <row r="255" spans="1:46" ht="39">
      <c r="A255" s="1">
        <v>359</v>
      </c>
      <c r="B255" s="1">
        <v>46148.410590277803</v>
      </c>
      <c r="C255" s="1">
        <v>46148.417696759301</v>
      </c>
      <c r="D255" s="1" t="s">
        <v>662</v>
      </c>
      <c r="E255" s="1"/>
      <c r="F255" s="1" t="s">
        <v>431</v>
      </c>
      <c r="G255" s="1"/>
      <c r="H255" s="1"/>
      <c r="I255" s="1"/>
      <c r="J255" s="1"/>
      <c r="K255" s="1" t="s">
        <v>1927</v>
      </c>
      <c r="L255" s="1"/>
      <c r="M255" s="1"/>
      <c r="N255" s="1"/>
      <c r="O255" s="1" t="str">
        <f>_xlfn.CONCAT(OfficeForms.Table3[[#This Row],[القطاع الغربي (Western Sector)]:[القطاع فرسان (Farasan Sector)]])</f>
        <v>مركز الكربوس ( Alkarbuse Center)</v>
      </c>
      <c r="P255" s="2">
        <v>46148</v>
      </c>
      <c r="Q255" s="2">
        <v>45970</v>
      </c>
      <c r="R255" s="21" t="s">
        <v>1841</v>
      </c>
      <c r="S255" s="3">
        <v>40392</v>
      </c>
      <c r="T255" s="1">
        <v>15</v>
      </c>
      <c r="U255" s="24" t="s">
        <v>545</v>
      </c>
      <c r="V255" s="21" t="s">
        <v>2221</v>
      </c>
      <c r="W255" s="1" t="s">
        <v>1889</v>
      </c>
      <c r="X255" s="21" t="s">
        <v>876</v>
      </c>
      <c r="Y255" s="10" t="s">
        <v>2222</v>
      </c>
      <c r="Z255" s="13"/>
      <c r="AA255" s="13" t="s">
        <v>2142</v>
      </c>
      <c r="AB255" s="13"/>
      <c r="AC255" s="13"/>
      <c r="AD255" s="13" t="s">
        <v>642</v>
      </c>
      <c r="AE255" s="13"/>
      <c r="AF255" s="1"/>
      <c r="AG255" s="13" t="s">
        <v>879</v>
      </c>
      <c r="AH255" s="13"/>
      <c r="AI255" s="239">
        <v>46152</v>
      </c>
      <c r="AJ255" s="242"/>
      <c r="AK255" s="245" t="str">
        <f t="shared" si="3"/>
        <v>✅ ملتزم</v>
      </c>
      <c r="AL255" s="251"/>
      <c r="AN255" s="258" t="s">
        <v>1479</v>
      </c>
      <c r="AO255" s="252"/>
      <c r="AR255" s="241" t="s">
        <v>1467</v>
      </c>
      <c r="AS255" s="241" t="str">
        <f>IF(AR255="","",IF(ISNUMBER(SEARCH("جازان",AR255)),"مستشفى جازان العام",IF(ISNUMBER(SEARCH("صبيا",AR255)),"مستشفى صبيا العام",IF(ISNUMBER(SEARCH("عريش",AR255)),"مستشفى أبو عريش العام",IF(ISNUMBER(SEARCH("صامط",AR255)),"مستشفى صامطة العام",IF(ISNUMBER(SEARCH("بيش",AR255)),"مستشفى بيش العام",IF(ISNUMBER(SEARCH("فهد",AR255)),"مستشفى الملك فهد المركزي",AR255)))))))</f>
        <v>مستشفى جازان العام</v>
      </c>
      <c r="AT255" s="241">
        <f>ROW()-1</f>
        <v>254</v>
      </c>
    </row>
    <row r="256" spans="1:46" ht="39">
      <c r="A256" s="1">
        <v>360</v>
      </c>
      <c r="B256" s="1">
        <v>46148.451273148203</v>
      </c>
      <c r="C256" s="1">
        <v>46148.453784722202</v>
      </c>
      <c r="D256" s="1" t="s">
        <v>662</v>
      </c>
      <c r="E256" s="1"/>
      <c r="F256" s="1" t="s">
        <v>431</v>
      </c>
      <c r="G256" s="1"/>
      <c r="H256" s="1"/>
      <c r="I256" s="1"/>
      <c r="J256" s="1"/>
      <c r="K256" s="1" t="s">
        <v>1470</v>
      </c>
      <c r="L256" s="1"/>
      <c r="M256" s="1"/>
      <c r="N256" s="1"/>
      <c r="O256" s="1" t="str">
        <f>_xlfn.CONCAT(OfficeForms.Table3[[#This Row],[القطاع الغربي (Western Sector)]:[القطاع فرسان (Farasan Sector)]])</f>
        <v>مركز الشاطىء (Al-Shati Center)</v>
      </c>
      <c r="P256" s="2">
        <v>46148</v>
      </c>
      <c r="Q256" s="2">
        <v>46069</v>
      </c>
      <c r="R256" s="21" t="s">
        <v>2223</v>
      </c>
      <c r="S256" s="3">
        <v>46353</v>
      </c>
      <c r="T256" s="1">
        <v>22</v>
      </c>
      <c r="U256" s="25" t="s">
        <v>546</v>
      </c>
      <c r="V256" s="21" t="s">
        <v>2224</v>
      </c>
      <c r="W256" s="1" t="s">
        <v>1147</v>
      </c>
      <c r="X256" s="21" t="s">
        <v>668</v>
      </c>
      <c r="Y256" s="10" t="s">
        <v>2225</v>
      </c>
      <c r="Z256" s="13"/>
      <c r="AA256" s="13" t="s">
        <v>1900</v>
      </c>
      <c r="AB256" s="13"/>
      <c r="AC256" s="13"/>
      <c r="AD256" s="13" t="s">
        <v>642</v>
      </c>
      <c r="AE256" s="13"/>
      <c r="AF256" s="1"/>
      <c r="AG256" s="13" t="s">
        <v>643</v>
      </c>
      <c r="AH256" s="13"/>
      <c r="AI256" s="239">
        <v>46152</v>
      </c>
      <c r="AJ256" s="242"/>
      <c r="AK256" s="245" t="str">
        <f t="shared" si="3"/>
        <v>✅ ملتزم</v>
      </c>
      <c r="AL256" s="251"/>
      <c r="AN256" s="258" t="s">
        <v>1479</v>
      </c>
      <c r="AO256" s="252"/>
      <c r="AR256" s="241" t="s">
        <v>1467</v>
      </c>
      <c r="AS256" s="241" t="str">
        <f>IF(AR256="","",IF(ISNUMBER(SEARCH("جازان",AR256)),"مستشفى جازان العام",IF(ISNUMBER(SEARCH("صبيا",AR256)),"مستشفى صبيا العام",IF(ISNUMBER(SEARCH("عريش",AR256)),"مستشفى أبو عريش العام",IF(ISNUMBER(SEARCH("صامط",AR256)),"مستشفى صامطة العام",IF(ISNUMBER(SEARCH("بيش",AR256)),"مستشفى بيش العام",IF(ISNUMBER(SEARCH("فهد",AR256)),"مستشفى الملك فهد المركزي",AR256)))))))</f>
        <v>مستشفى جازان العام</v>
      </c>
      <c r="AT256" s="241">
        <f>ROW()-1</f>
        <v>255</v>
      </c>
    </row>
    <row r="257" spans="1:46" ht="102">
      <c r="A257" s="1">
        <v>361</v>
      </c>
      <c r="B257" s="1">
        <v>46148.488576388903</v>
      </c>
      <c r="C257" s="1">
        <v>46148.497604166703</v>
      </c>
      <c r="D257" s="1" t="s">
        <v>662</v>
      </c>
      <c r="E257" s="1"/>
      <c r="F257" s="1" t="s">
        <v>431</v>
      </c>
      <c r="G257" s="1"/>
      <c r="H257" s="1"/>
      <c r="I257" s="1"/>
      <c r="J257" s="1"/>
      <c r="K257" s="1" t="s">
        <v>1674</v>
      </c>
      <c r="L257" s="1"/>
      <c r="M257" s="1"/>
      <c r="N257" s="1"/>
      <c r="O257" s="1" t="str">
        <f>_xlfn.CONCAT(OfficeForms.Table3[[#This Row],[القطاع الغربي (Western Sector)]:[القطاع فرسان (Farasan Sector)]])</f>
        <v>مركز مخطط 6 (Mukhattat 6 Center)</v>
      </c>
      <c r="P257" s="2">
        <v>46148</v>
      </c>
      <c r="Q257" s="2">
        <v>46101</v>
      </c>
      <c r="R257" s="21" t="s">
        <v>924</v>
      </c>
      <c r="S257" s="3">
        <v>33270</v>
      </c>
      <c r="T257" s="1">
        <v>35</v>
      </c>
      <c r="U257" s="25" t="s">
        <v>547</v>
      </c>
      <c r="V257" s="21" t="s">
        <v>2226</v>
      </c>
      <c r="W257" s="1" t="s">
        <v>875</v>
      </c>
      <c r="X257" s="21" t="s">
        <v>876</v>
      </c>
      <c r="Y257" s="10" t="s">
        <v>2227</v>
      </c>
      <c r="Z257" s="13" t="s">
        <v>2228</v>
      </c>
      <c r="AA257" s="13"/>
      <c r="AB257" s="13"/>
      <c r="AC257" s="13"/>
      <c r="AD257" s="13" t="s">
        <v>642</v>
      </c>
      <c r="AE257" s="13"/>
      <c r="AF257" s="1"/>
      <c r="AG257" s="13" t="s">
        <v>879</v>
      </c>
      <c r="AH257" s="13"/>
      <c r="AI257" s="239">
        <v>46152</v>
      </c>
      <c r="AJ257" s="242"/>
      <c r="AK257" s="245" t="str">
        <f t="shared" si="3"/>
        <v>✅ ملتزم</v>
      </c>
      <c r="AL257" s="251"/>
      <c r="AN257" s="258" t="s">
        <v>1479</v>
      </c>
      <c r="AO257" s="252"/>
      <c r="AR257" s="241" t="s">
        <v>1467</v>
      </c>
      <c r="AS257" s="241" t="str">
        <f>IF(AR257="","",IF(ISNUMBER(SEARCH("جازان",AR257)),"مستشفى جازان العام",IF(ISNUMBER(SEARCH("صبيا",AR257)),"مستشفى صبيا العام",IF(ISNUMBER(SEARCH("عريش",AR257)),"مستشفى أبو عريش العام",IF(ISNUMBER(SEARCH("صامط",AR257)),"مستشفى صامطة العام",IF(ISNUMBER(SEARCH("بيش",AR257)),"مستشفى بيش العام",IF(ISNUMBER(SEARCH("فهد",AR257)),"مستشفى الملك فهد المركزي",AR257)))))))</f>
        <v>مستشفى جازان العام</v>
      </c>
      <c r="AT257" s="241">
        <f>ROW()-1</f>
        <v>256</v>
      </c>
    </row>
    <row r="258" spans="1:46" ht="39">
      <c r="A258" s="1">
        <v>362</v>
      </c>
      <c r="B258" s="1">
        <v>46148.494039351797</v>
      </c>
      <c r="C258" s="1">
        <v>46148.4984722222</v>
      </c>
      <c r="D258" s="1" t="s">
        <v>662</v>
      </c>
      <c r="E258" s="1"/>
      <c r="F258" s="1" t="s">
        <v>468</v>
      </c>
      <c r="G258" s="1"/>
      <c r="H258" s="1" t="s">
        <v>1591</v>
      </c>
      <c r="I258" s="1"/>
      <c r="J258" s="1"/>
      <c r="K258" s="1"/>
      <c r="L258" s="1"/>
      <c r="M258" s="1"/>
      <c r="N258" s="1"/>
      <c r="O258" s="1" t="str">
        <f>_xlfn.CONCAT(OfficeForms.Table3[[#This Row],[القطاع الغربي (Western Sector)]:[القطاع فرسان (Farasan Sector)]])</f>
        <v>مركز الخوالف (Al-Khawalif Center)</v>
      </c>
      <c r="P258" s="2">
        <v>46148</v>
      </c>
      <c r="Q258" s="2">
        <v>46026</v>
      </c>
      <c r="R258" s="21" t="s">
        <v>1310</v>
      </c>
      <c r="S258" s="3">
        <v>46306</v>
      </c>
      <c r="T258" s="1">
        <v>36</v>
      </c>
      <c r="U258" s="25" t="s">
        <v>548</v>
      </c>
      <c r="V258" s="21" t="s">
        <v>2229</v>
      </c>
      <c r="W258" s="1" t="s">
        <v>743</v>
      </c>
      <c r="X258" s="21" t="s">
        <v>1453</v>
      </c>
      <c r="Y258" s="10" t="s">
        <v>2230</v>
      </c>
      <c r="Z258" s="13" t="s">
        <v>1528</v>
      </c>
      <c r="AA258" s="13"/>
      <c r="AB258" s="13"/>
      <c r="AC258" s="13"/>
      <c r="AD258" s="13" t="s">
        <v>642</v>
      </c>
      <c r="AE258" s="13"/>
      <c r="AF258" s="1"/>
      <c r="AG258" s="13" t="s">
        <v>2195</v>
      </c>
      <c r="AH258" s="13"/>
      <c r="AI258" s="239">
        <v>46152</v>
      </c>
      <c r="AJ258" s="242"/>
      <c r="AK258" s="245" t="str">
        <f t="shared" si="3"/>
        <v>✅ ملتزم</v>
      </c>
      <c r="AL258" s="251"/>
      <c r="AN258" s="258" t="s">
        <v>1479</v>
      </c>
      <c r="AO258" s="252"/>
      <c r="AR258" s="241" t="s">
        <v>65</v>
      </c>
      <c r="AS258" s="241" t="str">
        <f>IF(AR258="","",IF(ISNUMBER(SEARCH("جازان",AR258)),"مستشفى جازان العام",IF(ISNUMBER(SEARCH("صبيا",AR258)),"مستشفى صبيا العام",IF(ISNUMBER(SEARCH("عريش",AR258)),"مستشفى أبو عريش العام",IF(ISNUMBER(SEARCH("صامط",AR258)),"مستشفى صامطة العام",IF(ISNUMBER(SEARCH("بيش",AR258)),"مستشفى بيش العام",IF(ISNUMBER(SEARCH("فهد",AR258)),"مستشفى الملك فهد المركزي",AR258)))))))</f>
        <v>مستشفى صامطة العام</v>
      </c>
      <c r="AT258" s="241">
        <f>ROW()-1</f>
        <v>257</v>
      </c>
    </row>
    <row r="259" spans="1:46" ht="51">
      <c r="A259" s="1">
        <v>363</v>
      </c>
      <c r="B259" s="1">
        <v>46149.356643518498</v>
      </c>
      <c r="C259" s="1">
        <v>46149.359930555598</v>
      </c>
      <c r="D259" s="1" t="s">
        <v>662</v>
      </c>
      <c r="E259" s="1"/>
      <c r="F259" s="1" t="s">
        <v>431</v>
      </c>
      <c r="G259" s="1"/>
      <c r="H259" s="1"/>
      <c r="I259" s="1"/>
      <c r="J259" s="1"/>
      <c r="K259" s="1" t="s">
        <v>1582</v>
      </c>
      <c r="L259" s="1"/>
      <c r="M259" s="1"/>
      <c r="N259" s="1"/>
      <c r="O259" s="1" t="str">
        <f>_xlfn.CONCAT(OfficeForms.Table3[[#This Row],[القطاع الغربي (Western Sector)]:[القطاع فرسان (Farasan Sector)]])</f>
        <v>مركز مخطط 5 (Mukhattat 5 Center)</v>
      </c>
      <c r="P259" s="2">
        <v>46149</v>
      </c>
      <c r="Q259" s="2">
        <v>46107</v>
      </c>
      <c r="R259" s="21" t="s">
        <v>2231</v>
      </c>
      <c r="S259" s="3">
        <v>31198</v>
      </c>
      <c r="T259" s="1">
        <v>40</v>
      </c>
      <c r="U259" s="26" t="s">
        <v>549</v>
      </c>
      <c r="V259" s="21" t="s">
        <v>2232</v>
      </c>
      <c r="W259" s="1" t="s">
        <v>2233</v>
      </c>
      <c r="X259" s="21" t="s">
        <v>1286</v>
      </c>
      <c r="Y259" s="10" t="s">
        <v>2234</v>
      </c>
      <c r="Z259" s="13" t="s">
        <v>2235</v>
      </c>
      <c r="AA259" s="13" t="s">
        <v>1564</v>
      </c>
      <c r="AB259" s="13"/>
      <c r="AC259" s="13"/>
      <c r="AD259" s="13" t="s">
        <v>642</v>
      </c>
      <c r="AE259" s="13"/>
      <c r="AF259" s="1"/>
      <c r="AG259" s="13" t="s">
        <v>1289</v>
      </c>
      <c r="AH259" s="13"/>
      <c r="AI259" s="239"/>
      <c r="AJ259" s="242"/>
      <c r="AK259" s="245" t="str">
        <f t="shared" ref="AK259:AK267" si="4">IF(OR(P259="",AI259=""),"⏳ بانتظار",IF(ISNUMBER(AI259),IF(NETWORKDAYS.INTL(P259,AI259,"0000011")-1&lt;=2,"✅ ملتزم","❌ غير ملتزم"),IFERROR(IF(NETWORKDAYS.INTL(P259,DATEVALUE(AI259),"0000011")-1&lt;=2,"✅ ملتزم","❌ غير ملتزم"),IFERROR(IF(NETWORKDAYS.INTL(P259,DATE(RIGHT(AI259,4),MID(AI259,FIND("/",AI259)+1,FIND("/",AI259,FIND("/",AI259)+1)-FIND("/",AI259)-1),LEFT(AI259,FIND("/",AI259)-1)),"0000011")-1&lt;=2,"✅ ملتزم","❌ غير ملتزم"),"⏳ بانتظار"))))</f>
        <v>⏳ بانتظار</v>
      </c>
      <c r="AL259" s="251"/>
      <c r="AN259" s="258" t="s">
        <v>1479</v>
      </c>
      <c r="AO259" s="252"/>
      <c r="AR259" s="241" t="s">
        <v>1467</v>
      </c>
      <c r="AS259" s="241" t="str">
        <f>IF(AR259="","",IF(ISNUMBER(SEARCH("جازان",AR259)),"مستشفى جازان العام",IF(ISNUMBER(SEARCH("صبيا",AR259)),"مستشفى صبيا العام",IF(ISNUMBER(SEARCH("عريش",AR259)),"مستشفى أبو عريش العام",IF(ISNUMBER(SEARCH("صامط",AR259)),"مستشفى صامطة العام",IF(ISNUMBER(SEARCH("بيش",AR259)),"مستشفى بيش العام",IF(ISNUMBER(SEARCH("فهد",AR259)),"مستشفى الملك فهد المركزي",AR259)))))))</f>
        <v>مستشفى جازان العام</v>
      </c>
      <c r="AT259" s="241">
        <f>ROW()-1</f>
        <v>258</v>
      </c>
    </row>
    <row r="260" spans="1:46" ht="51">
      <c r="A260" s="1">
        <v>364</v>
      </c>
      <c r="B260" s="1">
        <v>46149.442777777796</v>
      </c>
      <c r="C260" s="1">
        <v>46149.447951388902</v>
      </c>
      <c r="D260" s="1" t="s">
        <v>662</v>
      </c>
      <c r="E260" s="1"/>
      <c r="F260" s="1" t="s">
        <v>468</v>
      </c>
      <c r="G260" s="1"/>
      <c r="H260" s="1" t="s">
        <v>2236</v>
      </c>
      <c r="I260" s="1"/>
      <c r="J260" s="1"/>
      <c r="K260" s="1"/>
      <c r="L260" s="1"/>
      <c r="M260" s="1"/>
      <c r="N260" s="1"/>
      <c r="O260" s="1" t="str">
        <f>_xlfn.CONCAT(OfficeForms.Table3[[#This Row],[القطاع الغربي (Western Sector)]:[القطاع فرسان (Farasan Sector)]])</f>
        <v>مركز المنجارة (Al-Minjara Center)</v>
      </c>
      <c r="P260" s="2">
        <v>46149</v>
      </c>
      <c r="Q260" s="2">
        <v>45937</v>
      </c>
      <c r="R260" s="21" t="s">
        <v>1565</v>
      </c>
      <c r="S260" s="3">
        <v>46217</v>
      </c>
      <c r="T260" s="1">
        <v>36</v>
      </c>
      <c r="U260" s="26" t="s">
        <v>550</v>
      </c>
      <c r="V260" s="21" t="s">
        <v>2237</v>
      </c>
      <c r="W260" s="1" t="s">
        <v>2238</v>
      </c>
      <c r="X260" s="21" t="s">
        <v>1904</v>
      </c>
      <c r="Y260" s="10" t="s">
        <v>2239</v>
      </c>
      <c r="Z260" s="13"/>
      <c r="AA260" s="13" t="s">
        <v>1690</v>
      </c>
      <c r="AB260" s="13"/>
      <c r="AC260" s="13"/>
      <c r="AD260" s="13" t="s">
        <v>642</v>
      </c>
      <c r="AE260" s="13"/>
      <c r="AF260" s="1"/>
      <c r="AG260" s="13" t="s">
        <v>2240</v>
      </c>
      <c r="AH260" s="13"/>
      <c r="AI260" s="239"/>
      <c r="AJ260" s="242"/>
      <c r="AK260" s="245" t="str">
        <f t="shared" si="4"/>
        <v>⏳ بانتظار</v>
      </c>
      <c r="AL260" s="251"/>
      <c r="AN260" s="252"/>
      <c r="AO260" s="252"/>
      <c r="AR260" s="241" t="s">
        <v>65</v>
      </c>
      <c r="AS260" s="241" t="str">
        <f>IF(AR260="","",IF(ISNUMBER(SEARCH("جازان",AR260)),"مستشفى جازان العام",IF(ISNUMBER(SEARCH("صبيا",AR260)),"مستشفى صبيا العام",IF(ISNUMBER(SEARCH("عريش",AR260)),"مستشفى أبو عريش العام",IF(ISNUMBER(SEARCH("صامط",AR260)),"مستشفى صامطة العام",IF(ISNUMBER(SEARCH("بيش",AR260)),"مستشفى بيش العام",IF(ISNUMBER(SEARCH("فهد",AR260)),"مستشفى الملك فهد المركزي",AR260)))))))</f>
        <v>مستشفى صامطة العام</v>
      </c>
      <c r="AT260" s="241">
        <f>ROW()-1</f>
        <v>259</v>
      </c>
    </row>
    <row r="261" spans="1:46" ht="51">
      <c r="A261" s="1">
        <v>365</v>
      </c>
      <c r="B261" s="1">
        <v>46149.479166666701</v>
      </c>
      <c r="C261" s="1">
        <v>46149.485844907402</v>
      </c>
      <c r="D261" s="1" t="s">
        <v>662</v>
      </c>
      <c r="E261" s="1"/>
      <c r="F261" s="1" t="s">
        <v>468</v>
      </c>
      <c r="G261" s="1"/>
      <c r="H261" s="1" t="s">
        <v>1591</v>
      </c>
      <c r="I261" s="1"/>
      <c r="J261" s="1"/>
      <c r="K261" s="1"/>
      <c r="L261" s="1"/>
      <c r="M261" s="1"/>
      <c r="N261" s="1"/>
      <c r="O261" s="1" t="str">
        <f>_xlfn.CONCAT(OfficeForms.Table3[[#This Row],[القطاع الغربي (Western Sector)]:[القطاع فرسان (Farasan Sector)]])</f>
        <v>مركز الخوالف (Al-Khawalif Center)</v>
      </c>
      <c r="P261" s="2">
        <v>46149</v>
      </c>
      <c r="Q261" s="2">
        <v>46080</v>
      </c>
      <c r="R261" s="21" t="s">
        <v>935</v>
      </c>
      <c r="S261" s="3">
        <v>46360</v>
      </c>
      <c r="T261" s="1">
        <v>23</v>
      </c>
      <c r="U261" s="26" t="s">
        <v>551</v>
      </c>
      <c r="V261" s="21" t="s">
        <v>2241</v>
      </c>
      <c r="W261" s="1" t="s">
        <v>743</v>
      </c>
      <c r="X261" s="21" t="s">
        <v>1453</v>
      </c>
      <c r="Y261" s="10" t="s">
        <v>2242</v>
      </c>
      <c r="Z261" s="13" t="s">
        <v>1951</v>
      </c>
      <c r="AA261" s="13" t="s">
        <v>1684</v>
      </c>
      <c r="AB261" s="13"/>
      <c r="AC261" s="13"/>
      <c r="AD261" s="13" t="s">
        <v>680</v>
      </c>
      <c r="AE261" s="13" t="s">
        <v>642</v>
      </c>
      <c r="AF261" s="1" t="s">
        <v>680</v>
      </c>
      <c r="AG261" s="13" t="s">
        <v>2243</v>
      </c>
      <c r="AH261" s="13"/>
      <c r="AI261" s="239"/>
      <c r="AJ261" s="242"/>
      <c r="AK261" s="245" t="str">
        <f t="shared" si="4"/>
        <v>⏳ بانتظار</v>
      </c>
      <c r="AL261" s="251"/>
      <c r="AN261" s="252"/>
      <c r="AO261" s="252"/>
      <c r="AR261" s="241" t="s">
        <v>65</v>
      </c>
      <c r="AS261" s="241" t="str">
        <f>IF(AR261="","",IF(ISNUMBER(SEARCH("جازان",AR261)),"مستشفى جازان العام",IF(ISNUMBER(SEARCH("صبيا",AR261)),"مستشفى صبيا العام",IF(ISNUMBER(SEARCH("عريش",AR261)),"مستشفى أبو عريش العام",IF(ISNUMBER(SEARCH("صامط",AR261)),"مستشفى صامطة العام",IF(ISNUMBER(SEARCH("بيش",AR261)),"مستشفى بيش العام",IF(ISNUMBER(SEARCH("فهد",AR261)),"مستشفى الملك فهد المركزي",AR261)))))))</f>
        <v>مستشفى صامطة العام</v>
      </c>
      <c r="AT261" s="241">
        <f>ROW()-1</f>
        <v>260</v>
      </c>
    </row>
    <row r="262" spans="1:46" ht="51">
      <c r="A262" s="1">
        <v>366</v>
      </c>
      <c r="B262" s="1">
        <v>46149.4836111111</v>
      </c>
      <c r="C262" s="1">
        <v>46149.493773148097</v>
      </c>
      <c r="D262" s="1" t="s">
        <v>662</v>
      </c>
      <c r="E262" s="1"/>
      <c r="F262" s="1" t="s">
        <v>553</v>
      </c>
      <c r="G262" s="1"/>
      <c r="H262" s="1"/>
      <c r="I262" s="1"/>
      <c r="J262" s="1"/>
      <c r="K262" s="1"/>
      <c r="L262" s="1"/>
      <c r="M262" s="1" t="s">
        <v>2244</v>
      </c>
      <c r="N262" s="1"/>
      <c r="O262" s="1" t="str">
        <f>_xlfn.CONCAT(OfficeForms.Table3[[#This Row],[القطاع الغربي (Western Sector)]:[القطاع فرسان (Farasan Sector)]])</f>
        <v>مركز الساره (Al-Sarah Center)</v>
      </c>
      <c r="P262" s="2">
        <v>46149</v>
      </c>
      <c r="Q262" s="2">
        <v>46085</v>
      </c>
      <c r="R262" s="21" t="s">
        <v>2245</v>
      </c>
      <c r="S262" s="3">
        <v>46367</v>
      </c>
      <c r="T262" s="1">
        <v>38</v>
      </c>
      <c r="U262" s="26" t="s">
        <v>552</v>
      </c>
      <c r="V262" s="21" t="s">
        <v>2246</v>
      </c>
      <c r="W262" s="1" t="s">
        <v>2247</v>
      </c>
      <c r="X262" s="21" t="s">
        <v>1324</v>
      </c>
      <c r="Y262" s="10" t="s">
        <v>2248</v>
      </c>
      <c r="Z262" s="13" t="s">
        <v>1951</v>
      </c>
      <c r="AA262" s="13"/>
      <c r="AB262" s="13"/>
      <c r="AC262" s="13"/>
      <c r="AD262" s="13" t="s">
        <v>642</v>
      </c>
      <c r="AE262" s="13"/>
      <c r="AF262" s="1"/>
      <c r="AG262" s="13" t="s">
        <v>2249</v>
      </c>
      <c r="AH262" s="13"/>
      <c r="AI262" s="239"/>
      <c r="AJ262" s="242"/>
      <c r="AK262" s="245" t="str">
        <f t="shared" si="4"/>
        <v>⏳ بانتظار</v>
      </c>
      <c r="AL262" s="251"/>
      <c r="AN262" s="252"/>
      <c r="AO262" s="252"/>
      <c r="AR262" s="241" t="s">
        <v>61</v>
      </c>
      <c r="AS262" s="241" t="str">
        <f>IF(AR262="","",IF(ISNUMBER(SEARCH("جازان",AR262)),"مستشفى جازان العام",IF(ISNUMBER(SEARCH("صبيا",AR262)),"مستشفى صبيا العام",IF(ISNUMBER(SEARCH("عريش",AR262)),"مستشفى أبو عريش العام",IF(ISNUMBER(SEARCH("صامط",AR262)),"مستشفى صامطة العام",IF(ISNUMBER(SEARCH("بيش",AR262)),"مستشفى بيش العام",IF(ISNUMBER(SEARCH("فهد",AR262)),"مستشفى الملك فهد المركزي",AR262)))))))</f>
        <v>مستشفى أبو عريش العام</v>
      </c>
      <c r="AT262" s="241">
        <f>ROW()-1</f>
        <v>261</v>
      </c>
    </row>
    <row r="263" spans="1:46" ht="114.75">
      <c r="A263" s="1">
        <v>367</v>
      </c>
      <c r="B263" s="1">
        <v>46149.596192129597</v>
      </c>
      <c r="C263" s="1">
        <v>46149.610150462999</v>
      </c>
      <c r="D263" s="1" t="s">
        <v>662</v>
      </c>
      <c r="E263" s="1"/>
      <c r="F263" s="1" t="s">
        <v>461</v>
      </c>
      <c r="G263" s="1"/>
      <c r="H263" s="1"/>
      <c r="I263" s="1"/>
      <c r="J263" s="1" t="s">
        <v>2089</v>
      </c>
      <c r="K263" s="1"/>
      <c r="L263" s="1"/>
      <c r="M263" s="1"/>
      <c r="N263" s="1"/>
      <c r="O263" s="1" t="str">
        <f>_xlfn.CONCAT(OfficeForms.Table3[[#This Row],[القطاع الغربي (Western Sector)]:[القطاع فرسان (Farasan Sector)]])</f>
        <v>مركز بيش (Baish Center)</v>
      </c>
      <c r="P263" s="2">
        <v>46149</v>
      </c>
      <c r="Q263" s="2">
        <v>46111</v>
      </c>
      <c r="R263" s="21" t="s">
        <v>2250</v>
      </c>
      <c r="S263" s="3">
        <v>30818</v>
      </c>
      <c r="T263" s="1">
        <v>41</v>
      </c>
      <c r="U263" s="26" t="s">
        <v>554</v>
      </c>
      <c r="V263" s="21" t="s">
        <v>2251</v>
      </c>
      <c r="W263" s="1" t="s">
        <v>1857</v>
      </c>
      <c r="X263" s="21" t="s">
        <v>2252</v>
      </c>
      <c r="Y263" s="10" t="s">
        <v>2253</v>
      </c>
      <c r="Z263" s="13" t="s">
        <v>1905</v>
      </c>
      <c r="AA263" s="13" t="s">
        <v>1564</v>
      </c>
      <c r="AB263" s="13" t="s">
        <v>1768</v>
      </c>
      <c r="AC263" s="13"/>
      <c r="AD263" s="13" t="s">
        <v>642</v>
      </c>
      <c r="AE263" s="13"/>
      <c r="AF263" s="1"/>
      <c r="AG263" s="13" t="s">
        <v>2254</v>
      </c>
      <c r="AH263" s="13"/>
      <c r="AI263" s="239"/>
      <c r="AJ263" s="242"/>
      <c r="AK263" s="245" t="str">
        <f t="shared" si="4"/>
        <v>⏳ بانتظار</v>
      </c>
      <c r="AL263" s="251"/>
      <c r="AN263" s="252"/>
      <c r="AO263" s="252"/>
      <c r="AR263" s="241" t="s">
        <v>67</v>
      </c>
      <c r="AS263" s="241" t="str">
        <f>IF(AR263="","",IF(ISNUMBER(SEARCH("جازان",AR263)),"مستشفى جازان العام",IF(ISNUMBER(SEARCH("صبيا",AR263)),"مستشفى صبيا العام",IF(ISNUMBER(SEARCH("عريش",AR263)),"مستشفى أبو عريش العام",IF(ISNUMBER(SEARCH("صامط",AR263)),"مستشفى صامطة العام",IF(ISNUMBER(SEARCH("بيش",AR263)),"مستشفى بيش العام",IF(ISNUMBER(SEARCH("فهد",AR263)),"مستشفى الملك فهد المركزي",AR263)))))))</f>
        <v>مستشفى بيش العام</v>
      </c>
      <c r="AT263" s="241">
        <f>ROW()-1</f>
        <v>262</v>
      </c>
    </row>
    <row r="264" spans="1:46" ht="89.25">
      <c r="A264" s="1">
        <v>368</v>
      </c>
      <c r="B264" s="1">
        <v>46149.609351851803</v>
      </c>
      <c r="C264" s="1">
        <v>46149.613460648201</v>
      </c>
      <c r="D264" s="1" t="s">
        <v>662</v>
      </c>
      <c r="E264" s="1"/>
      <c r="F264" s="1" t="s">
        <v>496</v>
      </c>
      <c r="G264" s="1"/>
      <c r="H264" s="1"/>
      <c r="I264" s="1" t="s">
        <v>1513</v>
      </c>
      <c r="J264" s="1"/>
      <c r="K264" s="1"/>
      <c r="L264" s="1"/>
      <c r="M264" s="1"/>
      <c r="N264" s="1"/>
      <c r="O264" s="1" t="str">
        <f>_xlfn.CONCAT(OfficeForms.Table3[[#This Row],[القطاع الغربي (Western Sector)]:[القطاع فرسان (Farasan Sector)]])</f>
        <v>مركز الخضراء (Al-Khadra Center)</v>
      </c>
      <c r="P264" s="2">
        <v>46149</v>
      </c>
      <c r="Q264" s="2">
        <v>46283</v>
      </c>
      <c r="R264" s="21" t="s">
        <v>2255</v>
      </c>
      <c r="S264" s="3">
        <v>46067</v>
      </c>
      <c r="T264" s="1">
        <v>36</v>
      </c>
      <c r="U264" s="26" t="s">
        <v>555</v>
      </c>
      <c r="V264" s="21" t="s">
        <v>2256</v>
      </c>
      <c r="W264" s="1" t="s">
        <v>2011</v>
      </c>
      <c r="X264" s="21">
        <v>582889202</v>
      </c>
      <c r="Y264" s="10" t="s">
        <v>2257</v>
      </c>
      <c r="Z264" s="13" t="s">
        <v>1947</v>
      </c>
      <c r="AA264" s="13" t="s">
        <v>2258</v>
      </c>
      <c r="AB264" s="13"/>
      <c r="AC264" s="13"/>
      <c r="AD264" s="13" t="s">
        <v>642</v>
      </c>
      <c r="AE264" s="13"/>
      <c r="AF264" s="1"/>
      <c r="AG264" s="13" t="s">
        <v>2013</v>
      </c>
      <c r="AH264" s="13"/>
      <c r="AI264" s="239"/>
      <c r="AJ264" s="242"/>
      <c r="AK264" s="245" t="str">
        <f t="shared" si="4"/>
        <v>⏳ بانتظار</v>
      </c>
      <c r="AL264" s="251"/>
      <c r="AN264" s="252"/>
      <c r="AO264" s="252"/>
      <c r="AR264" s="241" t="s">
        <v>61</v>
      </c>
      <c r="AS264" s="241" t="str">
        <f>IF(AR264="","",IF(ISNUMBER(SEARCH("جازان",AR264)),"مستشفى جازان العام",IF(ISNUMBER(SEARCH("صبيا",AR264)),"مستشفى صبيا العام",IF(ISNUMBER(SEARCH("عريش",AR264)),"مستشفى أبو عريش العام",IF(ISNUMBER(SEARCH("صامط",AR264)),"مستشفى صامطة العام",IF(ISNUMBER(SEARCH("بيش",AR264)),"مستشفى بيش العام",IF(ISNUMBER(SEARCH("فهد",AR264)),"مستشفى الملك فهد المركزي",AR264)))))))</f>
        <v>مستشفى أبو عريش العام</v>
      </c>
      <c r="AT264" s="241">
        <f>ROW()-1</f>
        <v>263</v>
      </c>
    </row>
    <row r="265" spans="1:46" ht="203.25">
      <c r="A265" s="1">
        <v>369</v>
      </c>
      <c r="B265" s="1">
        <v>46149.6390046296</v>
      </c>
      <c r="C265" s="1">
        <v>46149.644791666702</v>
      </c>
      <c r="D265" s="1" t="s">
        <v>662</v>
      </c>
      <c r="E265" s="1"/>
      <c r="F265" s="1" t="s">
        <v>468</v>
      </c>
      <c r="G265" s="1"/>
      <c r="H265" s="1" t="s">
        <v>1591</v>
      </c>
      <c r="I265" s="1"/>
      <c r="J265" s="1"/>
      <c r="K265" s="1"/>
      <c r="L265" s="1"/>
      <c r="M265" s="1"/>
      <c r="N265" s="1"/>
      <c r="O265" s="1" t="str">
        <f>_xlfn.CONCAT(OfficeForms.Table3[[#This Row],[القطاع الغربي (Western Sector)]:[القطاع فرسان (Farasan Sector)]])</f>
        <v>مركز الخوالف (Al-Khawalif Center)</v>
      </c>
      <c r="P265" s="2">
        <v>46149</v>
      </c>
      <c r="Q265" s="2">
        <v>46126</v>
      </c>
      <c r="R265" s="21" t="s">
        <v>2259</v>
      </c>
      <c r="S265" s="3">
        <v>46408</v>
      </c>
      <c r="T265" s="1">
        <v>41</v>
      </c>
      <c r="U265" s="26" t="s">
        <v>556</v>
      </c>
      <c r="V265" s="21" t="s">
        <v>2260</v>
      </c>
      <c r="W265" s="1" t="s">
        <v>743</v>
      </c>
      <c r="X265" s="21" t="s">
        <v>1453</v>
      </c>
      <c r="Y265" s="10" t="s">
        <v>2261</v>
      </c>
      <c r="Z265" s="13" t="s">
        <v>2262</v>
      </c>
      <c r="AA265" s="13" t="s">
        <v>2263</v>
      </c>
      <c r="AB265" s="13"/>
      <c r="AC265" s="13"/>
      <c r="AD265" s="13" t="s">
        <v>680</v>
      </c>
      <c r="AE265" s="13" t="s">
        <v>680</v>
      </c>
      <c r="AF265" s="1" t="s">
        <v>680</v>
      </c>
      <c r="AG265" s="13" t="s">
        <v>2264</v>
      </c>
      <c r="AH265" s="13"/>
      <c r="AI265" s="239"/>
      <c r="AJ265" s="242"/>
      <c r="AK265" s="245" t="str">
        <f t="shared" si="4"/>
        <v>⏳ بانتظار</v>
      </c>
      <c r="AL265" s="251"/>
      <c r="AN265" s="252"/>
      <c r="AO265" s="252"/>
      <c r="AR265" s="241" t="s">
        <v>65</v>
      </c>
      <c r="AS265" s="241" t="str">
        <f>IF(AR265="","",IF(ISNUMBER(SEARCH("جازان",AR265)),"مستشفى جازان العام",IF(ISNUMBER(SEARCH("صبيا",AR265)),"مستشفى صبيا العام",IF(ISNUMBER(SEARCH("عريش",AR265)),"مستشفى أبو عريش العام",IF(ISNUMBER(SEARCH("صامط",AR265)),"مستشفى صامطة العام",IF(ISNUMBER(SEARCH("بيش",AR265)),"مستشفى بيش العام",IF(ISNUMBER(SEARCH("فهد",AR265)),"مستشفى الملك فهد المركزي",AR265)))))))</f>
        <v>مستشفى صامطة العام</v>
      </c>
      <c r="AT265" s="241">
        <f>ROW()-1</f>
        <v>264</v>
      </c>
    </row>
    <row r="266" spans="1:4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2"/>
      <c r="Q266" s="2"/>
      <c r="R266" s="1"/>
      <c r="S266" s="1"/>
      <c r="T266" s="1"/>
      <c r="U266" s="1"/>
      <c r="V266" s="167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240"/>
      <c r="AJ266" s="240"/>
      <c r="AK266" s="245"/>
      <c r="AL266" s="252"/>
      <c r="AN266" s="258"/>
      <c r="AO266" s="252"/>
      <c r="AR266" s="241" t="s">
        <v>61</v>
      </c>
      <c r="AS266" s="241" t="str">
        <f>IF(AR266="","",IF(ISNUMBER(SEARCH("جازان",AR266)),"مستشفى جازان العام",IF(ISNUMBER(SEARCH("صبيا",AR266)),"مستشفى صبيا العام",IF(ISNUMBER(SEARCH("عريش",AR266)),"مستشفى أبو عريش العام",IF(ISNUMBER(SEARCH("صامط",AR266)),"مستشفى صامطة العام",IF(ISNUMBER(SEARCH("بيش",AR266)),"مستشفى بيش العام",IF(ISNUMBER(SEARCH("فهد",AR266)),"مستشفى الملك فهد المركزي",AR266)))))))</f>
        <v>مستشفى أبو عريش العام</v>
      </c>
    </row>
    <row r="267" spans="1:4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2"/>
      <c r="Q267" s="2"/>
      <c r="R267" s="1"/>
      <c r="S267" s="1"/>
      <c r="T267" s="1"/>
      <c r="U267" s="1"/>
      <c r="V267" s="167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240"/>
      <c r="AJ267" s="240"/>
      <c r="AK267" s="245"/>
      <c r="AL267" s="252"/>
      <c r="AN267" s="258"/>
      <c r="AO267" s="252"/>
      <c r="AR267" s="241" t="s">
        <v>1467</v>
      </c>
      <c r="AS267" s="241" t="str">
        <f>IF(AR267="","",IF(ISNUMBER(SEARCH("جازان",AR267)),"مستشفى جازان العام",IF(ISNUMBER(SEARCH("صبيا",AR267)),"مستشفى صبيا العام",IF(ISNUMBER(SEARCH("عريش",AR267)),"مستشفى أبو عريش العام",IF(ISNUMBER(SEARCH("صامط",AR267)),"مستشفى صامطة العام",IF(ISNUMBER(SEARCH("بيش",AR267)),"مستشفى بيش العام",IF(ISNUMBER(SEARCH("فهد",AR267)),"مستشفى الملك فهد المركزي",AR267)))))))</f>
        <v>مستشفى جازان العام</v>
      </c>
    </row>
    <row r="268" spans="1:4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2"/>
      <c r="Q268" s="2"/>
      <c r="R268" s="1"/>
      <c r="S268" s="1"/>
      <c r="T268" s="1"/>
      <c r="U268" s="1"/>
      <c r="V268" s="167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240"/>
      <c r="AJ268" s="240"/>
      <c r="AK268" s="246"/>
      <c r="AL268" s="252"/>
      <c r="AN268" s="258"/>
      <c r="AO268" s="240"/>
      <c r="AS268" s="241" t="str">
        <f>IF(AR268="","",IF(ISNUMBER(SEARCH("جازان",AR268)),"مستشفى جازان العام",IF(ISNUMBER(SEARCH("صبيا",AR268)),"مستشفى صبيا العام",IF(ISNUMBER(SEARCH("عريش",AR268)),"مستشفى أبو عريش العام",IF(ISNUMBER(SEARCH("صامط",AR268)),"مستشفى صامطة العام",IF(ISNUMBER(SEARCH("بيش",AR268)),"مستشفى بيش العام",IF(ISNUMBER(SEARCH("فهد",AR268)),"مستشفى الملك فهد المركزي",AR268)))))))</f>
        <v/>
      </c>
    </row>
    <row r="269" spans="1:4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"/>
      <c r="Q269" s="2"/>
      <c r="R269" s="1"/>
      <c r="S269" s="1"/>
      <c r="T269" s="1"/>
      <c r="U269" s="1"/>
      <c r="V269" s="167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240"/>
      <c r="AJ269" s="240"/>
      <c r="AK269" s="246"/>
      <c r="AL269" s="252"/>
      <c r="AN269" s="258"/>
      <c r="AO269" s="240"/>
      <c r="AS269" s="241" t="str">
        <f>IF(AR269="","",IF(ISNUMBER(SEARCH("جازان",AR269)),"مستشفى جازان العام",IF(ISNUMBER(SEARCH("صبيا",AR269)),"مستشفى صبيا العام",IF(ISNUMBER(SEARCH("عريش",AR269)),"مستشفى أبو عريش العام",IF(ISNUMBER(SEARCH("صامط",AR269)),"مستشفى صامطة العام",IF(ISNUMBER(SEARCH("بيش",AR269)),"مستشفى بيش العام",IF(ISNUMBER(SEARCH("فهد",AR269)),"مستشفى الملك فهد المركزي",AR269)))))))</f>
        <v/>
      </c>
    </row>
    <row r="270" spans="1:4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2"/>
      <c r="Q270" s="2"/>
      <c r="R270" s="1"/>
      <c r="S270" s="1"/>
      <c r="T270" s="1"/>
      <c r="U270" s="1"/>
      <c r="V270" s="167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240"/>
      <c r="AJ270" s="240"/>
      <c r="AK270" s="246"/>
      <c r="AL270" s="252"/>
      <c r="AN270" s="258"/>
      <c r="AO270" s="240"/>
      <c r="AS270" s="241" t="str">
        <f>IF(AR270="","",IF(ISNUMBER(SEARCH("جازان",AR270)),"مستشفى جازان العام",IF(ISNUMBER(SEARCH("صبيا",AR270)),"مستشفى صبيا العام",IF(ISNUMBER(SEARCH("عريش",AR270)),"مستشفى أبو عريش العام",IF(ISNUMBER(SEARCH("صامط",AR270)),"مستشفى صامطة العام",IF(ISNUMBER(SEARCH("بيش",AR270)),"مستشفى بيش العام",IF(ISNUMBER(SEARCH("فهد",AR270)),"مستشفى الملك فهد المركزي",AR270)))))))</f>
        <v/>
      </c>
    </row>
    <row r="271" spans="1:4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2"/>
      <c r="Q271" s="2"/>
      <c r="R271" s="1"/>
      <c r="S271" s="1"/>
      <c r="T271" s="1"/>
      <c r="U271" s="1"/>
      <c r="V271" s="167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240"/>
      <c r="AJ271" s="240"/>
      <c r="AK271" s="246"/>
      <c r="AL271" s="252"/>
      <c r="AN271" s="258"/>
      <c r="AO271" s="240"/>
      <c r="AS271" s="241" t="str">
        <f>IF(AR271="","",IF(ISNUMBER(SEARCH("جازان",AR271)),"مستشفى جازان العام",IF(ISNUMBER(SEARCH("صبيا",AR271)),"مستشفى صبيا العام",IF(ISNUMBER(SEARCH("عريش",AR271)),"مستشفى أبو عريش العام",IF(ISNUMBER(SEARCH("صامط",AR271)),"مستشفى صامطة العام",IF(ISNUMBER(SEARCH("بيش",AR271)),"مستشفى بيش العام",IF(ISNUMBER(SEARCH("فهد",AR271)),"مستشفى الملك فهد المركزي",AR271)))))))</f>
        <v/>
      </c>
    </row>
    <row r="272" spans="1:4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2"/>
      <c r="Q272" s="2"/>
      <c r="R272" s="1"/>
      <c r="S272" s="1"/>
      <c r="T272" s="1"/>
      <c r="U272" s="1"/>
      <c r="V272" s="167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240"/>
      <c r="AJ272" s="240"/>
      <c r="AK272" s="240"/>
      <c r="AL272" s="252"/>
      <c r="AN272" s="258"/>
      <c r="AO272" s="240"/>
      <c r="AS272" s="241" t="str">
        <f>IF(AR272="","",IF(ISNUMBER(SEARCH("جازان",AR272)),"مستشفى جازان العام",IF(ISNUMBER(SEARCH("صبيا",AR272)),"مستشفى صبيا العام",IF(ISNUMBER(SEARCH("عريش",AR272)),"مستشفى أبو عريش العام",IF(ISNUMBER(SEARCH("صامط",AR272)),"مستشفى صامطة العام",IF(ISNUMBER(SEARCH("بيش",AR272)),"مستشفى بيش العام",IF(ISNUMBER(SEARCH("فهد",AR272)),"مستشفى الملك فهد المركزي",AR272)))))))</f>
        <v/>
      </c>
    </row>
    <row r="273" spans="1: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2"/>
      <c r="Q273" s="2"/>
      <c r="R273" s="1"/>
      <c r="S273" s="1"/>
      <c r="T273" s="1"/>
      <c r="U273" s="1"/>
      <c r="V273" s="167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240"/>
      <c r="AJ273" s="240"/>
      <c r="AK273" s="240"/>
      <c r="AL273" s="252"/>
      <c r="AN273" s="258"/>
      <c r="AO273" s="240"/>
      <c r="AS273" s="241" t="str">
        <f>IF(AR273="","",IF(ISNUMBER(SEARCH("جازان",AR273)),"مستشفى جازان العام",IF(ISNUMBER(SEARCH("صبيا",AR273)),"مستشفى صبيا العام",IF(ISNUMBER(SEARCH("عريش",AR273)),"مستشفى أبو عريش العام",IF(ISNUMBER(SEARCH("صامط",AR273)),"مستشفى صامطة العام",IF(ISNUMBER(SEARCH("بيش",AR273)),"مستشفى بيش العام",IF(ISNUMBER(SEARCH("فهد",AR273)),"مستشفى الملك فهد المركزي",AR273)))))))</f>
        <v/>
      </c>
    </row>
    <row r="274" spans="1: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"/>
      <c r="Q274" s="2"/>
      <c r="R274" s="1"/>
      <c r="S274" s="1"/>
      <c r="T274" s="1"/>
      <c r="U274" s="1"/>
      <c r="V274" s="167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240"/>
      <c r="AJ274" s="240"/>
      <c r="AK274" s="240"/>
      <c r="AL274" s="252"/>
      <c r="AN274" s="258"/>
      <c r="AO274" s="240"/>
      <c r="AS274" s="241" t="str">
        <f>IF(AR274="","",IF(ISNUMBER(SEARCH("جازان",AR274)),"مستشفى جازان العام",IF(ISNUMBER(SEARCH("صبيا",AR274)),"مستشفى صبيا العام",IF(ISNUMBER(SEARCH("عريش",AR274)),"مستشفى أبو عريش العام",IF(ISNUMBER(SEARCH("صامط",AR274)),"مستشفى صامطة العام",IF(ISNUMBER(SEARCH("بيش",AR274)),"مستشفى بيش العام",IF(ISNUMBER(SEARCH("فهد",AR274)),"مستشفى الملك فهد المركزي",AR274)))))))</f>
        <v/>
      </c>
    </row>
    <row r="275" spans="1: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2"/>
      <c r="Q275" s="2"/>
      <c r="R275" s="1"/>
      <c r="S275" s="1"/>
      <c r="T275" s="1"/>
      <c r="U275" s="1"/>
      <c r="V275" s="167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240"/>
      <c r="AJ275" s="240"/>
      <c r="AK275" s="240"/>
      <c r="AL275" s="252"/>
      <c r="AN275" s="258"/>
      <c r="AO275" s="240"/>
      <c r="AS275" s="241" t="str">
        <f>IF(AR275="","",IF(ISNUMBER(SEARCH("جازان",AR275)),"مستشفى جازان العام",IF(ISNUMBER(SEARCH("صبيا",AR275)),"مستشفى صبيا العام",IF(ISNUMBER(SEARCH("عريش",AR275)),"مستشفى أبو عريش العام",IF(ISNUMBER(SEARCH("صامط",AR275)),"مستشفى صامطة العام",IF(ISNUMBER(SEARCH("بيش",AR275)),"مستشفى بيش العام",IF(ISNUMBER(SEARCH("فهد",AR275)),"مستشفى الملك فهد المركزي",AR275)))))))</f>
        <v/>
      </c>
    </row>
    <row r="276" spans="1: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"/>
      <c r="Q276" s="2"/>
      <c r="R276" s="1"/>
      <c r="S276" s="1"/>
      <c r="T276" s="1"/>
      <c r="U276" s="1"/>
      <c r="V276" s="167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240"/>
      <c r="AJ276" s="240"/>
      <c r="AK276" s="240"/>
      <c r="AL276" s="252"/>
      <c r="AN276" s="258"/>
      <c r="AO276" s="240"/>
      <c r="AS276" s="241" t="str">
        <f>IF(AR276="","",IF(ISNUMBER(SEARCH("جازان",AR276)),"مستشفى جازان العام",IF(ISNUMBER(SEARCH("صبيا",AR276)),"مستشفى صبيا العام",IF(ISNUMBER(SEARCH("عريش",AR276)),"مستشفى أبو عريش العام",IF(ISNUMBER(SEARCH("صامط",AR276)),"مستشفى صامطة العام",IF(ISNUMBER(SEARCH("بيش",AR276)),"مستشفى بيش العام",IF(ISNUMBER(SEARCH("فهد",AR276)),"مستشفى الملك فهد المركزي",AR276)))))))</f>
        <v/>
      </c>
    </row>
    <row r="277" spans="1: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2"/>
      <c r="Q277" s="2"/>
      <c r="R277" s="1"/>
      <c r="S277" s="1"/>
      <c r="T277" s="1"/>
      <c r="U277" s="1"/>
      <c r="V277" s="167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240"/>
      <c r="AJ277" s="240"/>
      <c r="AK277" s="240"/>
      <c r="AL277" s="252"/>
      <c r="AN277" s="258"/>
      <c r="AO277" s="240"/>
      <c r="AS277" s="241" t="str">
        <f>IF(AR277="","",IF(ISNUMBER(SEARCH("جازان",AR277)),"مستشفى جازان العام",IF(ISNUMBER(SEARCH("صبيا",AR277)),"مستشفى صبيا العام",IF(ISNUMBER(SEARCH("عريش",AR277)),"مستشفى أبو عريش العام",IF(ISNUMBER(SEARCH("صامط",AR277)),"مستشفى صامطة العام",IF(ISNUMBER(SEARCH("بيش",AR277)),"مستشفى بيش العام",IF(ISNUMBER(SEARCH("فهد",AR277)),"مستشفى الملك فهد المركزي",AR277)))))))</f>
        <v/>
      </c>
    </row>
    <row r="278" spans="1: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2"/>
      <c r="Q278" s="2"/>
      <c r="R278" s="1"/>
      <c r="S278" s="1"/>
      <c r="T278" s="1"/>
      <c r="U278" s="1"/>
      <c r="V278" s="167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240"/>
      <c r="AJ278" s="240"/>
      <c r="AK278" s="240"/>
      <c r="AL278" s="252"/>
      <c r="AN278" s="258"/>
      <c r="AO278" s="240"/>
      <c r="AS278" s="241" t="str">
        <f>IF(AR278="","",IF(ISNUMBER(SEARCH("جازان",AR278)),"مستشفى جازان العام",IF(ISNUMBER(SEARCH("صبيا",AR278)),"مستشفى صبيا العام",IF(ISNUMBER(SEARCH("عريش",AR278)),"مستشفى أبو عريش العام",IF(ISNUMBER(SEARCH("صامط",AR278)),"مستشفى صامطة العام",IF(ISNUMBER(SEARCH("بيش",AR278)),"مستشفى بيش العام",IF(ISNUMBER(SEARCH("فهد",AR278)),"مستشفى الملك فهد المركزي",AR278)))))))</f>
        <v/>
      </c>
    </row>
    <row r="279" spans="1: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2"/>
      <c r="Q279" s="2"/>
      <c r="R279" s="1"/>
      <c r="S279" s="1"/>
      <c r="T279" s="1"/>
      <c r="U279" s="1"/>
      <c r="V279" s="167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240"/>
      <c r="AJ279" s="240"/>
      <c r="AK279" s="240"/>
      <c r="AL279" s="252"/>
      <c r="AN279" s="258"/>
      <c r="AO279" s="240"/>
      <c r="AS279" s="241" t="str">
        <f>IF(AR279="","",IF(ISNUMBER(SEARCH("جازان",AR279)),"مستشفى جازان العام",IF(ISNUMBER(SEARCH("صبيا",AR279)),"مستشفى صبيا العام",IF(ISNUMBER(SEARCH("عريش",AR279)),"مستشفى أبو عريش العام",IF(ISNUMBER(SEARCH("صامط",AR279)),"مستشفى صامطة العام",IF(ISNUMBER(SEARCH("بيش",AR279)),"مستشفى بيش العام",IF(ISNUMBER(SEARCH("فهد",AR279)),"مستشفى الملك فهد المركزي",AR279)))))))</f>
        <v/>
      </c>
    </row>
    <row r="280" spans="1: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2"/>
      <c r="Q280" s="2"/>
      <c r="R280" s="1"/>
      <c r="S280" s="1"/>
      <c r="T280" s="1"/>
      <c r="U280" s="1"/>
      <c r="V280" s="167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240"/>
      <c r="AJ280" s="240"/>
      <c r="AK280" s="240"/>
      <c r="AL280" s="252"/>
      <c r="AN280" s="258"/>
      <c r="AO280" s="240"/>
      <c r="AS280" s="241" t="str">
        <f>IF(AR280="","",IF(ISNUMBER(SEARCH("جازان",AR280)),"مستشفى جازان العام",IF(ISNUMBER(SEARCH("صبيا",AR280)),"مستشفى صبيا العام",IF(ISNUMBER(SEARCH("عريش",AR280)),"مستشفى أبو عريش العام",IF(ISNUMBER(SEARCH("صامط",AR280)),"مستشفى صامطة العام",IF(ISNUMBER(SEARCH("بيش",AR280)),"مستشفى بيش العام",IF(ISNUMBER(SEARCH("فهد",AR280)),"مستشفى الملك فهد المركزي",AR280)))))))</f>
        <v/>
      </c>
    </row>
    <row r="281" spans="1: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2"/>
      <c r="Q281" s="2"/>
      <c r="R281" s="1"/>
      <c r="S281" s="1"/>
      <c r="T281" s="1"/>
      <c r="U281" s="1"/>
      <c r="V281" s="167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240"/>
      <c r="AJ281" s="240"/>
      <c r="AK281" s="240"/>
      <c r="AL281" s="252"/>
      <c r="AN281" s="258"/>
      <c r="AO281" s="240"/>
      <c r="AS281" s="241" t="str">
        <f>IF(AR281="","",IF(ISNUMBER(SEARCH("جازان",AR281)),"مستشفى جازان العام",IF(ISNUMBER(SEARCH("صبيا",AR281)),"مستشفى صبيا العام",IF(ISNUMBER(SEARCH("عريش",AR281)),"مستشفى أبو عريش العام",IF(ISNUMBER(SEARCH("صامط",AR281)),"مستشفى صامطة العام",IF(ISNUMBER(SEARCH("بيش",AR281)),"مستشفى بيش العام",IF(ISNUMBER(SEARCH("فهد",AR281)),"مستشفى الملك فهد المركزي",AR281)))))))</f>
        <v/>
      </c>
    </row>
    <row r="282" spans="1: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2"/>
      <c r="Q282" s="2"/>
      <c r="R282" s="1"/>
      <c r="S282" s="1"/>
      <c r="T282" s="1"/>
      <c r="U282" s="1"/>
      <c r="V282" s="167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240"/>
      <c r="AJ282" s="240"/>
      <c r="AK282" s="240"/>
      <c r="AL282" s="252"/>
      <c r="AN282" s="258"/>
      <c r="AO282" s="240"/>
      <c r="AS282" s="241" t="str">
        <f>IF(AR282="","",IF(ISNUMBER(SEARCH("جازان",AR282)),"مستشفى جازان العام",IF(ISNUMBER(SEARCH("صبيا",AR282)),"مستشفى صبيا العام",IF(ISNUMBER(SEARCH("عريش",AR282)),"مستشفى أبو عريش العام",IF(ISNUMBER(SEARCH("صامط",AR282)),"مستشفى صامطة العام",IF(ISNUMBER(SEARCH("بيش",AR282)),"مستشفى بيش العام",IF(ISNUMBER(SEARCH("فهد",AR282)),"مستشفى الملك فهد المركزي",AR282)))))))</f>
        <v/>
      </c>
    </row>
    <row r="283" spans="1: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2"/>
      <c r="Q283" s="2"/>
      <c r="R283" s="1"/>
      <c r="S283" s="1"/>
      <c r="T283" s="1"/>
      <c r="U283" s="1"/>
      <c r="V283" s="167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240"/>
      <c r="AJ283" s="240"/>
      <c r="AK283" s="240"/>
      <c r="AL283" s="240"/>
      <c r="AN283" s="240"/>
      <c r="AO283" s="240"/>
      <c r="AS283" s="241" t="str">
        <f>IF(AR283="","",IF(ISNUMBER(SEARCH("جازان",AR283)),"مستشفى جازان العام",IF(ISNUMBER(SEARCH("صبيا",AR283)),"مستشفى صبيا العام",IF(ISNUMBER(SEARCH("عريش",AR283)),"مستشفى أبو عريش العام",IF(ISNUMBER(SEARCH("صامط",AR283)),"مستشفى صامطة العام",IF(ISNUMBER(SEARCH("بيش",AR283)),"مستشفى بيش العام",IF(ISNUMBER(SEARCH("فهد",AR283)),"مستشفى الملك فهد المركزي",AR283)))))))</f>
        <v/>
      </c>
    </row>
    <row r="284" spans="1: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2"/>
      <c r="Q284" s="2"/>
      <c r="R284" s="1"/>
      <c r="S284" s="1"/>
      <c r="T284" s="1"/>
      <c r="U284" s="1"/>
      <c r="V284" s="167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240"/>
      <c r="AJ284" s="240"/>
      <c r="AK284" s="240"/>
      <c r="AL284" s="240"/>
      <c r="AN284" s="240"/>
      <c r="AO284" s="240"/>
      <c r="AS284" s="241" t="str">
        <f>IF(AR284="","",IF(ISNUMBER(SEARCH("جازان",AR284)),"مستشفى جازان العام",IF(ISNUMBER(SEARCH("صبيا",AR284)),"مستشفى صبيا العام",IF(ISNUMBER(SEARCH("عريش",AR284)),"مستشفى أبو عريش العام",IF(ISNUMBER(SEARCH("صامط",AR284)),"مستشفى صامطة العام",IF(ISNUMBER(SEARCH("بيش",AR284)),"مستشفى بيش العام",IF(ISNUMBER(SEARCH("فهد",AR284)),"مستشفى الملك فهد المركزي",AR284)))))))</f>
        <v/>
      </c>
    </row>
    <row r="285" spans="1: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2"/>
      <c r="Q285" s="2"/>
      <c r="R285" s="1"/>
      <c r="S285" s="1"/>
      <c r="T285" s="1"/>
      <c r="U285" s="1"/>
      <c r="V285" s="167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240"/>
      <c r="AJ285" s="240"/>
      <c r="AK285" s="240"/>
      <c r="AL285" s="240"/>
      <c r="AN285" s="240"/>
      <c r="AO285" s="240"/>
      <c r="AR285" s="240"/>
      <c r="AS285" s="241" t="str">
        <f>IF(AR285="","",IF(ISNUMBER(SEARCH("جازان",AR285)),"مستشفى جازان العام",IF(ISNUMBER(SEARCH("صبيا",AR285)),"مستشفى صبيا العام",IF(ISNUMBER(SEARCH("عريش",AR285)),"مستشفى أبو عريش العام",IF(ISNUMBER(SEARCH("صامط",AR285)),"مستشفى صامطة العام",IF(ISNUMBER(SEARCH("بيش",AR285)),"مستشفى بيش العام",IF(ISNUMBER(SEARCH("فهد",AR285)),"مستشفى الملك فهد المركزي",AR285)))))))</f>
        <v/>
      </c>
    </row>
    <row r="286" spans="1: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2"/>
      <c r="Q286" s="2"/>
      <c r="R286" s="1"/>
      <c r="S286" s="1"/>
      <c r="T286" s="1"/>
      <c r="U286" s="1"/>
      <c r="V286" s="167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240"/>
      <c r="AJ286" s="240"/>
      <c r="AK286" s="240"/>
      <c r="AL286" s="240"/>
      <c r="AN286" s="240"/>
      <c r="AO286" s="240"/>
      <c r="AR286" s="240"/>
      <c r="AS286" s="241" t="str">
        <f>IF(AR286="","",IF(ISNUMBER(SEARCH("جازان",AR286)),"مستشفى جازان العام",IF(ISNUMBER(SEARCH("صبيا",AR286)),"مستشفى صبيا العام",IF(ISNUMBER(SEARCH("عريش",AR286)),"مستشفى أبو عريش العام",IF(ISNUMBER(SEARCH("صامط",AR286)),"مستشفى صامطة العام",IF(ISNUMBER(SEARCH("بيش",AR286)),"مستشفى بيش العام",IF(ISNUMBER(SEARCH("فهد",AR286)),"مستشفى الملك فهد المركزي",AR286)))))))</f>
        <v/>
      </c>
    </row>
    <row r="287" spans="1: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2"/>
      <c r="Q287" s="2"/>
      <c r="R287" s="1"/>
      <c r="S287" s="1"/>
      <c r="T287" s="1"/>
      <c r="U287" s="1"/>
      <c r="V287" s="167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240"/>
      <c r="AJ287" s="240"/>
      <c r="AK287" s="240"/>
      <c r="AL287" s="240"/>
      <c r="AN287" s="240"/>
      <c r="AO287" s="240"/>
      <c r="AR287" s="240"/>
      <c r="AS287" s="241" t="str">
        <f>IF(AR287="","",IF(ISNUMBER(SEARCH("جازان",AR287)),"مستشفى جازان العام",IF(ISNUMBER(SEARCH("صبيا",AR287)),"مستشفى صبيا العام",IF(ISNUMBER(SEARCH("عريش",AR287)),"مستشفى أبو عريش العام",IF(ISNUMBER(SEARCH("صامط",AR287)),"مستشفى صامطة العام",IF(ISNUMBER(SEARCH("بيش",AR287)),"مستشفى بيش العام",IF(ISNUMBER(SEARCH("فهد",AR287)),"مستشفى الملك فهد المركزي",AR287)))))))</f>
        <v/>
      </c>
    </row>
    <row r="288" spans="1: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2"/>
      <c r="Q288" s="2"/>
      <c r="R288" s="1"/>
      <c r="S288" s="1"/>
      <c r="T288" s="1"/>
      <c r="U288" s="1"/>
      <c r="V288" s="167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240"/>
      <c r="AJ288" s="240"/>
      <c r="AK288" s="240"/>
      <c r="AL288" s="240"/>
      <c r="AN288" s="240"/>
      <c r="AO288" s="240"/>
      <c r="AR288" s="240"/>
      <c r="AS288" s="241" t="str">
        <f>IF(AR288="","",IF(ISNUMBER(SEARCH("جازان",AR288)),"مستشفى جازان العام",IF(ISNUMBER(SEARCH("صبيا",AR288)),"مستشفى صبيا العام",IF(ISNUMBER(SEARCH("عريش",AR288)),"مستشفى أبو عريش العام",IF(ISNUMBER(SEARCH("صامط",AR288)),"مستشفى صامطة العام",IF(ISNUMBER(SEARCH("بيش",AR288)),"مستشفى بيش العام",IF(ISNUMBER(SEARCH("فهد",AR288)),"مستشفى الملك فهد المركزي",AR288)))))))</f>
        <v/>
      </c>
    </row>
    <row r="289" spans="1: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2"/>
      <c r="Q289" s="2"/>
      <c r="R289" s="1"/>
      <c r="S289" s="1"/>
      <c r="T289" s="1"/>
      <c r="U289" s="1"/>
      <c r="V289" s="167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240"/>
      <c r="AJ289" s="240"/>
      <c r="AK289" s="240"/>
      <c r="AL289" s="240"/>
      <c r="AN289" s="240"/>
      <c r="AO289" s="240"/>
      <c r="AR289" s="240"/>
      <c r="AS289" s="241" t="str">
        <f>IF(AR289="","",IF(ISNUMBER(SEARCH("جازان",AR289)),"مستشفى جازان العام",IF(ISNUMBER(SEARCH("صبيا",AR289)),"مستشفى صبيا العام",IF(ISNUMBER(SEARCH("عريش",AR289)),"مستشفى أبو عريش العام",IF(ISNUMBER(SEARCH("صامط",AR289)),"مستشفى صامطة العام",IF(ISNUMBER(SEARCH("بيش",AR289)),"مستشفى بيش العام",IF(ISNUMBER(SEARCH("فهد",AR289)),"مستشفى الملك فهد المركزي",AR289)))))))</f>
        <v/>
      </c>
    </row>
    <row r="290" spans="1: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2"/>
      <c r="Q290" s="2"/>
      <c r="R290" s="1"/>
      <c r="S290" s="1"/>
      <c r="T290" s="1"/>
      <c r="U290" s="1"/>
      <c r="V290" s="167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240"/>
      <c r="AJ290" s="240"/>
      <c r="AK290" s="240"/>
      <c r="AL290" s="240"/>
      <c r="AN290" s="240"/>
      <c r="AO290" s="240"/>
      <c r="AR290" s="240"/>
      <c r="AS290" s="241" t="str">
        <f>IF(AR290="","",IF(ISNUMBER(SEARCH("جازان",AR290)),"مستشفى جازان العام",IF(ISNUMBER(SEARCH("صبيا",AR290)),"مستشفى صبيا العام",IF(ISNUMBER(SEARCH("عريش",AR290)),"مستشفى أبو عريش العام",IF(ISNUMBER(SEARCH("صامط",AR290)),"مستشفى صامطة العام",IF(ISNUMBER(SEARCH("بيش",AR290)),"مستشفى بيش العام",IF(ISNUMBER(SEARCH("فهد",AR290)),"مستشفى الملك فهد المركزي",AR290)))))))</f>
        <v/>
      </c>
    </row>
    <row r="291" spans="1: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2"/>
      <c r="Q291" s="2"/>
      <c r="R291" s="1"/>
      <c r="S291" s="1"/>
      <c r="T291" s="1"/>
      <c r="U291" s="1"/>
      <c r="V291" s="167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240"/>
      <c r="AJ291" s="240"/>
      <c r="AK291" s="240"/>
      <c r="AL291" s="240"/>
      <c r="AN291" s="240"/>
      <c r="AO291" s="240"/>
      <c r="AR291" s="240"/>
      <c r="AS291" s="241" t="str">
        <f>IF(AR291="","",IF(ISNUMBER(SEARCH("جازان",AR291)),"مستشفى جازان العام",IF(ISNUMBER(SEARCH("صبيا",AR291)),"مستشفى صبيا العام",IF(ISNUMBER(SEARCH("عريش",AR291)),"مستشفى أبو عريش العام",IF(ISNUMBER(SEARCH("صامط",AR291)),"مستشفى صامطة العام",IF(ISNUMBER(SEARCH("بيش",AR291)),"مستشفى بيش العام",IF(ISNUMBER(SEARCH("فهد",AR291)),"مستشفى الملك فهد المركزي",AR291)))))))</f>
        <v/>
      </c>
    </row>
    <row r="292" spans="1: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2"/>
      <c r="Q292" s="2"/>
      <c r="R292" s="1"/>
      <c r="S292" s="1"/>
      <c r="T292" s="1"/>
      <c r="U292" s="1"/>
      <c r="V292" s="167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240"/>
      <c r="AJ292" s="240"/>
      <c r="AK292" s="240"/>
      <c r="AL292" s="240"/>
      <c r="AN292" s="240"/>
      <c r="AO292" s="240"/>
      <c r="AR292" s="240"/>
      <c r="AS292" s="241" t="str">
        <f>IF(AR292="","",IF(ISNUMBER(SEARCH("جازان",AR292)),"مستشفى جازان العام",IF(ISNUMBER(SEARCH("صبيا",AR292)),"مستشفى صبيا العام",IF(ISNUMBER(SEARCH("عريش",AR292)),"مستشفى أبو عريش العام",IF(ISNUMBER(SEARCH("صامط",AR292)),"مستشفى صامطة العام",IF(ISNUMBER(SEARCH("بيش",AR292)),"مستشفى بيش العام",IF(ISNUMBER(SEARCH("فهد",AR292)),"مستشفى الملك فهد المركزي",AR292)))))))</f>
        <v/>
      </c>
    </row>
    <row r="293" spans="1: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2"/>
      <c r="Q293" s="2"/>
      <c r="R293" s="1"/>
      <c r="S293" s="1"/>
      <c r="T293" s="1"/>
      <c r="U293" s="1"/>
      <c r="V293" s="167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240"/>
      <c r="AJ293" s="240"/>
      <c r="AK293" s="240"/>
      <c r="AL293" s="240"/>
      <c r="AN293" s="240"/>
      <c r="AO293" s="240"/>
      <c r="AR293" s="240"/>
      <c r="AS293" s="241" t="str">
        <f>IF(AR293="","",IF(ISNUMBER(SEARCH("جازان",AR293)),"مستشفى جازان العام",IF(ISNUMBER(SEARCH("صبيا",AR293)),"مستشفى صبيا العام",IF(ISNUMBER(SEARCH("عريش",AR293)),"مستشفى أبو عريش العام",IF(ISNUMBER(SEARCH("صامط",AR293)),"مستشفى صامطة العام",IF(ISNUMBER(SEARCH("بيش",AR293)),"مستشفى بيش العام",IF(ISNUMBER(SEARCH("فهد",AR293)),"مستشفى الملك فهد المركزي",AR293)))))))</f>
        <v/>
      </c>
    </row>
    <row r="294" spans="1: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2"/>
      <c r="Q294" s="2"/>
      <c r="R294" s="1"/>
      <c r="S294" s="1"/>
      <c r="T294" s="1"/>
      <c r="U294" s="1"/>
      <c r="V294" s="167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240"/>
      <c r="AJ294" s="240"/>
      <c r="AK294" s="240"/>
      <c r="AL294" s="240"/>
      <c r="AN294" s="240"/>
      <c r="AO294" s="240"/>
      <c r="AR294" s="240"/>
      <c r="AS294" s="241" t="str">
        <f>IF(AR294="","",IF(ISNUMBER(SEARCH("جازان",AR294)),"مستشفى جازان العام",IF(ISNUMBER(SEARCH("صبيا",AR294)),"مستشفى صبيا العام",IF(ISNUMBER(SEARCH("عريش",AR294)),"مستشفى أبو عريش العام",IF(ISNUMBER(SEARCH("صامط",AR294)),"مستشفى صامطة العام",IF(ISNUMBER(SEARCH("بيش",AR294)),"مستشفى بيش العام",IF(ISNUMBER(SEARCH("فهد",AR294)),"مستشفى الملك فهد المركزي",AR294)))))))</f>
        <v/>
      </c>
    </row>
    <row r="295" spans="1: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2"/>
      <c r="Q295" s="2"/>
      <c r="R295" s="1"/>
      <c r="S295" s="1"/>
      <c r="T295" s="1"/>
      <c r="U295" s="1"/>
      <c r="V295" s="167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240"/>
      <c r="AJ295" s="240"/>
      <c r="AK295" s="240"/>
      <c r="AL295" s="240"/>
      <c r="AN295" s="240"/>
      <c r="AO295" s="240"/>
      <c r="AR295" s="240"/>
      <c r="AS295" s="241" t="str">
        <f>IF(AR295="","",IF(ISNUMBER(SEARCH("جازان",AR295)),"مستشفى جازان العام",IF(ISNUMBER(SEARCH("صبيا",AR295)),"مستشفى صبيا العام",IF(ISNUMBER(SEARCH("عريش",AR295)),"مستشفى أبو عريش العام",IF(ISNUMBER(SEARCH("صامط",AR295)),"مستشفى صامطة العام",IF(ISNUMBER(SEARCH("بيش",AR295)),"مستشفى بيش العام",IF(ISNUMBER(SEARCH("فهد",AR295)),"مستشفى الملك فهد المركزي",AR295)))))))</f>
        <v/>
      </c>
    </row>
    <row r="296" spans="1: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2"/>
      <c r="Q296" s="2"/>
      <c r="R296" s="1"/>
      <c r="S296" s="1"/>
      <c r="T296" s="1"/>
      <c r="U296" s="1"/>
      <c r="V296" s="167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240"/>
      <c r="AJ296" s="240"/>
      <c r="AK296" s="240"/>
      <c r="AL296" s="240"/>
      <c r="AN296" s="240"/>
      <c r="AO296" s="240"/>
      <c r="AR296" s="240"/>
      <c r="AS296" s="241" t="str">
        <f>IF(AR296="","",IF(ISNUMBER(SEARCH("جازان",AR296)),"مستشفى جازان العام",IF(ISNUMBER(SEARCH("صبيا",AR296)),"مستشفى صبيا العام",IF(ISNUMBER(SEARCH("عريش",AR296)),"مستشفى أبو عريش العام",IF(ISNUMBER(SEARCH("صامط",AR296)),"مستشفى صامطة العام",IF(ISNUMBER(SEARCH("بيش",AR296)),"مستشفى بيش العام",IF(ISNUMBER(SEARCH("فهد",AR296)),"مستشفى الملك فهد المركزي",AR296)))))))</f>
        <v/>
      </c>
    </row>
    <row r="297" spans="1: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2"/>
      <c r="Q297" s="2"/>
      <c r="R297" s="1"/>
      <c r="S297" s="1"/>
      <c r="T297" s="1"/>
      <c r="U297" s="1"/>
      <c r="V297" s="167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240"/>
      <c r="AJ297" s="240"/>
      <c r="AK297" s="240"/>
      <c r="AL297" s="240"/>
      <c r="AN297" s="240"/>
      <c r="AO297" s="240"/>
      <c r="AR297" s="240"/>
      <c r="AS297" s="241" t="str">
        <f>IF(AR297="","",IF(ISNUMBER(SEARCH("جازان",AR297)),"مستشفى جازان العام",IF(ISNUMBER(SEARCH("صبيا",AR297)),"مستشفى صبيا العام",IF(ISNUMBER(SEARCH("عريش",AR297)),"مستشفى أبو عريش العام",IF(ISNUMBER(SEARCH("صامط",AR297)),"مستشفى صامطة العام",IF(ISNUMBER(SEARCH("بيش",AR297)),"مستشفى بيش العام",IF(ISNUMBER(SEARCH("فهد",AR297)),"مستشفى الملك فهد المركزي",AR297)))))))</f>
        <v/>
      </c>
    </row>
    <row r="298" spans="1: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2"/>
      <c r="Q298" s="2"/>
      <c r="R298" s="1"/>
      <c r="S298" s="1"/>
      <c r="T298" s="1"/>
      <c r="U298" s="1"/>
      <c r="V298" s="167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240"/>
      <c r="AJ298" s="240"/>
      <c r="AK298" s="240"/>
      <c r="AL298" s="240"/>
      <c r="AN298" s="240"/>
      <c r="AO298" s="240"/>
      <c r="AR298" s="240"/>
      <c r="AS298" s="241" t="str">
        <f>IF(AR298="","",IF(ISNUMBER(SEARCH("جازان",AR298)),"مستشفى جازان العام",IF(ISNUMBER(SEARCH("صبيا",AR298)),"مستشفى صبيا العام",IF(ISNUMBER(SEARCH("عريش",AR298)),"مستشفى أبو عريش العام",IF(ISNUMBER(SEARCH("صامط",AR298)),"مستشفى صامطة العام",IF(ISNUMBER(SEARCH("بيش",AR298)),"مستشفى بيش العام",IF(ISNUMBER(SEARCH("فهد",AR298)),"مستشفى الملك فهد المركزي",AR298)))))))</f>
        <v/>
      </c>
    </row>
    <row r="299" spans="1: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2"/>
      <c r="Q299" s="2"/>
      <c r="R299" s="1"/>
      <c r="S299" s="1"/>
      <c r="T299" s="1"/>
      <c r="U299" s="1"/>
      <c r="V299" s="167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240"/>
      <c r="AJ299" s="240"/>
      <c r="AK299" s="240"/>
      <c r="AL299" s="240"/>
      <c r="AN299" s="240"/>
      <c r="AO299" s="240"/>
      <c r="AR299" s="240"/>
      <c r="AS299" s="241" t="str">
        <f>IF(AR299="","",IF(ISNUMBER(SEARCH("جازان",AR299)),"مستشفى جازان العام",IF(ISNUMBER(SEARCH("صبيا",AR299)),"مستشفى صبيا العام",IF(ISNUMBER(SEARCH("عريش",AR299)),"مستشفى أبو عريش العام",IF(ISNUMBER(SEARCH("صامط",AR299)),"مستشفى صامطة العام",IF(ISNUMBER(SEARCH("بيش",AR299)),"مستشفى بيش العام",IF(ISNUMBER(SEARCH("فهد",AR299)),"مستشفى الملك فهد المركزي",AR299)))))))</f>
        <v/>
      </c>
    </row>
    <row r="300" spans="1: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2"/>
      <c r="Q300" s="2"/>
      <c r="R300" s="1"/>
      <c r="S300" s="1"/>
      <c r="T300" s="1"/>
      <c r="U300" s="1"/>
      <c r="V300" s="167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240"/>
      <c r="AJ300" s="240"/>
      <c r="AK300" s="240"/>
      <c r="AL300" s="240"/>
      <c r="AN300" s="240"/>
      <c r="AO300" s="240"/>
      <c r="AR300" s="240"/>
      <c r="AS300" s="241" t="str">
        <f>IF(AR300="","",IF(ISNUMBER(SEARCH("جازان",AR300)),"مستشفى جازان العام",IF(ISNUMBER(SEARCH("صبيا",AR300)),"مستشفى صبيا العام",IF(ISNUMBER(SEARCH("عريش",AR300)),"مستشفى أبو عريش العام",IF(ISNUMBER(SEARCH("صامط",AR300)),"مستشفى صامطة العام",IF(ISNUMBER(SEARCH("بيش",AR300)),"مستشفى بيش العام",IF(ISNUMBER(SEARCH("فهد",AR300)),"مستشفى الملك فهد المركزي",AR300)))))))</f>
        <v/>
      </c>
    </row>
    <row r="301" spans="1: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2"/>
      <c r="Q301" s="2"/>
      <c r="R301" s="1"/>
      <c r="S301" s="1"/>
      <c r="T301" s="1"/>
      <c r="U301" s="1"/>
      <c r="V301" s="167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240"/>
      <c r="AJ301" s="240"/>
      <c r="AK301" s="240"/>
      <c r="AL301" s="240"/>
      <c r="AN301" s="240"/>
      <c r="AO301" s="240"/>
      <c r="AR301" s="240"/>
    </row>
    <row r="302" spans="1: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2"/>
      <c r="Q302" s="2"/>
      <c r="R302" s="1"/>
      <c r="S302" s="1"/>
      <c r="T302" s="1"/>
      <c r="U302" s="1"/>
      <c r="V302" s="167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240"/>
      <c r="AJ302" s="240"/>
      <c r="AK302" s="240"/>
      <c r="AL302" s="240"/>
      <c r="AN302" s="240"/>
      <c r="AO302" s="240"/>
      <c r="AR302" s="240"/>
    </row>
    <row r="303" spans="1: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2"/>
      <c r="Q303" s="2"/>
      <c r="R303" s="1"/>
      <c r="S303" s="1"/>
      <c r="T303" s="1"/>
      <c r="U303" s="1"/>
      <c r="V303" s="167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240"/>
      <c r="AJ303" s="240"/>
      <c r="AK303" s="240"/>
      <c r="AL303" s="240"/>
      <c r="AN303" s="240"/>
      <c r="AO303" s="240"/>
      <c r="AR303" s="240"/>
    </row>
    <row r="304" spans="1: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2"/>
      <c r="Q304" s="2"/>
      <c r="R304" s="1"/>
      <c r="S304" s="1"/>
      <c r="T304" s="1"/>
      <c r="U304" s="1"/>
      <c r="V304" s="167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240"/>
      <c r="AJ304" s="240"/>
      <c r="AK304" s="240"/>
      <c r="AL304" s="240"/>
      <c r="AN304" s="240"/>
      <c r="AO304" s="240"/>
      <c r="AR304" s="240"/>
    </row>
    <row r="305" spans="1:4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2"/>
      <c r="Q305" s="2"/>
      <c r="R305" s="1"/>
      <c r="S305" s="1"/>
      <c r="T305" s="1"/>
      <c r="U305" s="1"/>
      <c r="V305" s="167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240"/>
      <c r="AJ305" s="240"/>
      <c r="AK305" s="240"/>
      <c r="AL305" s="240"/>
      <c r="AN305" s="240"/>
      <c r="AO305" s="240"/>
      <c r="AR305" s="240"/>
    </row>
    <row r="306" spans="1:4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2"/>
      <c r="Q306" s="2"/>
      <c r="R306" s="1"/>
      <c r="S306" s="1"/>
      <c r="T306" s="1"/>
      <c r="U306" s="1"/>
      <c r="V306" s="167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240"/>
      <c r="AJ306" s="240"/>
      <c r="AK306" s="240"/>
      <c r="AL306" s="240"/>
      <c r="AN306" s="240"/>
      <c r="AO306" s="240"/>
      <c r="AR306" s="240"/>
    </row>
    <row r="307" spans="1:4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"/>
      <c r="Q307" s="2"/>
      <c r="R307" s="1"/>
      <c r="S307" s="1"/>
      <c r="T307" s="1"/>
      <c r="U307" s="1"/>
      <c r="V307" s="167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240"/>
      <c r="AJ307" s="240"/>
      <c r="AK307" s="240"/>
      <c r="AL307" s="240"/>
      <c r="AN307" s="240"/>
      <c r="AO307" s="240"/>
      <c r="AR307" s="240"/>
    </row>
    <row r="308" spans="1:4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2"/>
      <c r="Q308" s="2"/>
      <c r="R308" s="1"/>
      <c r="S308" s="1"/>
      <c r="T308" s="1"/>
      <c r="U308" s="1"/>
      <c r="V308" s="167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240"/>
      <c r="AJ308" s="240"/>
      <c r="AK308" s="240"/>
      <c r="AL308" s="240"/>
      <c r="AN308" s="240"/>
      <c r="AO308" s="240"/>
      <c r="AR308" s="240"/>
    </row>
    <row r="309" spans="1:4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2"/>
      <c r="Q309" s="2"/>
      <c r="R309" s="1"/>
      <c r="S309" s="1"/>
      <c r="T309" s="1"/>
      <c r="U309" s="1"/>
      <c r="V309" s="167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240"/>
      <c r="AJ309" s="240"/>
      <c r="AK309" s="240"/>
      <c r="AL309" s="240"/>
      <c r="AN309" s="240"/>
      <c r="AO309" s="240"/>
      <c r="AR309" s="240"/>
    </row>
    <row r="310" spans="1:4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2"/>
      <c r="Q310" s="2"/>
      <c r="R310" s="1"/>
      <c r="S310" s="1"/>
      <c r="T310" s="1"/>
      <c r="U310" s="1"/>
      <c r="V310" s="167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240"/>
      <c r="AJ310" s="240"/>
      <c r="AK310" s="240"/>
      <c r="AL310" s="240"/>
      <c r="AN310" s="240"/>
      <c r="AO310" s="240"/>
      <c r="AR310" s="240"/>
    </row>
    <row r="311" spans="1:4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2"/>
      <c r="Q311" s="2"/>
      <c r="R311" s="1"/>
      <c r="S311" s="1"/>
      <c r="T311" s="1"/>
      <c r="U311" s="1"/>
      <c r="V311" s="167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240"/>
      <c r="AJ311" s="240"/>
      <c r="AK311" s="240"/>
      <c r="AL311" s="240"/>
      <c r="AN311" s="240"/>
      <c r="AO311" s="240"/>
      <c r="AR311" s="240"/>
    </row>
    <row r="312" spans="1:4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2"/>
      <c r="Q312" s="2"/>
      <c r="R312" s="1"/>
      <c r="S312" s="1"/>
      <c r="T312" s="1"/>
      <c r="U312" s="1"/>
      <c r="V312" s="167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240"/>
      <c r="AJ312" s="240"/>
      <c r="AK312" s="240"/>
      <c r="AL312" s="240"/>
      <c r="AN312" s="240"/>
      <c r="AO312" s="240"/>
      <c r="AR312" s="240"/>
    </row>
    <row r="313" spans="1:4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2"/>
      <c r="Q313" s="2"/>
      <c r="R313" s="1"/>
      <c r="S313" s="1"/>
      <c r="T313" s="1"/>
      <c r="U313" s="1"/>
      <c r="V313" s="167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240"/>
      <c r="AJ313" s="240"/>
      <c r="AK313" s="240"/>
      <c r="AL313" s="240"/>
      <c r="AN313" s="240"/>
      <c r="AO313" s="240"/>
      <c r="AP313" s="240"/>
      <c r="AQ313" s="240"/>
      <c r="AR313" s="240"/>
    </row>
  </sheetData>
  <conditionalFormatting sqref="AK2:AK267">
    <cfRule type="containsText" dxfId="59" priority="21" operator="containsText" text="ملتزم">
      <formula>NOT(ISERROR(SEARCH("ملتزم",AK2)))</formula>
    </cfRule>
    <cfRule type="containsText" dxfId="58" priority="22" operator="containsText" text="غير ملتزم">
      <formula>NOT(ISERROR(SEARCH("غير ملتزم",AK2)))</formula>
    </cfRule>
    <cfRule type="containsText" dxfId="57" priority="23" operator="containsText" text="بانتظار">
      <formula>NOT(ISERROR(SEARCH("بانتظار",AK2)))</formula>
    </cfRule>
  </conditionalFormatting>
  <conditionalFormatting sqref="AL2:AL265">
    <cfRule type="containsText" dxfId="56" priority="24" operator="containsText" text="حضرت">
      <formula>NOT(ISERROR(SEARCH("حضرت",AL2)))</formula>
    </cfRule>
    <cfRule type="containsText" dxfId="55" priority="25" operator="containsText" text="لم تحضر">
      <formula>NOT(ISERROR(SEARCH("لم تحضر",AL2)))</formula>
    </cfRule>
    <cfRule type="containsText" dxfId="54" priority="26" operator="containsText" text="بانتظار">
      <formula>NOT(ISERROR(SEARCH("بانتظار",AL2)))</formula>
    </cfRule>
  </conditionalFormatting>
  <conditionalFormatting sqref="AP107:AP164 AP166:AP228">
    <cfRule type="expression" dxfId="53" priority="15">
      <formula>$E107&lt;&gt;"Yes"</formula>
    </cfRule>
    <cfRule type="expression" dxfId="52" priority="16">
      <formula>$E107="Yes"</formula>
    </cfRule>
    <cfRule type="containsText" dxfId="51" priority="17" operator="containsText" text="نعم">
      <formula>NOT(ISERROR(SEARCH("نعم",AP107)))</formula>
    </cfRule>
    <cfRule type="containsText" dxfId="50" priority="18" operator="containsText" text="لا">
      <formula>NOT(ISERROR(SEARCH("لا",AP107)))</formula>
    </cfRule>
  </conditionalFormatting>
  <conditionalFormatting sqref="AQ111">
    <cfRule type="expression" dxfId="49" priority="11">
      <formula>$E111&lt;&gt;"Yes"</formula>
    </cfRule>
    <cfRule type="expression" dxfId="48" priority="12">
      <formula>$E111="Yes"</formula>
    </cfRule>
    <cfRule type="containsText" dxfId="47" priority="13" operator="containsText" text="نعم">
      <formula>NOT(ISERROR(SEARCH("نعم",AQ111)))</formula>
    </cfRule>
    <cfRule type="containsText" dxfId="46" priority="14" operator="containsText" text="لا">
      <formula>NOT(ISERROR(SEARCH("لا",AQ111)))</formula>
    </cfRule>
  </conditionalFormatting>
  <conditionalFormatting sqref="AQ121:AQ122">
    <cfRule type="expression" dxfId="45" priority="7">
      <formula>$E121&lt;&gt;"Yes"</formula>
    </cfRule>
    <cfRule type="expression" dxfId="44" priority="8">
      <formula>$E121="Yes"</formula>
    </cfRule>
    <cfRule type="containsText" dxfId="43" priority="9" operator="containsText" text="نعم">
      <formula>NOT(ISERROR(SEARCH("نعم",AQ121)))</formula>
    </cfRule>
    <cfRule type="containsText" dxfId="42" priority="10" operator="containsText" text="لا">
      <formula>NOT(ISERROR(SEARCH("لا",AQ121)))</formula>
    </cfRule>
  </conditionalFormatting>
  <conditionalFormatting sqref="AQ128">
    <cfRule type="expression" dxfId="41" priority="3">
      <formula>$E128&lt;&gt;"Yes"</formula>
    </cfRule>
    <cfRule type="expression" dxfId="40" priority="4">
      <formula>$E128="Yes"</formula>
    </cfRule>
    <cfRule type="containsText" dxfId="39" priority="5" operator="containsText" text="نعم">
      <formula>NOT(ISERROR(SEARCH("نعم",AQ128)))</formula>
    </cfRule>
    <cfRule type="containsText" dxfId="38" priority="6" operator="containsText" text="لا">
      <formula>NOT(ISERROR(SEARCH("لا",AQ128)))</formula>
    </cfRule>
  </conditionalFormatting>
  <dataValidations count="3">
    <dataValidation type="date" allowBlank="1" showInputMessage="1" showErrorMessage="1" sqref="AK1 AK268:AK271" xr:uid="{58615073-2B6D-48A1-87F8-31D2C8E91A8B}">
      <formula1>46023</formula1>
      <formula2>55153</formula2>
    </dataValidation>
    <dataValidation type="custom" allowBlank="1" showInputMessage="1" showErrorMessage="1" errorTitle="⚠️ غير مسموح" error="لا يمكن إدخال قيمة هنا!_x000a__x000a_هذا الحقل متاح فقط للمريضات عالية الخطورة للجلطات (VTE Risk = Yes)" promptTitle="💊 بدء استخدام الدواء" prompt="أدخل (نعم/لا) فقط إذا كانت المريضة عالية الخطورة للجلطات" sqref="AP185:AP228 AP107:AP121 AP166:AP183 AP123:AP128 AP130:AP164 AQ111 AQ121 AQ128" xr:uid="{AB23EDC0-95C2-4DE4-9DBA-B55C88D3270F}">
      <formula1>OR($E107="Yes", AP107="")</formula1>
    </dataValidation>
    <dataValidation type="list" allowBlank="1" showInputMessage="1" showErrorMessage="1" sqref="AL2:AL265" xr:uid="{D0858283-C59D-4CA6-B81D-896B64BC714C}">
      <formula1>"✅ حضرت,❌ لم تحضر,⏳ بانتظار"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D7F9-B343-42B8-87E9-999E7941F442}">
  <sheetPr>
    <tabColor rgb="FF9C27B0"/>
  </sheetPr>
  <dimension ref="A1:C20"/>
  <sheetViews>
    <sheetView rightToLeft="1" topLeftCell="A4" workbookViewId="0"/>
  </sheetViews>
  <sheetFormatPr defaultRowHeight="13.5"/>
  <cols>
    <col min="1" max="3" width="30" customWidth="1"/>
  </cols>
  <sheetData>
    <row r="1" spans="1:3">
      <c r="A1" s="57" t="s">
        <v>48</v>
      </c>
      <c r="B1" s="57" t="s">
        <v>2265</v>
      </c>
      <c r="C1" s="57" t="s">
        <v>2266</v>
      </c>
    </row>
    <row r="2" spans="1:3">
      <c r="A2" s="167" t="s">
        <v>367</v>
      </c>
      <c r="B2" s="167" t="s">
        <v>57</v>
      </c>
      <c r="C2" s="167" t="s">
        <v>2267</v>
      </c>
    </row>
    <row r="3" spans="1:3">
      <c r="A3" s="167" t="s">
        <v>427</v>
      </c>
      <c r="B3" s="167" t="s">
        <v>57</v>
      </c>
      <c r="C3" s="167" t="s">
        <v>2267</v>
      </c>
    </row>
    <row r="4" spans="1:3">
      <c r="A4" s="167" t="s">
        <v>375</v>
      </c>
      <c r="B4" s="167" t="s">
        <v>57</v>
      </c>
      <c r="C4" s="167" t="s">
        <v>2267</v>
      </c>
    </row>
    <row r="5" spans="1:3">
      <c r="A5" s="167" t="s">
        <v>445</v>
      </c>
      <c r="B5" s="167" t="s">
        <v>57</v>
      </c>
      <c r="C5" s="167" t="s">
        <v>2267</v>
      </c>
    </row>
    <row r="6" spans="1:3">
      <c r="A6" s="167" t="s">
        <v>362</v>
      </c>
      <c r="B6" s="167" t="s">
        <v>61</v>
      </c>
      <c r="C6" s="167" t="s">
        <v>2267</v>
      </c>
    </row>
    <row r="7" spans="1:3">
      <c r="A7" s="167" t="s">
        <v>425</v>
      </c>
      <c r="B7" s="167" t="s">
        <v>61</v>
      </c>
      <c r="C7" s="167" t="s">
        <v>2267</v>
      </c>
    </row>
    <row r="8" spans="1:3">
      <c r="A8" s="167" t="s">
        <v>496</v>
      </c>
      <c r="B8" s="167" t="s">
        <v>61</v>
      </c>
      <c r="C8" s="167" t="s">
        <v>2267</v>
      </c>
    </row>
    <row r="9" spans="1:3">
      <c r="A9" s="167" t="s">
        <v>419</v>
      </c>
      <c r="B9" s="167" t="s">
        <v>61</v>
      </c>
      <c r="C9" s="167" t="s">
        <v>2267</v>
      </c>
    </row>
    <row r="10" spans="1:3">
      <c r="A10" s="167" t="s">
        <v>423</v>
      </c>
      <c r="B10" s="167" t="s">
        <v>61</v>
      </c>
      <c r="C10" s="167" t="s">
        <v>2267</v>
      </c>
    </row>
    <row r="11" spans="1:3">
      <c r="A11" s="167" t="s">
        <v>2268</v>
      </c>
      <c r="B11" s="167" t="s">
        <v>61</v>
      </c>
      <c r="C11" s="167" t="s">
        <v>2267</v>
      </c>
    </row>
    <row r="12" spans="1:3">
      <c r="A12" s="167" t="s">
        <v>365</v>
      </c>
      <c r="B12" s="167" t="s">
        <v>53</v>
      </c>
      <c r="C12" s="167" t="s">
        <v>2267</v>
      </c>
    </row>
    <row r="13" spans="1:3">
      <c r="A13" s="167" t="s">
        <v>431</v>
      </c>
      <c r="B13" s="167" t="s">
        <v>53</v>
      </c>
      <c r="C13" s="167" t="s">
        <v>2267</v>
      </c>
    </row>
    <row r="14" spans="1:3">
      <c r="A14" s="167" t="s">
        <v>2269</v>
      </c>
      <c r="B14" s="167" t="s">
        <v>53</v>
      </c>
      <c r="C14" s="167" t="s">
        <v>2267</v>
      </c>
    </row>
    <row r="15" spans="1:3">
      <c r="A15" s="167" t="s">
        <v>2270</v>
      </c>
      <c r="B15" s="167" t="s">
        <v>53</v>
      </c>
      <c r="C15" s="167" t="s">
        <v>2267</v>
      </c>
    </row>
    <row r="16" spans="1:3">
      <c r="A16" s="167" t="s">
        <v>395</v>
      </c>
      <c r="B16" s="167" t="s">
        <v>65</v>
      </c>
      <c r="C16" s="167" t="s">
        <v>2267</v>
      </c>
    </row>
    <row r="17" spans="1:3">
      <c r="A17" s="167" t="s">
        <v>2271</v>
      </c>
      <c r="B17" s="167" t="s">
        <v>65</v>
      </c>
      <c r="C17" s="167" t="s">
        <v>2267</v>
      </c>
    </row>
    <row r="18" spans="1:3">
      <c r="A18" s="167" t="s">
        <v>2272</v>
      </c>
      <c r="B18" s="167" t="s">
        <v>65</v>
      </c>
      <c r="C18" s="167" t="s">
        <v>2267</v>
      </c>
    </row>
    <row r="19" spans="1:3">
      <c r="A19" s="167" t="s">
        <v>402</v>
      </c>
      <c r="B19" s="167" t="s">
        <v>67</v>
      </c>
      <c r="C19" s="167" t="s">
        <v>2267</v>
      </c>
    </row>
    <row r="20" spans="1:3">
      <c r="A20" s="167" t="s">
        <v>461</v>
      </c>
      <c r="B20" s="167" t="s">
        <v>67</v>
      </c>
      <c r="C20" s="167" t="s">
        <v>2267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CC37-EFA4-4E99-BBE2-3B2DE0EBEBFE}">
  <dimension ref="B2:Y163"/>
  <sheetViews>
    <sheetView rightToLeft="1" topLeftCell="K1" workbookViewId="0">
      <selection activeCell="Z6" sqref="Z6"/>
    </sheetView>
  </sheetViews>
  <sheetFormatPr defaultRowHeight="14.25" customHeight="1"/>
  <cols>
    <col min="4" max="4" width="37.25" bestFit="1" customWidth="1"/>
    <col min="5" max="5" width="34.625" bestFit="1" customWidth="1"/>
    <col min="7" max="7" width="4.5" bestFit="1" customWidth="1"/>
    <col min="11" max="11" width="48.25" customWidth="1"/>
    <col min="14" max="14" width="14.25" bestFit="1" customWidth="1"/>
    <col min="15" max="15" width="16.625" bestFit="1" customWidth="1"/>
    <col min="16" max="16" width="17" bestFit="1" customWidth="1"/>
    <col min="17" max="17" width="21.25" bestFit="1" customWidth="1"/>
    <col min="18" max="18" width="12.625" bestFit="1" customWidth="1"/>
    <col min="20" max="20" width="2.625" bestFit="1" customWidth="1"/>
    <col min="24" max="24" width="42" customWidth="1"/>
    <col min="25" max="25" width="32.25" customWidth="1"/>
  </cols>
  <sheetData>
    <row r="2" spans="2:25" ht="75">
      <c r="B2" s="349" t="s">
        <v>2273</v>
      </c>
      <c r="C2" s="349"/>
      <c r="D2" s="349"/>
      <c r="E2" s="349"/>
      <c r="F2" s="167"/>
      <c r="G2" s="357" t="s">
        <v>435</v>
      </c>
      <c r="H2" s="58" t="s">
        <v>2274</v>
      </c>
      <c r="I2" s="167"/>
      <c r="J2" s="356" t="s">
        <v>2275</v>
      </c>
      <c r="K2" s="356"/>
      <c r="L2" s="167"/>
      <c r="M2" s="167"/>
      <c r="N2" s="121" t="s">
        <v>2276</v>
      </c>
      <c r="O2" s="121" t="s">
        <v>2277</v>
      </c>
      <c r="P2" s="121" t="s">
        <v>2278</v>
      </c>
      <c r="Q2" s="121" t="s">
        <v>2279</v>
      </c>
      <c r="R2" s="121" t="s">
        <v>2280</v>
      </c>
      <c r="S2" s="121" t="s">
        <v>2281</v>
      </c>
      <c r="T2" s="167"/>
      <c r="U2" s="167"/>
      <c r="V2" s="167"/>
      <c r="W2" s="167"/>
      <c r="X2" s="167" t="s">
        <v>2282</v>
      </c>
      <c r="Y2" s="1" t="s">
        <v>2283</v>
      </c>
    </row>
    <row r="3" spans="2:25" ht="88.5">
      <c r="B3" s="350" t="s">
        <v>2284</v>
      </c>
      <c r="C3" s="350"/>
      <c r="D3" s="54" t="s">
        <v>2285</v>
      </c>
      <c r="E3" s="54" t="s">
        <v>2286</v>
      </c>
      <c r="F3" s="167"/>
      <c r="G3" s="357"/>
      <c r="H3" s="58" t="s">
        <v>2287</v>
      </c>
      <c r="I3" s="167"/>
      <c r="J3" s="71" t="s">
        <v>2288</v>
      </c>
      <c r="K3" s="71" t="s">
        <v>2289</v>
      </c>
      <c r="L3" s="167"/>
      <c r="M3" s="167"/>
      <c r="N3" s="167" t="s">
        <v>2290</v>
      </c>
      <c r="O3" s="167" t="s">
        <v>1478</v>
      </c>
      <c r="P3" s="167" t="s">
        <v>1479</v>
      </c>
      <c r="Q3" s="167" t="s">
        <v>2291</v>
      </c>
      <c r="R3" s="167" t="s">
        <v>2292</v>
      </c>
      <c r="S3" s="167" t="s">
        <v>2293</v>
      </c>
      <c r="T3" s="167" t="s">
        <v>1505</v>
      </c>
      <c r="U3" s="167"/>
      <c r="V3" s="167"/>
      <c r="W3" s="167"/>
      <c r="X3" s="167" t="s">
        <v>2294</v>
      </c>
      <c r="Y3" s="83" t="s">
        <v>2295</v>
      </c>
    </row>
    <row r="4" spans="2:25" ht="60">
      <c r="B4" s="351" t="s">
        <v>2296</v>
      </c>
      <c r="C4" s="352"/>
      <c r="D4" s="55" t="s">
        <v>57</v>
      </c>
      <c r="E4" s="56" t="s">
        <v>427</v>
      </c>
      <c r="F4" s="167"/>
      <c r="G4" s="357"/>
      <c r="H4" s="58" t="s">
        <v>2175</v>
      </c>
      <c r="I4" s="167"/>
      <c r="J4" s="72" t="s">
        <v>2297</v>
      </c>
      <c r="K4" s="73" t="s">
        <v>691</v>
      </c>
      <c r="L4" s="167"/>
      <c r="M4" s="167"/>
      <c r="N4" s="167" t="s">
        <v>2298</v>
      </c>
      <c r="O4" s="167" t="s">
        <v>1548</v>
      </c>
      <c r="P4" s="167" t="s">
        <v>1401</v>
      </c>
      <c r="Q4" s="167"/>
      <c r="R4" s="167" t="s">
        <v>2299</v>
      </c>
      <c r="S4" s="167" t="s">
        <v>2300</v>
      </c>
      <c r="T4" s="167" t="s">
        <v>1317</v>
      </c>
      <c r="U4" s="167"/>
      <c r="V4" s="167"/>
      <c r="W4" s="167"/>
      <c r="X4" s="167" t="s">
        <v>2301</v>
      </c>
      <c r="Y4" s="83" t="s">
        <v>2302</v>
      </c>
    </row>
    <row r="5" spans="2:25" ht="75">
      <c r="B5" s="351" t="s">
        <v>2296</v>
      </c>
      <c r="C5" s="352"/>
      <c r="D5" s="55" t="s">
        <v>57</v>
      </c>
      <c r="E5" s="56" t="s">
        <v>445</v>
      </c>
      <c r="F5" s="167"/>
      <c r="G5" s="357"/>
      <c r="H5" s="58" t="s">
        <v>2236</v>
      </c>
      <c r="I5" s="167"/>
      <c r="J5" s="72" t="s">
        <v>2297</v>
      </c>
      <c r="K5" s="73" t="s">
        <v>2303</v>
      </c>
      <c r="L5" s="167"/>
      <c r="M5" s="167"/>
      <c r="N5" s="167"/>
      <c r="O5" s="167" t="s">
        <v>2304</v>
      </c>
      <c r="P5" s="167" t="s">
        <v>1549</v>
      </c>
      <c r="Q5" s="167" t="s">
        <v>2305</v>
      </c>
      <c r="R5" s="167"/>
      <c r="S5" s="167"/>
      <c r="T5" s="167"/>
      <c r="U5" s="167"/>
      <c r="V5" s="167"/>
      <c r="W5" s="167"/>
      <c r="X5" s="167" t="s">
        <v>2306</v>
      </c>
      <c r="Y5" s="83" t="s">
        <v>2307</v>
      </c>
    </row>
    <row r="6" spans="2:25" ht="60">
      <c r="B6" s="351" t="s">
        <v>2296</v>
      </c>
      <c r="C6" s="352"/>
      <c r="D6" s="55" t="s">
        <v>61</v>
      </c>
      <c r="E6" s="56" t="s">
        <v>425</v>
      </c>
      <c r="F6" s="167"/>
      <c r="G6" s="357"/>
      <c r="H6" s="58" t="s">
        <v>2308</v>
      </c>
      <c r="I6" s="167"/>
      <c r="J6" s="72" t="s">
        <v>2297</v>
      </c>
      <c r="K6" s="73" t="s">
        <v>2309</v>
      </c>
      <c r="L6" s="167"/>
      <c r="M6" s="167"/>
      <c r="N6" s="167"/>
      <c r="O6" s="167" t="s">
        <v>2310</v>
      </c>
      <c r="P6" s="167" t="s">
        <v>2311</v>
      </c>
      <c r="Q6" s="167" t="s">
        <v>2312</v>
      </c>
      <c r="R6" s="167"/>
      <c r="S6" s="167"/>
      <c r="T6" s="167"/>
      <c r="U6" s="167"/>
      <c r="V6" s="167"/>
      <c r="W6" s="167"/>
      <c r="X6" s="167" t="s">
        <v>2313</v>
      </c>
      <c r="Y6" s="83"/>
    </row>
    <row r="7" spans="2:25" ht="45.75">
      <c r="B7" s="351" t="s">
        <v>2296</v>
      </c>
      <c r="C7" s="352"/>
      <c r="D7" s="55" t="s">
        <v>61</v>
      </c>
      <c r="E7" s="56" t="s">
        <v>553</v>
      </c>
      <c r="F7" s="167"/>
      <c r="G7" s="357"/>
      <c r="H7" s="58" t="s">
        <v>2314</v>
      </c>
      <c r="I7" s="167"/>
      <c r="J7" s="72" t="s">
        <v>2297</v>
      </c>
      <c r="K7" s="73" t="s">
        <v>2315</v>
      </c>
      <c r="L7" s="167"/>
      <c r="M7" s="167"/>
      <c r="N7" s="167"/>
      <c r="O7" s="167" t="s">
        <v>1512</v>
      </c>
      <c r="P7" s="167" t="s">
        <v>1468</v>
      </c>
      <c r="Q7" s="167"/>
      <c r="R7" s="167"/>
      <c r="S7" s="167"/>
      <c r="T7" s="167"/>
      <c r="U7" s="167"/>
      <c r="V7" s="167"/>
      <c r="W7" s="167"/>
      <c r="X7" s="167"/>
      <c r="Y7" s="122"/>
    </row>
    <row r="8" spans="2:25" ht="75">
      <c r="B8" s="351" t="s">
        <v>2296</v>
      </c>
      <c r="C8" s="352"/>
      <c r="D8" s="55" t="s">
        <v>1467</v>
      </c>
      <c r="E8" s="56" t="s">
        <v>431</v>
      </c>
      <c r="F8" s="167"/>
      <c r="G8" s="357"/>
      <c r="H8" s="58" t="s">
        <v>2316</v>
      </c>
      <c r="I8" s="167"/>
      <c r="J8" s="72" t="s">
        <v>2297</v>
      </c>
      <c r="K8" s="73" t="s">
        <v>2317</v>
      </c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22"/>
    </row>
    <row r="9" spans="2:25" ht="60">
      <c r="B9" s="351" t="s">
        <v>2296</v>
      </c>
      <c r="C9" s="352"/>
      <c r="D9" s="55" t="s">
        <v>1467</v>
      </c>
      <c r="E9" s="56" t="s">
        <v>2318</v>
      </c>
      <c r="F9" s="167"/>
      <c r="G9" s="357"/>
      <c r="H9" s="58" t="s">
        <v>2319</v>
      </c>
      <c r="I9" s="167"/>
      <c r="J9" s="72" t="s">
        <v>2297</v>
      </c>
      <c r="K9" s="73" t="s">
        <v>2320</v>
      </c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</row>
    <row r="10" spans="2:25" ht="75">
      <c r="B10" s="351" t="s">
        <v>2296</v>
      </c>
      <c r="C10" s="352"/>
      <c r="D10" s="55" t="s">
        <v>65</v>
      </c>
      <c r="E10" s="56" t="s">
        <v>435</v>
      </c>
      <c r="F10" s="167"/>
      <c r="G10" s="357"/>
      <c r="H10" s="58" t="s">
        <v>2321</v>
      </c>
      <c r="I10" s="167"/>
      <c r="J10" s="72" t="s">
        <v>2297</v>
      </c>
      <c r="K10" s="73" t="s">
        <v>2322</v>
      </c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</row>
    <row r="11" spans="2:25" ht="60">
      <c r="B11" s="351" t="s">
        <v>2296</v>
      </c>
      <c r="C11" s="352"/>
      <c r="D11" s="55" t="s">
        <v>67</v>
      </c>
      <c r="E11" s="56" t="s">
        <v>461</v>
      </c>
      <c r="F11" s="167"/>
      <c r="G11" s="357"/>
      <c r="H11" s="58" t="s">
        <v>2323</v>
      </c>
      <c r="I11" s="167"/>
      <c r="J11" s="72" t="s">
        <v>2297</v>
      </c>
      <c r="K11" s="73" t="s">
        <v>2324</v>
      </c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</row>
    <row r="12" spans="2:25" ht="60">
      <c r="B12" s="353" t="s">
        <v>2325</v>
      </c>
      <c r="C12" s="353"/>
      <c r="D12" s="55" t="s">
        <v>1496</v>
      </c>
      <c r="E12" s="55" t="s">
        <v>57</v>
      </c>
      <c r="F12" s="167"/>
      <c r="G12" s="357"/>
      <c r="H12" s="58" t="s">
        <v>2326</v>
      </c>
      <c r="I12" s="167"/>
      <c r="J12" s="72" t="s">
        <v>2297</v>
      </c>
      <c r="K12" s="73" t="s">
        <v>2327</v>
      </c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</row>
    <row r="13" spans="2:25" ht="75">
      <c r="B13" s="353" t="s">
        <v>2325</v>
      </c>
      <c r="C13" s="353"/>
      <c r="D13" s="55" t="s">
        <v>1496</v>
      </c>
      <c r="E13" s="55" t="s">
        <v>65</v>
      </c>
      <c r="F13" s="167"/>
      <c r="G13" s="357"/>
      <c r="H13" s="58" t="s">
        <v>2328</v>
      </c>
      <c r="I13" s="167"/>
      <c r="J13" s="72" t="s">
        <v>2297</v>
      </c>
      <c r="K13" s="73" t="s">
        <v>2329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</row>
    <row r="14" spans="2:25" ht="45.75">
      <c r="B14" s="353" t="s">
        <v>2325</v>
      </c>
      <c r="C14" s="353"/>
      <c r="D14" s="55" t="s">
        <v>1496</v>
      </c>
      <c r="E14" s="55" t="s">
        <v>61</v>
      </c>
      <c r="F14" s="167"/>
      <c r="G14" s="357"/>
      <c r="H14" s="58" t="s">
        <v>2330</v>
      </c>
      <c r="I14" s="167"/>
      <c r="J14" s="72" t="s">
        <v>2297</v>
      </c>
      <c r="K14" s="73" t="s">
        <v>2331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</row>
    <row r="15" spans="2:25" ht="75">
      <c r="B15" s="353" t="s">
        <v>2325</v>
      </c>
      <c r="C15" s="353"/>
      <c r="D15" s="55" t="s">
        <v>1496</v>
      </c>
      <c r="E15" s="55" t="s">
        <v>67</v>
      </c>
      <c r="F15" s="167"/>
      <c r="G15" s="357"/>
      <c r="H15" s="58" t="s">
        <v>1754</v>
      </c>
      <c r="I15" s="167"/>
      <c r="J15" s="72" t="s">
        <v>2297</v>
      </c>
      <c r="K15" s="73" t="s">
        <v>2332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</row>
    <row r="16" spans="2:25" ht="45.75">
      <c r="B16" s="353" t="s">
        <v>2325</v>
      </c>
      <c r="C16" s="353"/>
      <c r="D16" s="55" t="s">
        <v>1496</v>
      </c>
      <c r="E16" s="55" t="s">
        <v>1467</v>
      </c>
      <c r="F16" s="167"/>
      <c r="G16" s="357"/>
      <c r="H16" s="58" t="s">
        <v>1902</v>
      </c>
      <c r="I16" s="167"/>
      <c r="J16" s="72" t="s">
        <v>2297</v>
      </c>
      <c r="K16" s="73" t="s">
        <v>2333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</row>
    <row r="17" spans="7:11" ht="74.25">
      <c r="G17" s="357"/>
      <c r="H17" s="58" t="s">
        <v>2334</v>
      </c>
      <c r="I17" s="167"/>
      <c r="J17" s="72" t="s">
        <v>2297</v>
      </c>
      <c r="K17" s="73" t="s">
        <v>2335</v>
      </c>
    </row>
    <row r="18" spans="7:11" ht="74.25">
      <c r="G18" s="357"/>
      <c r="H18" s="58" t="s">
        <v>2336</v>
      </c>
      <c r="I18" s="167"/>
      <c r="J18" s="72" t="s">
        <v>2297</v>
      </c>
      <c r="K18" s="73" t="s">
        <v>953</v>
      </c>
    </row>
    <row r="19" spans="7:11" ht="74.25">
      <c r="G19" s="357"/>
      <c r="H19" s="58" t="s">
        <v>2337</v>
      </c>
      <c r="I19" s="167"/>
      <c r="J19" s="72" t="s">
        <v>2297</v>
      </c>
      <c r="K19" s="73" t="s">
        <v>1288</v>
      </c>
    </row>
    <row r="20" spans="7:11" ht="74.25">
      <c r="G20" s="357"/>
      <c r="H20" s="58" t="s">
        <v>2338</v>
      </c>
      <c r="I20" s="167"/>
      <c r="J20" s="72" t="s">
        <v>2297</v>
      </c>
      <c r="K20" s="73" t="s">
        <v>2339</v>
      </c>
    </row>
    <row r="21" spans="7:11" ht="88.5">
      <c r="G21" s="357"/>
      <c r="H21" s="58" t="s">
        <v>2340</v>
      </c>
      <c r="I21" s="167"/>
      <c r="J21" s="72" t="s">
        <v>2297</v>
      </c>
      <c r="K21" s="73" t="s">
        <v>2341</v>
      </c>
    </row>
    <row r="22" spans="7:11" ht="74.25">
      <c r="G22" s="357"/>
      <c r="H22" s="58" t="s">
        <v>1591</v>
      </c>
      <c r="I22" s="167"/>
      <c r="J22" s="72" t="s">
        <v>2297</v>
      </c>
      <c r="K22" s="73" t="s">
        <v>2342</v>
      </c>
    </row>
    <row r="23" spans="7:11" ht="74.25">
      <c r="G23" s="357"/>
      <c r="H23" s="58" t="s">
        <v>2343</v>
      </c>
      <c r="I23" s="167"/>
      <c r="J23" s="72" t="s">
        <v>2297</v>
      </c>
      <c r="K23" s="73" t="s">
        <v>2344</v>
      </c>
    </row>
    <row r="24" spans="7:11" ht="45">
      <c r="G24" s="357"/>
      <c r="H24" s="58" t="s">
        <v>2345</v>
      </c>
      <c r="I24" s="167"/>
      <c r="J24" s="72" t="s">
        <v>2297</v>
      </c>
      <c r="K24" s="73" t="s">
        <v>2346</v>
      </c>
    </row>
    <row r="25" spans="7:11" ht="74.25">
      <c r="G25" s="357"/>
      <c r="H25" s="58" t="s">
        <v>2347</v>
      </c>
      <c r="I25" s="167"/>
      <c r="J25" s="72" t="s">
        <v>2297</v>
      </c>
      <c r="K25" s="73" t="s">
        <v>2348</v>
      </c>
    </row>
    <row r="26" spans="7:11" ht="74.25">
      <c r="G26" s="357"/>
      <c r="H26" s="58" t="s">
        <v>2349</v>
      </c>
      <c r="I26" s="167"/>
      <c r="J26" s="72" t="s">
        <v>2297</v>
      </c>
      <c r="K26" s="73" t="s">
        <v>962</v>
      </c>
    </row>
    <row r="27" spans="7:11" ht="74.25">
      <c r="G27" s="357"/>
      <c r="H27" s="58" t="s">
        <v>2350</v>
      </c>
      <c r="I27" s="167"/>
      <c r="J27" s="72" t="s">
        <v>2297</v>
      </c>
      <c r="K27" s="73" t="s">
        <v>2351</v>
      </c>
    </row>
    <row r="28" spans="7:11" ht="74.25">
      <c r="G28" s="357"/>
      <c r="H28" s="58" t="s">
        <v>1747</v>
      </c>
      <c r="I28" s="167"/>
      <c r="J28" s="72" t="s">
        <v>2297</v>
      </c>
      <c r="K28" s="73" t="s">
        <v>2352</v>
      </c>
    </row>
    <row r="29" spans="7:11" ht="74.25">
      <c r="G29" s="357"/>
      <c r="H29" s="58" t="s">
        <v>2353</v>
      </c>
      <c r="I29" s="167"/>
      <c r="J29" s="72" t="s">
        <v>2297</v>
      </c>
      <c r="K29" s="73" t="s">
        <v>893</v>
      </c>
    </row>
    <row r="30" spans="7:11" ht="59.25">
      <c r="G30" s="357"/>
      <c r="H30" s="58" t="s">
        <v>2074</v>
      </c>
      <c r="I30" s="167"/>
      <c r="J30" s="72" t="s">
        <v>2297</v>
      </c>
      <c r="K30" s="73" t="s">
        <v>2354</v>
      </c>
    </row>
    <row r="31" spans="7:11" ht="88.5">
      <c r="G31" s="357"/>
      <c r="H31" s="58" t="s">
        <v>2355</v>
      </c>
      <c r="I31" s="167"/>
      <c r="J31" s="72" t="s">
        <v>2297</v>
      </c>
      <c r="K31" s="73" t="s">
        <v>2356</v>
      </c>
    </row>
    <row r="32" spans="7:11" ht="25.5">
      <c r="G32" s="59"/>
      <c r="H32" s="60"/>
      <c r="I32" s="167"/>
      <c r="J32" s="72" t="s">
        <v>2297</v>
      </c>
      <c r="K32" s="73" t="s">
        <v>2357</v>
      </c>
    </row>
    <row r="33" spans="7:11" ht="45">
      <c r="G33" s="354" t="s">
        <v>427</v>
      </c>
      <c r="H33" s="58" t="s">
        <v>2358</v>
      </c>
      <c r="I33" s="167"/>
      <c r="J33" s="72" t="s">
        <v>2297</v>
      </c>
      <c r="K33" s="73" t="s">
        <v>2359</v>
      </c>
    </row>
    <row r="34" spans="7:11" ht="74.25">
      <c r="G34" s="354"/>
      <c r="H34" s="58" t="s">
        <v>2360</v>
      </c>
      <c r="I34" s="167"/>
      <c r="J34" s="72" t="s">
        <v>2297</v>
      </c>
      <c r="K34" s="73" t="s">
        <v>2361</v>
      </c>
    </row>
    <row r="35" spans="7:11" ht="74.25">
      <c r="G35" s="354"/>
      <c r="H35" s="58" t="s">
        <v>2362</v>
      </c>
      <c r="I35" s="167"/>
      <c r="J35" s="72" t="s">
        <v>2297</v>
      </c>
      <c r="K35" s="73" t="s">
        <v>2363</v>
      </c>
    </row>
    <row r="36" spans="7:11" ht="74.25">
      <c r="G36" s="354"/>
      <c r="H36" s="58" t="s">
        <v>2364</v>
      </c>
      <c r="I36" s="167"/>
      <c r="J36" s="72" t="s">
        <v>2297</v>
      </c>
      <c r="K36" s="73" t="s">
        <v>2365</v>
      </c>
    </row>
    <row r="37" spans="7:11" ht="45">
      <c r="G37" s="354"/>
      <c r="H37" s="58" t="s">
        <v>1550</v>
      </c>
      <c r="I37" s="167"/>
      <c r="J37" s="72" t="s">
        <v>2297</v>
      </c>
      <c r="K37" s="73" t="s">
        <v>2366</v>
      </c>
    </row>
    <row r="38" spans="7:11" ht="59.25">
      <c r="G38" s="354"/>
      <c r="H38" s="58" t="s">
        <v>1659</v>
      </c>
      <c r="I38" s="167"/>
      <c r="J38" s="72" t="s">
        <v>2297</v>
      </c>
      <c r="K38" s="73" t="s">
        <v>2367</v>
      </c>
    </row>
    <row r="39" spans="7:11" ht="74.25">
      <c r="G39" s="354"/>
      <c r="H39" s="58" t="s">
        <v>2368</v>
      </c>
      <c r="I39" s="167"/>
      <c r="J39" s="72" t="s">
        <v>2297</v>
      </c>
      <c r="K39" s="73" t="s">
        <v>2369</v>
      </c>
    </row>
    <row r="40" spans="7:11" ht="59.25">
      <c r="G40" s="354"/>
      <c r="H40" s="58" t="s">
        <v>1480</v>
      </c>
      <c r="I40" s="167"/>
      <c r="J40" s="72" t="s">
        <v>2297</v>
      </c>
      <c r="K40" s="73" t="s">
        <v>859</v>
      </c>
    </row>
    <row r="41" spans="7:11" ht="59.25">
      <c r="G41" s="354"/>
      <c r="H41" s="58" t="s">
        <v>2370</v>
      </c>
      <c r="I41" s="167"/>
      <c r="J41" s="72" t="s">
        <v>2297</v>
      </c>
      <c r="K41" s="73" t="s">
        <v>2371</v>
      </c>
    </row>
    <row r="42" spans="7:11" ht="59.25">
      <c r="G42" s="354"/>
      <c r="H42" s="58" t="s">
        <v>2372</v>
      </c>
      <c r="I42" s="167"/>
      <c r="J42" s="72" t="s">
        <v>2297</v>
      </c>
      <c r="K42" s="73" t="s">
        <v>2373</v>
      </c>
    </row>
    <row r="43" spans="7:11" ht="59.25">
      <c r="G43" s="354"/>
      <c r="H43" s="58" t="s">
        <v>2374</v>
      </c>
      <c r="I43" s="167"/>
      <c r="J43" s="72" t="s">
        <v>2297</v>
      </c>
      <c r="K43" s="73" t="s">
        <v>2375</v>
      </c>
    </row>
    <row r="44" spans="7:11" ht="45">
      <c r="G44" s="354"/>
      <c r="H44" s="58" t="s">
        <v>1830</v>
      </c>
      <c r="I44" s="167"/>
      <c r="J44" s="72" t="s">
        <v>2297</v>
      </c>
      <c r="K44" s="73" t="s">
        <v>2376</v>
      </c>
    </row>
    <row r="45" spans="7:11" ht="74.25">
      <c r="G45" s="354"/>
      <c r="H45" s="58" t="s">
        <v>2377</v>
      </c>
      <c r="I45" s="167"/>
      <c r="J45" s="72" t="s">
        <v>2297</v>
      </c>
      <c r="K45" s="73" t="s">
        <v>2378</v>
      </c>
    </row>
    <row r="46" spans="7:11" ht="45">
      <c r="G46" s="354"/>
      <c r="H46" s="58" t="s">
        <v>2379</v>
      </c>
      <c r="I46" s="167"/>
      <c r="J46" s="72" t="s">
        <v>2297</v>
      </c>
      <c r="K46" s="73" t="s">
        <v>2380</v>
      </c>
    </row>
    <row r="47" spans="7:11" ht="74.25">
      <c r="G47" s="354"/>
      <c r="H47" s="58" t="s">
        <v>2381</v>
      </c>
      <c r="I47" s="167"/>
      <c r="J47" s="72" t="s">
        <v>2297</v>
      </c>
      <c r="K47" s="73" t="s">
        <v>2382</v>
      </c>
    </row>
    <row r="48" spans="7:11" ht="45">
      <c r="G48" s="354"/>
      <c r="H48" s="58" t="s">
        <v>2383</v>
      </c>
      <c r="I48" s="167"/>
      <c r="J48" s="72" t="s">
        <v>2297</v>
      </c>
      <c r="K48" s="73" t="s">
        <v>2384</v>
      </c>
    </row>
    <row r="49" spans="7:11" ht="45">
      <c r="G49" s="354"/>
      <c r="H49" s="58" t="s">
        <v>2385</v>
      </c>
      <c r="I49" s="167"/>
      <c r="J49" s="72" t="s">
        <v>2297</v>
      </c>
      <c r="K49" s="73" t="s">
        <v>2386</v>
      </c>
    </row>
    <row r="50" spans="7:11" ht="59.25">
      <c r="G50" s="354"/>
      <c r="H50" s="58" t="s">
        <v>2387</v>
      </c>
      <c r="I50" s="167"/>
      <c r="J50" s="72" t="s">
        <v>2297</v>
      </c>
      <c r="K50" s="73" t="s">
        <v>2388</v>
      </c>
    </row>
    <row r="51" spans="7:11" ht="59.25">
      <c r="G51" s="354"/>
      <c r="H51" s="58" t="s">
        <v>2389</v>
      </c>
      <c r="I51" s="167"/>
      <c r="J51" s="72" t="s">
        <v>2297</v>
      </c>
      <c r="K51" s="73" t="s">
        <v>2390</v>
      </c>
    </row>
    <row r="52" spans="7:11" ht="74.25">
      <c r="G52" s="354"/>
      <c r="H52" s="58" t="s">
        <v>2391</v>
      </c>
      <c r="I52" s="167"/>
      <c r="J52" s="72" t="s">
        <v>2297</v>
      </c>
      <c r="K52" s="73" t="s">
        <v>2392</v>
      </c>
    </row>
    <row r="53" spans="7:11" ht="59.25">
      <c r="G53" s="354"/>
      <c r="H53" s="58" t="s">
        <v>2393</v>
      </c>
      <c r="I53" s="167"/>
      <c r="J53" s="72" t="s">
        <v>2297</v>
      </c>
      <c r="K53" s="73" t="s">
        <v>2394</v>
      </c>
    </row>
    <row r="54" spans="7:11" ht="45">
      <c r="G54" s="354"/>
      <c r="H54" s="58" t="s">
        <v>2395</v>
      </c>
      <c r="I54" s="167"/>
      <c r="J54" s="72" t="s">
        <v>2297</v>
      </c>
      <c r="K54" s="73" t="s">
        <v>2396</v>
      </c>
    </row>
    <row r="55" spans="7:11" ht="45">
      <c r="G55" s="354"/>
      <c r="H55" s="58" t="s">
        <v>2397</v>
      </c>
      <c r="I55" s="167"/>
      <c r="J55" s="72" t="s">
        <v>2297</v>
      </c>
      <c r="K55" s="73" t="s">
        <v>2398</v>
      </c>
    </row>
    <row r="56" spans="7:11" ht="74.25">
      <c r="G56" s="354"/>
      <c r="H56" s="58" t="s">
        <v>2399</v>
      </c>
      <c r="I56" s="167"/>
      <c r="J56" s="72" t="s">
        <v>2297</v>
      </c>
      <c r="K56" s="73" t="s">
        <v>2400</v>
      </c>
    </row>
    <row r="57" spans="7:11" ht="74.25">
      <c r="G57" s="354"/>
      <c r="H57" s="58" t="s">
        <v>2401</v>
      </c>
      <c r="I57" s="167"/>
      <c r="J57" s="72" t="s">
        <v>2297</v>
      </c>
      <c r="K57" s="73" t="s">
        <v>2402</v>
      </c>
    </row>
    <row r="58" spans="7:11" ht="59.25">
      <c r="G58" s="354"/>
      <c r="H58" s="58" t="s">
        <v>2403</v>
      </c>
      <c r="I58" s="167"/>
      <c r="J58" s="72" t="s">
        <v>2297</v>
      </c>
      <c r="K58" s="73" t="s">
        <v>2404</v>
      </c>
    </row>
    <row r="59" spans="7:11" ht="59.25">
      <c r="G59" s="354"/>
      <c r="H59" s="58" t="s">
        <v>2405</v>
      </c>
      <c r="I59" s="167"/>
      <c r="J59" s="72" t="s">
        <v>2297</v>
      </c>
      <c r="K59" s="73" t="s">
        <v>2406</v>
      </c>
    </row>
    <row r="60" spans="7:11" ht="74.25">
      <c r="G60" s="354"/>
      <c r="H60" s="58" t="s">
        <v>2407</v>
      </c>
      <c r="I60" s="167"/>
      <c r="J60" s="72" t="s">
        <v>2297</v>
      </c>
      <c r="K60" s="73" t="s">
        <v>2408</v>
      </c>
    </row>
    <row r="61" spans="7:11" ht="74.25">
      <c r="G61" s="354"/>
      <c r="H61" s="58" t="s">
        <v>1638</v>
      </c>
      <c r="I61" s="167"/>
      <c r="J61" s="72" t="s">
        <v>2297</v>
      </c>
      <c r="K61" s="73" t="s">
        <v>2409</v>
      </c>
    </row>
    <row r="62" spans="7:11" ht="59.25">
      <c r="G62" s="354"/>
      <c r="H62" s="58" t="s">
        <v>2410</v>
      </c>
      <c r="I62" s="167"/>
      <c r="J62" s="72" t="s">
        <v>2297</v>
      </c>
      <c r="K62" s="73" t="s">
        <v>2411</v>
      </c>
    </row>
    <row r="63" spans="7:11" ht="25.5">
      <c r="G63" s="59"/>
      <c r="H63" s="60"/>
      <c r="I63" s="167"/>
      <c r="J63" s="72" t="s">
        <v>2297</v>
      </c>
      <c r="K63" s="73" t="s">
        <v>2412</v>
      </c>
    </row>
    <row r="64" spans="7:11" ht="45">
      <c r="G64" s="354" t="s">
        <v>425</v>
      </c>
      <c r="H64" s="58" t="s">
        <v>2413</v>
      </c>
      <c r="I64" s="167"/>
      <c r="J64" s="72" t="s">
        <v>2297</v>
      </c>
      <c r="K64" s="73" t="s">
        <v>2414</v>
      </c>
    </row>
    <row r="65" spans="7:11" ht="74.25">
      <c r="G65" s="354"/>
      <c r="H65" s="58" t="s">
        <v>2415</v>
      </c>
      <c r="I65" s="167"/>
      <c r="J65" s="72" t="s">
        <v>2297</v>
      </c>
      <c r="K65" s="73" t="s">
        <v>2416</v>
      </c>
    </row>
    <row r="66" spans="7:11" ht="88.5">
      <c r="G66" s="354"/>
      <c r="H66" s="58" t="s">
        <v>2084</v>
      </c>
      <c r="I66" s="167"/>
      <c r="J66" s="72" t="s">
        <v>2297</v>
      </c>
      <c r="K66" s="73" t="s">
        <v>2417</v>
      </c>
    </row>
    <row r="67" spans="7:11" ht="88.5">
      <c r="G67" s="354"/>
      <c r="H67" s="58" t="s">
        <v>2418</v>
      </c>
      <c r="I67" s="167"/>
      <c r="J67" s="72" t="s">
        <v>2297</v>
      </c>
      <c r="K67" s="73" t="s">
        <v>2419</v>
      </c>
    </row>
    <row r="68" spans="7:11" ht="74.25">
      <c r="G68" s="354"/>
      <c r="H68" s="58" t="s">
        <v>1488</v>
      </c>
      <c r="I68" s="167"/>
      <c r="J68" s="72" t="s">
        <v>2297</v>
      </c>
      <c r="K68" s="73" t="s">
        <v>2420</v>
      </c>
    </row>
    <row r="69" spans="7:11" ht="59.25">
      <c r="G69" s="354"/>
      <c r="H69" s="58" t="s">
        <v>2421</v>
      </c>
      <c r="I69" s="167"/>
      <c r="J69" s="72" t="s">
        <v>2297</v>
      </c>
      <c r="K69" s="73" t="s">
        <v>2422</v>
      </c>
    </row>
    <row r="70" spans="7:11" ht="74.25">
      <c r="G70" s="354"/>
      <c r="H70" s="58" t="s">
        <v>1568</v>
      </c>
      <c r="I70" s="167"/>
      <c r="J70" s="72" t="s">
        <v>2297</v>
      </c>
      <c r="K70" s="73" t="s">
        <v>2423</v>
      </c>
    </row>
    <row r="71" spans="7:11" ht="74.25">
      <c r="G71" s="354"/>
      <c r="H71" s="58" t="s">
        <v>1513</v>
      </c>
      <c r="I71" s="167"/>
      <c r="J71" s="72" t="s">
        <v>2297</v>
      </c>
      <c r="K71" s="73" t="s">
        <v>2424</v>
      </c>
    </row>
    <row r="72" spans="7:11" ht="59.25">
      <c r="G72" s="354"/>
      <c r="H72" s="58" t="s">
        <v>2425</v>
      </c>
      <c r="I72" s="167"/>
      <c r="J72" s="72" t="s">
        <v>2297</v>
      </c>
      <c r="K72" s="73" t="s">
        <v>2426</v>
      </c>
    </row>
    <row r="73" spans="7:11" ht="74.25">
      <c r="G73" s="354"/>
      <c r="H73" s="58" t="s">
        <v>2427</v>
      </c>
      <c r="I73" s="167"/>
      <c r="J73" s="72" t="s">
        <v>2297</v>
      </c>
      <c r="K73" s="73" t="s">
        <v>2428</v>
      </c>
    </row>
    <row r="74" spans="7:11" ht="88.5">
      <c r="G74" s="354"/>
      <c r="H74" s="58" t="s">
        <v>2429</v>
      </c>
      <c r="I74" s="167"/>
      <c r="J74" s="72" t="s">
        <v>2297</v>
      </c>
      <c r="K74" s="73" t="s">
        <v>2430</v>
      </c>
    </row>
    <row r="75" spans="7:11" ht="59.25">
      <c r="G75" s="354"/>
      <c r="H75" s="58" t="s">
        <v>2431</v>
      </c>
      <c r="I75" s="167"/>
      <c r="J75" s="72" t="s">
        <v>2297</v>
      </c>
      <c r="K75" s="73" t="s">
        <v>2432</v>
      </c>
    </row>
    <row r="76" spans="7:11" ht="74.25">
      <c r="G76" s="354"/>
      <c r="H76" s="58" t="s">
        <v>2433</v>
      </c>
      <c r="I76" s="167"/>
      <c r="J76" s="72" t="s">
        <v>2297</v>
      </c>
      <c r="K76" s="73" t="s">
        <v>2434</v>
      </c>
    </row>
    <row r="77" spans="7:11" ht="74.25">
      <c r="G77" s="354"/>
      <c r="H77" s="58" t="s">
        <v>1459</v>
      </c>
      <c r="I77" s="167"/>
      <c r="J77" s="72" t="s">
        <v>2297</v>
      </c>
      <c r="K77" s="73" t="s">
        <v>2435</v>
      </c>
    </row>
    <row r="78" spans="7:11" ht="45">
      <c r="G78" s="354"/>
      <c r="H78" s="58" t="s">
        <v>2436</v>
      </c>
      <c r="I78" s="167"/>
      <c r="J78" s="72" t="s">
        <v>2297</v>
      </c>
      <c r="K78" s="73" t="s">
        <v>2437</v>
      </c>
    </row>
    <row r="79" spans="7:11" ht="88.5">
      <c r="G79" s="354"/>
      <c r="H79" s="58" t="s">
        <v>2438</v>
      </c>
      <c r="I79" s="167"/>
      <c r="J79" s="72" t="s">
        <v>2297</v>
      </c>
      <c r="K79" s="73" t="s">
        <v>2439</v>
      </c>
    </row>
    <row r="80" spans="7:11" ht="74.25">
      <c r="G80" s="354"/>
      <c r="H80" s="58" t="s">
        <v>2440</v>
      </c>
      <c r="I80" s="167"/>
      <c r="J80" s="72" t="s">
        <v>2297</v>
      </c>
      <c r="K80" s="73" t="s">
        <v>2441</v>
      </c>
    </row>
    <row r="81" spans="7:11" ht="59.25">
      <c r="G81" s="354"/>
      <c r="H81" s="58" t="s">
        <v>2442</v>
      </c>
      <c r="I81" s="167"/>
      <c r="J81" s="72" t="s">
        <v>2297</v>
      </c>
      <c r="K81" s="73" t="s">
        <v>2443</v>
      </c>
    </row>
    <row r="82" spans="7:11" ht="74.25">
      <c r="G82" s="354"/>
      <c r="H82" s="58" t="s">
        <v>2444</v>
      </c>
      <c r="I82" s="167"/>
      <c r="J82" s="72" t="s">
        <v>2297</v>
      </c>
      <c r="K82" s="73" t="s">
        <v>2445</v>
      </c>
    </row>
    <row r="83" spans="7:11" ht="59.25">
      <c r="G83" s="354"/>
      <c r="H83" s="58" t="s">
        <v>2446</v>
      </c>
      <c r="I83" s="167"/>
      <c r="J83" s="72" t="s">
        <v>2297</v>
      </c>
      <c r="K83" s="73" t="s">
        <v>2447</v>
      </c>
    </row>
    <row r="84" spans="7:11" ht="74.25">
      <c r="G84" s="354"/>
      <c r="H84" s="58" t="s">
        <v>2448</v>
      </c>
      <c r="I84" s="167"/>
      <c r="J84" s="72" t="s">
        <v>2297</v>
      </c>
      <c r="K84" s="73" t="s">
        <v>2449</v>
      </c>
    </row>
    <row r="85" spans="7:11" ht="74.25">
      <c r="G85" s="354"/>
      <c r="H85" s="58" t="s">
        <v>2450</v>
      </c>
      <c r="I85" s="167"/>
      <c r="J85" s="72" t="s">
        <v>2297</v>
      </c>
      <c r="K85" s="73" t="s">
        <v>2451</v>
      </c>
    </row>
    <row r="86" spans="7:11" ht="59.25">
      <c r="G86" s="354"/>
      <c r="H86" s="58" t="s">
        <v>2452</v>
      </c>
      <c r="I86" s="167"/>
      <c r="J86" s="72" t="s">
        <v>2297</v>
      </c>
      <c r="K86" s="73" t="s">
        <v>2453</v>
      </c>
    </row>
    <row r="87" spans="7:11" ht="59.25">
      <c r="G87" s="354"/>
      <c r="H87" s="58" t="s">
        <v>2454</v>
      </c>
      <c r="I87" s="167"/>
      <c r="J87" s="72" t="s">
        <v>2297</v>
      </c>
      <c r="K87" s="73" t="s">
        <v>2455</v>
      </c>
    </row>
    <row r="88" spans="7:11" ht="74.25">
      <c r="G88" s="354"/>
      <c r="H88" s="58" t="s">
        <v>2456</v>
      </c>
      <c r="I88" s="167"/>
      <c r="J88" s="72" t="s">
        <v>2297</v>
      </c>
      <c r="K88" s="73" t="s">
        <v>2457</v>
      </c>
    </row>
    <row r="89" spans="7:11" ht="74.25">
      <c r="G89" s="354"/>
      <c r="H89" s="58" t="s">
        <v>2458</v>
      </c>
      <c r="I89" s="167"/>
      <c r="J89" s="72" t="s">
        <v>2297</v>
      </c>
      <c r="K89" s="73" t="s">
        <v>2459</v>
      </c>
    </row>
    <row r="90" spans="7:11" ht="74.25">
      <c r="G90" s="354"/>
      <c r="H90" s="58" t="s">
        <v>2460</v>
      </c>
      <c r="I90" s="167"/>
      <c r="J90" s="72" t="s">
        <v>2297</v>
      </c>
      <c r="K90" s="73" t="s">
        <v>2461</v>
      </c>
    </row>
    <row r="91" spans="7:11" ht="59.25">
      <c r="G91" s="354"/>
      <c r="H91" s="58" t="s">
        <v>1666</v>
      </c>
      <c r="I91" s="167"/>
      <c r="J91" s="72" t="s">
        <v>2297</v>
      </c>
      <c r="K91" s="73" t="s">
        <v>2462</v>
      </c>
    </row>
    <row r="92" spans="7:11" ht="74.25">
      <c r="G92" s="354"/>
      <c r="H92" s="58" t="s">
        <v>2463</v>
      </c>
      <c r="I92" s="167"/>
      <c r="J92" s="72" t="s">
        <v>2297</v>
      </c>
      <c r="K92" s="73" t="s">
        <v>2464</v>
      </c>
    </row>
    <row r="93" spans="7:11" ht="45">
      <c r="G93" s="354"/>
      <c r="H93" s="58" t="s">
        <v>2465</v>
      </c>
      <c r="I93" s="167"/>
      <c r="J93" s="72" t="s">
        <v>2297</v>
      </c>
      <c r="K93" s="73" t="s">
        <v>2466</v>
      </c>
    </row>
    <row r="94" spans="7:11" ht="25.5">
      <c r="G94" s="59"/>
      <c r="H94" s="60"/>
      <c r="I94" s="167"/>
      <c r="J94" s="72" t="s">
        <v>2297</v>
      </c>
      <c r="K94" s="73" t="s">
        <v>2467</v>
      </c>
    </row>
    <row r="95" spans="7:11" ht="45">
      <c r="G95" s="354" t="s">
        <v>461</v>
      </c>
      <c r="H95" s="58" t="s">
        <v>2468</v>
      </c>
      <c r="I95" s="167"/>
      <c r="J95" s="74"/>
      <c r="K95" s="74"/>
    </row>
    <row r="96" spans="7:11" ht="59.25">
      <c r="G96" s="354"/>
      <c r="H96" s="58" t="s">
        <v>2469</v>
      </c>
      <c r="I96" s="167"/>
      <c r="J96" s="72" t="s">
        <v>2297</v>
      </c>
      <c r="K96" s="73" t="s">
        <v>2470</v>
      </c>
    </row>
    <row r="97" spans="7:11" ht="45">
      <c r="G97" s="354"/>
      <c r="H97" s="58" t="s">
        <v>2471</v>
      </c>
      <c r="I97" s="167"/>
      <c r="J97" s="72" t="s">
        <v>2297</v>
      </c>
      <c r="K97" s="73" t="s">
        <v>2472</v>
      </c>
    </row>
    <row r="98" spans="7:11" ht="74.25">
      <c r="G98" s="354"/>
      <c r="H98" s="58" t="s">
        <v>2473</v>
      </c>
      <c r="I98" s="167"/>
      <c r="J98" s="72" t="s">
        <v>2297</v>
      </c>
      <c r="K98" s="73" t="s">
        <v>2474</v>
      </c>
    </row>
    <row r="99" spans="7:11" ht="74.25">
      <c r="G99" s="354"/>
      <c r="H99" s="58" t="s">
        <v>2475</v>
      </c>
      <c r="I99" s="167"/>
      <c r="J99" s="72" t="s">
        <v>2297</v>
      </c>
      <c r="K99" s="73" t="s">
        <v>2476</v>
      </c>
    </row>
    <row r="100" spans="7:11" ht="74.25">
      <c r="G100" s="354"/>
      <c r="H100" s="58" t="s">
        <v>2477</v>
      </c>
      <c r="I100" s="167"/>
      <c r="J100" s="72" t="s">
        <v>2297</v>
      </c>
      <c r="K100" s="73" t="s">
        <v>2478</v>
      </c>
    </row>
    <row r="101" spans="7:11" ht="74.25">
      <c r="G101" s="354"/>
      <c r="H101" s="58" t="s">
        <v>2479</v>
      </c>
      <c r="I101" s="167"/>
      <c r="J101" s="72" t="s">
        <v>2297</v>
      </c>
      <c r="K101" s="73" t="s">
        <v>2480</v>
      </c>
    </row>
    <row r="102" spans="7:11" ht="59.25">
      <c r="G102" s="354"/>
      <c r="H102" s="58" t="s">
        <v>2481</v>
      </c>
      <c r="I102" s="167"/>
      <c r="J102" s="72" t="s">
        <v>2297</v>
      </c>
      <c r="K102" s="73" t="s">
        <v>2482</v>
      </c>
    </row>
    <row r="103" spans="7:11" ht="74.25">
      <c r="G103" s="354"/>
      <c r="H103" s="58" t="s">
        <v>2483</v>
      </c>
      <c r="I103" s="167"/>
      <c r="J103" s="72" t="s">
        <v>2297</v>
      </c>
      <c r="K103" s="73" t="s">
        <v>2484</v>
      </c>
    </row>
    <row r="104" spans="7:11" ht="45">
      <c r="G104" s="354"/>
      <c r="H104" s="58" t="s">
        <v>1612</v>
      </c>
      <c r="I104" s="167"/>
      <c r="J104" s="72" t="s">
        <v>2297</v>
      </c>
      <c r="K104" s="73" t="s">
        <v>2485</v>
      </c>
    </row>
    <row r="105" spans="7:11" ht="74.25">
      <c r="G105" s="354"/>
      <c r="H105" s="58" t="s">
        <v>2486</v>
      </c>
      <c r="I105" s="167"/>
      <c r="J105" s="72" t="s">
        <v>2297</v>
      </c>
      <c r="K105" s="73" t="s">
        <v>2487</v>
      </c>
    </row>
    <row r="106" spans="7:11" ht="59.25">
      <c r="G106" s="354"/>
      <c r="H106" s="58" t="s">
        <v>2488</v>
      </c>
      <c r="I106" s="167"/>
      <c r="J106" s="72" t="s">
        <v>2297</v>
      </c>
      <c r="K106" s="73" t="s">
        <v>2489</v>
      </c>
    </row>
    <row r="107" spans="7:11" ht="74.25">
      <c r="G107" s="354"/>
      <c r="H107" s="58" t="s">
        <v>2490</v>
      </c>
      <c r="I107" s="167"/>
      <c r="J107" s="72" t="s">
        <v>2297</v>
      </c>
      <c r="K107" s="73" t="s">
        <v>2491</v>
      </c>
    </row>
    <row r="108" spans="7:11" ht="45">
      <c r="G108" s="354"/>
      <c r="H108" s="58" t="s">
        <v>2492</v>
      </c>
      <c r="I108" s="167"/>
      <c r="J108" s="72" t="s">
        <v>2297</v>
      </c>
      <c r="K108" s="73" t="s">
        <v>2493</v>
      </c>
    </row>
    <row r="109" spans="7:11" ht="74.25">
      <c r="G109" s="354"/>
      <c r="H109" s="58" t="s">
        <v>2494</v>
      </c>
      <c r="I109" s="167"/>
      <c r="J109" s="72" t="s">
        <v>2297</v>
      </c>
      <c r="K109" s="73" t="s">
        <v>2495</v>
      </c>
    </row>
    <row r="110" spans="7:11" ht="74.25">
      <c r="G110" s="354"/>
      <c r="H110" s="58" t="s">
        <v>2496</v>
      </c>
      <c r="I110" s="167"/>
      <c r="J110" s="72" t="s">
        <v>2297</v>
      </c>
      <c r="K110" s="73" t="s">
        <v>2497</v>
      </c>
    </row>
    <row r="111" spans="7:11" ht="74.25">
      <c r="G111" s="354"/>
      <c r="H111" s="58" t="s">
        <v>2498</v>
      </c>
      <c r="I111" s="167"/>
      <c r="J111" s="74"/>
      <c r="K111" s="74"/>
    </row>
    <row r="112" spans="7:11" ht="59.25">
      <c r="G112" s="354"/>
      <c r="H112" s="58" t="s">
        <v>2499</v>
      </c>
      <c r="I112" s="167"/>
      <c r="J112" s="75" t="s">
        <v>2500</v>
      </c>
      <c r="K112" s="73" t="s">
        <v>2331</v>
      </c>
    </row>
    <row r="113" spans="7:11" ht="74.25">
      <c r="G113" s="354"/>
      <c r="H113" s="58" t="s">
        <v>2501</v>
      </c>
      <c r="I113" s="167"/>
      <c r="J113" s="75" t="s">
        <v>2325</v>
      </c>
      <c r="K113" s="73" t="s">
        <v>2502</v>
      </c>
    </row>
    <row r="114" spans="7:11" ht="45">
      <c r="G114" s="354"/>
      <c r="H114" s="58" t="s">
        <v>2503</v>
      </c>
      <c r="I114" s="167"/>
      <c r="J114" s="75" t="s">
        <v>2325</v>
      </c>
      <c r="K114" s="73" t="s">
        <v>2504</v>
      </c>
    </row>
    <row r="115" spans="7:11" ht="59.25">
      <c r="G115" s="354"/>
      <c r="H115" s="58" t="s">
        <v>2505</v>
      </c>
      <c r="I115" s="167"/>
      <c r="J115" s="75" t="s">
        <v>2325</v>
      </c>
      <c r="K115" s="73" t="s">
        <v>2506</v>
      </c>
    </row>
    <row r="116" spans="7:11" ht="59.25">
      <c r="G116" s="354"/>
      <c r="H116" s="58" t="s">
        <v>2507</v>
      </c>
      <c r="I116" s="167"/>
      <c r="J116" s="75" t="s">
        <v>2325</v>
      </c>
      <c r="K116" s="73" t="s">
        <v>2508</v>
      </c>
    </row>
    <row r="117" spans="7:11" ht="45">
      <c r="G117" s="354"/>
      <c r="H117" s="58" t="s">
        <v>1964</v>
      </c>
      <c r="I117" s="167"/>
      <c r="J117" s="75" t="s">
        <v>2325</v>
      </c>
      <c r="K117" s="73" t="s">
        <v>2509</v>
      </c>
    </row>
    <row r="118" spans="7:11" ht="45">
      <c r="G118" s="354"/>
      <c r="H118" s="58" t="s">
        <v>2089</v>
      </c>
      <c r="I118" s="167"/>
      <c r="J118" s="75" t="s">
        <v>2325</v>
      </c>
      <c r="K118" s="73" t="s">
        <v>2510</v>
      </c>
    </row>
    <row r="119" spans="7:11" ht="59.25">
      <c r="G119" s="354"/>
      <c r="H119" s="58" t="s">
        <v>1854</v>
      </c>
      <c r="I119" s="167"/>
      <c r="J119" s="76" t="s">
        <v>2325</v>
      </c>
      <c r="K119" s="77" t="s">
        <v>2511</v>
      </c>
    </row>
    <row r="120" spans="7:11" ht="25.5">
      <c r="G120" s="59"/>
      <c r="H120" s="60"/>
      <c r="I120" s="167"/>
      <c r="J120" s="167"/>
      <c r="K120" s="167"/>
    </row>
    <row r="121" spans="7:11" ht="74.25">
      <c r="G121" s="354" t="s">
        <v>431</v>
      </c>
      <c r="H121" s="58" t="s">
        <v>1870</v>
      </c>
      <c r="I121" s="167"/>
      <c r="J121" s="167"/>
      <c r="K121" s="167"/>
    </row>
    <row r="122" spans="7:11" ht="45">
      <c r="G122" s="354"/>
      <c r="H122" s="58" t="s">
        <v>2512</v>
      </c>
      <c r="I122" s="167"/>
      <c r="J122" s="167"/>
      <c r="K122" s="167"/>
    </row>
    <row r="123" spans="7:11" ht="74.25">
      <c r="G123" s="354"/>
      <c r="H123" s="58" t="s">
        <v>1582</v>
      </c>
      <c r="I123" s="167"/>
      <c r="J123" s="167"/>
      <c r="K123" s="167"/>
    </row>
    <row r="124" spans="7:11" ht="45">
      <c r="G124" s="354"/>
      <c r="H124" s="58" t="s">
        <v>1646</v>
      </c>
      <c r="I124" s="167"/>
      <c r="J124" s="167"/>
      <c r="K124" s="167"/>
    </row>
    <row r="125" spans="7:11" ht="74.25">
      <c r="G125" s="354"/>
      <c r="H125" s="58" t="s">
        <v>1597</v>
      </c>
      <c r="I125" s="167"/>
      <c r="J125" s="167"/>
      <c r="K125" s="167"/>
    </row>
    <row r="126" spans="7:11" ht="74.25">
      <c r="G126" s="354"/>
      <c r="H126" s="58" t="s">
        <v>1923</v>
      </c>
      <c r="I126" s="167"/>
      <c r="J126" s="167"/>
      <c r="K126" s="167"/>
    </row>
    <row r="127" spans="7:11" ht="59.25">
      <c r="G127" s="354"/>
      <c r="H127" s="58" t="s">
        <v>1724</v>
      </c>
      <c r="I127" s="167"/>
      <c r="J127" s="167"/>
      <c r="K127" s="167"/>
    </row>
    <row r="128" spans="7:11" ht="74.25">
      <c r="G128" s="354"/>
      <c r="H128" s="58" t="s">
        <v>1653</v>
      </c>
      <c r="I128" s="167"/>
      <c r="J128" s="167"/>
      <c r="K128" s="167"/>
    </row>
    <row r="129" spans="7:8" ht="74.25">
      <c r="G129" s="354"/>
      <c r="H129" s="58" t="s">
        <v>1674</v>
      </c>
    </row>
    <row r="130" spans="7:8" ht="45">
      <c r="G130" s="354"/>
      <c r="H130" s="58" t="s">
        <v>1763</v>
      </c>
    </row>
    <row r="131" spans="7:8" ht="59.25">
      <c r="G131" s="354"/>
      <c r="H131" s="58" t="s">
        <v>2058</v>
      </c>
    </row>
    <row r="132" spans="7:8" ht="74.25">
      <c r="G132" s="354"/>
      <c r="H132" s="58" t="s">
        <v>1542</v>
      </c>
    </row>
    <row r="133" spans="7:8" ht="59.25">
      <c r="G133" s="354"/>
      <c r="H133" s="58" t="s">
        <v>1470</v>
      </c>
    </row>
    <row r="134" spans="7:8" ht="74.25">
      <c r="G134" s="354"/>
      <c r="H134" s="58" t="s">
        <v>2513</v>
      </c>
    </row>
    <row r="135" spans="7:8" ht="59.25">
      <c r="G135" s="354"/>
      <c r="H135" s="58" t="s">
        <v>1731</v>
      </c>
    </row>
    <row r="136" spans="7:8" ht="25.5">
      <c r="G136" s="59"/>
      <c r="H136" s="60"/>
    </row>
    <row r="137" spans="7:8" ht="74.25">
      <c r="G137" s="354" t="s">
        <v>445</v>
      </c>
      <c r="H137" s="58" t="s">
        <v>2514</v>
      </c>
    </row>
    <row r="138" spans="7:8" ht="74.25">
      <c r="G138" s="354"/>
      <c r="H138" s="58" t="s">
        <v>2515</v>
      </c>
    </row>
    <row r="139" spans="7:8" ht="45">
      <c r="G139" s="354"/>
      <c r="H139" s="58" t="s">
        <v>2516</v>
      </c>
    </row>
    <row r="140" spans="7:8" ht="59.25">
      <c r="G140" s="354"/>
      <c r="H140" s="58" t="s">
        <v>2517</v>
      </c>
    </row>
    <row r="141" spans="7:8" ht="59.25">
      <c r="G141" s="354"/>
      <c r="H141" s="58" t="s">
        <v>1497</v>
      </c>
    </row>
    <row r="142" spans="7:8" ht="45">
      <c r="G142" s="354"/>
      <c r="H142" s="58" t="s">
        <v>2518</v>
      </c>
    </row>
    <row r="143" spans="7:8" ht="45">
      <c r="G143" s="354"/>
      <c r="H143" s="58" t="s">
        <v>2519</v>
      </c>
    </row>
    <row r="144" spans="7:8" ht="74.25">
      <c r="G144" s="354"/>
      <c r="H144" s="58" t="s">
        <v>2520</v>
      </c>
    </row>
    <row r="145" spans="7:8" ht="74.25">
      <c r="G145" s="354"/>
      <c r="H145" s="58" t="s">
        <v>2521</v>
      </c>
    </row>
    <row r="146" spans="7:8" ht="74.25">
      <c r="G146" s="354"/>
      <c r="H146" s="58" t="s">
        <v>2522</v>
      </c>
    </row>
    <row r="147" spans="7:8" ht="59.25">
      <c r="G147" s="354"/>
      <c r="H147" s="58" t="s">
        <v>1529</v>
      </c>
    </row>
    <row r="148" spans="7:8" ht="45">
      <c r="G148" s="354"/>
      <c r="H148" s="58" t="s">
        <v>2523</v>
      </c>
    </row>
    <row r="149" spans="7:8" ht="25.5">
      <c r="G149" s="59"/>
      <c r="H149" s="60"/>
    </row>
    <row r="150" spans="7:8" ht="45">
      <c r="G150" s="355" t="s">
        <v>553</v>
      </c>
      <c r="H150" s="58" t="s">
        <v>2524</v>
      </c>
    </row>
    <row r="151" spans="7:8" ht="45">
      <c r="G151" s="355"/>
      <c r="H151" s="58" t="s">
        <v>2525</v>
      </c>
    </row>
    <row r="152" spans="7:8" ht="59.25">
      <c r="G152" s="355"/>
      <c r="H152" s="58" t="s">
        <v>1707</v>
      </c>
    </row>
    <row r="153" spans="7:8" ht="59.25">
      <c r="G153" s="355"/>
      <c r="H153" s="58" t="s">
        <v>2526</v>
      </c>
    </row>
    <row r="154" spans="7:8" ht="45">
      <c r="G154" s="355"/>
      <c r="H154" s="58" t="s">
        <v>2527</v>
      </c>
    </row>
    <row r="155" spans="7:8" ht="59.25">
      <c r="G155" s="355"/>
      <c r="H155" s="58" t="s">
        <v>2244</v>
      </c>
    </row>
    <row r="156" spans="7:8" ht="74.25">
      <c r="G156" s="355"/>
      <c r="H156" s="58" t="s">
        <v>2528</v>
      </c>
    </row>
    <row r="157" spans="7:8" ht="59.25">
      <c r="G157" s="355"/>
      <c r="H157" s="58" t="s">
        <v>2529</v>
      </c>
    </row>
    <row r="158" spans="7:8" ht="59.25">
      <c r="G158" s="355"/>
      <c r="H158" s="58" t="s">
        <v>2530</v>
      </c>
    </row>
    <row r="159" spans="7:8" ht="59.25">
      <c r="G159" s="355"/>
      <c r="H159" s="58" t="s">
        <v>2531</v>
      </c>
    </row>
    <row r="160" spans="7:8" ht="74.25">
      <c r="G160" s="355"/>
      <c r="H160" s="58" t="s">
        <v>2532</v>
      </c>
    </row>
    <row r="161" spans="7:8" ht="45">
      <c r="G161" s="355"/>
      <c r="H161" s="58" t="s">
        <v>2533</v>
      </c>
    </row>
    <row r="162" spans="7:8" ht="25.5">
      <c r="G162" s="59"/>
      <c r="H162" s="60"/>
    </row>
    <row r="163" spans="7:8" ht="132.75">
      <c r="G163" s="61" t="s">
        <v>2318</v>
      </c>
      <c r="H163" s="58" t="s">
        <v>2534</v>
      </c>
    </row>
  </sheetData>
  <sheetProtection sheet="1" objects="1" scenarios="1"/>
  <mergeCells count="23">
    <mergeCell ref="G95:G119"/>
    <mergeCell ref="G121:G135"/>
    <mergeCell ref="G137:G148"/>
    <mergeCell ref="G150:G161"/>
    <mergeCell ref="J2:K2"/>
    <mergeCell ref="G64:G93"/>
    <mergeCell ref="G33:G62"/>
    <mergeCell ref="G2:G31"/>
    <mergeCell ref="B13:C13"/>
    <mergeCell ref="B7:C7"/>
    <mergeCell ref="B14:C14"/>
    <mergeCell ref="B15:C15"/>
    <mergeCell ref="B16:C16"/>
    <mergeCell ref="B8:C8"/>
    <mergeCell ref="B9:C9"/>
    <mergeCell ref="B10:C10"/>
    <mergeCell ref="B11:C11"/>
    <mergeCell ref="B12:C12"/>
    <mergeCell ref="B2:E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E92D-8DB5-49C1-A654-8065C2D60FCE}">
  <sheetPr>
    <tabColor rgb="FF4472C4"/>
    <pageSetUpPr fitToPage="1"/>
  </sheetPr>
  <dimension ref="A1:R58"/>
  <sheetViews>
    <sheetView rightToLeft="1" topLeftCell="A58" zoomScale="90" zoomScaleNormal="90" workbookViewId="0"/>
  </sheetViews>
  <sheetFormatPr defaultRowHeight="13.5"/>
  <cols>
    <col min="1" max="1" width="16.625" customWidth="1"/>
    <col min="2" max="6" width="13.375" customWidth="1"/>
    <col min="7" max="7" width="30" customWidth="1"/>
    <col min="8" max="12" width="15.875" customWidth="1"/>
  </cols>
  <sheetData>
    <row r="1" spans="1:18" ht="35.25" customHeight="1">
      <c r="A1" s="319" t="s">
        <v>2535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67"/>
      <c r="N1" s="167"/>
      <c r="O1" s="167"/>
      <c r="P1" s="167"/>
      <c r="Q1" s="167"/>
      <c r="R1" s="167"/>
    </row>
    <row r="2" spans="1:18">
      <c r="A2" s="186" t="s">
        <v>294</v>
      </c>
      <c r="B2" s="191">
        <v>46154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</row>
    <row r="3" spans="1:18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</row>
    <row r="4" spans="1:18" ht="17.25">
      <c r="A4" s="361" t="s">
        <v>2536</v>
      </c>
      <c r="B4" s="315"/>
      <c r="C4" s="315"/>
      <c r="D4" s="315"/>
      <c r="E4" s="315"/>
      <c r="F4" s="315"/>
      <c r="G4" s="167"/>
      <c r="H4" s="364" t="s">
        <v>2537</v>
      </c>
      <c r="I4" s="315"/>
      <c r="J4" s="315"/>
      <c r="K4" s="315"/>
      <c r="L4" s="315"/>
      <c r="M4" s="167"/>
      <c r="N4" s="358" t="s">
        <v>2538</v>
      </c>
      <c r="O4" s="315"/>
      <c r="P4" s="315"/>
      <c r="Q4" s="315"/>
      <c r="R4" s="167"/>
    </row>
    <row r="5" spans="1:18">
      <c r="A5" s="192" t="s">
        <v>2539</v>
      </c>
      <c r="B5" s="192" t="s">
        <v>2540</v>
      </c>
      <c r="C5" s="192" t="s">
        <v>2541</v>
      </c>
      <c r="D5" s="192" t="s">
        <v>2542</v>
      </c>
      <c r="E5" s="192" t="s">
        <v>2543</v>
      </c>
      <c r="F5" s="192" t="s">
        <v>2544</v>
      </c>
      <c r="G5" s="167"/>
      <c r="H5" s="167"/>
      <c r="I5" s="167"/>
      <c r="J5" s="167"/>
      <c r="K5" s="167"/>
      <c r="L5" s="167"/>
      <c r="M5" s="167"/>
      <c r="N5" s="210" t="s">
        <v>2539</v>
      </c>
      <c r="O5" s="210" t="s">
        <v>203</v>
      </c>
      <c r="P5" s="210" t="s">
        <v>206</v>
      </c>
      <c r="Q5" s="210" t="s">
        <v>209</v>
      </c>
      <c r="R5" s="167"/>
    </row>
    <row r="6" spans="1:18">
      <c r="A6" s="164" t="s">
        <v>2545</v>
      </c>
      <c r="B6" s="193" cm="1">
        <f t="array" ref="B6">SUMPRODUCT((MONTH(البيانات!$P$2:$P$300)=1)*(YEAR(البيانات!$P$2:$P$300)=2026)*1)</f>
        <v>2</v>
      </c>
      <c r="C6" s="193" cm="1">
        <f t="array" ref="C6">SUMPRODUCT((MONTH(البيانات!$P$2:$P$300)=1)*(YEAR(البيانات!$P$2:$P$300)=2026)*(البيانات!$AR$2:$AR$300&lt;&gt;"")*1)</f>
        <v>2</v>
      </c>
      <c r="D6" s="193">
        <f>IF(B6=0,0,ROUND(C6/B6*100,1))</f>
        <v>100</v>
      </c>
      <c r="E6" s="193" cm="1">
        <f t="array" ref="E6">SUMPRODUCT((MONTH(البيانات!$P$2:$P$300)=1)*(YEAR(البيانات!$P$2:$P$300)=2026)*(البيانات!$AD$2:$AD$300="Yes")*1)</f>
        <v>1</v>
      </c>
      <c r="F6" s="193" cm="1">
        <f t="array" ref="F6">SUMPRODUCT((MONTH(البيانات!$P$2:$P$300)=1)*(YEAR(البيانات!$P$2:$P$300)=2026)*(البيانات!$AD$2:$AD$300="Yes")*(البيانات!$AE$2:$AE$300&lt;&gt;"Yes")*1)</f>
        <v>1</v>
      </c>
      <c r="G6" s="167"/>
      <c r="H6" s="206" t="s">
        <v>2546</v>
      </c>
      <c r="I6" s="202" t="s">
        <v>2547</v>
      </c>
      <c r="J6" s="195" t="s">
        <v>2548</v>
      </c>
      <c r="K6" s="198" t="s">
        <v>2549</v>
      </c>
      <c r="L6" s="208" t="s">
        <v>2550</v>
      </c>
      <c r="M6" s="167"/>
      <c r="N6" s="164" t="s">
        <v>2545</v>
      </c>
      <c r="O6" s="193">
        <f>D6</f>
        <v>100</v>
      </c>
      <c r="P6" s="193">
        <f>E22</f>
        <v>0</v>
      </c>
      <c r="Q6" s="193">
        <f>E38</f>
        <v>0</v>
      </c>
      <c r="R6" s="167"/>
    </row>
    <row r="7" spans="1:18" ht="35.25">
      <c r="A7" s="164" t="s">
        <v>2551</v>
      </c>
      <c r="B7" s="193" cm="1">
        <f t="array" ref="B7">SUMPRODUCT((MONTH(البيانات!$P$2:$P$300)=2)*(YEAR(البيانات!$P$2:$P$300)=2026)*1)</f>
        <v>5</v>
      </c>
      <c r="C7" s="193" cm="1">
        <f t="array" ref="C7">SUMPRODUCT((MONTH(البيانات!$P$2:$P$300)=2)*(YEAR(البيانات!$P$2:$P$300)=2026)*(البيانات!$AR$2:$AR$300&lt;&gt;"")*1)</f>
        <v>5</v>
      </c>
      <c r="D7" s="193">
        <f>IF(B7=0,0,ROUND(C7/B7*100,1))</f>
        <v>100</v>
      </c>
      <c r="E7" s="193" cm="1">
        <f t="array" ref="E7">SUMPRODUCT((MONTH(البيانات!$P$2:$P$300)=2)*(YEAR(البيانات!$P$2:$P$300)=2026)*(البيانات!$AD$2:$AD$300="Yes")*1)</f>
        <v>1</v>
      </c>
      <c r="F7" s="193" cm="1">
        <f t="array" ref="F7">SUMPRODUCT((MONTH(البيانات!$P$2:$P$300)=2)*(YEAR(البيانات!$P$2:$P$300)=2026)*(البيانات!$AD$2:$AD$300="Yes")*(البيانات!$AE$2:$AE$300&lt;&gt;"Yes")*1)</f>
        <v>1</v>
      </c>
      <c r="G7" s="167"/>
      <c r="H7" s="207">
        <f>B18</f>
        <v>264</v>
      </c>
      <c r="I7" s="203">
        <f>C18</f>
        <v>260</v>
      </c>
      <c r="J7" s="204" t="str">
        <f>D18&amp;"%"</f>
        <v>98.5%</v>
      </c>
      <c r="K7" s="205" t="str">
        <f>E34&amp;"%"</f>
        <v>47%</v>
      </c>
      <c r="L7" s="209" t="str">
        <f>E50&amp;"%"</f>
        <v>89.6%</v>
      </c>
      <c r="M7" s="167"/>
      <c r="N7" s="164" t="s">
        <v>2551</v>
      </c>
      <c r="O7" s="193">
        <f>D7</f>
        <v>100</v>
      </c>
      <c r="P7" s="193">
        <f>E23</f>
        <v>0</v>
      </c>
      <c r="Q7" s="193">
        <f>E39</f>
        <v>100</v>
      </c>
      <c r="R7" s="167"/>
    </row>
    <row r="8" spans="1:18">
      <c r="A8" s="164" t="s">
        <v>2552</v>
      </c>
      <c r="B8" s="193" cm="1">
        <f t="array" ref="B8">SUMPRODUCT((MONTH(البيانات!$P$2:$P$300)=3)*(YEAR(البيانات!$P$2:$P$300)=2026)*1)</f>
        <v>99</v>
      </c>
      <c r="C8" s="193" cm="1">
        <f t="array" ref="C8">SUMPRODUCT((MONTH(البيانات!$P$2:$P$300)=3)*(YEAR(البيانات!$P$2:$P$300)=2026)*(البيانات!$AR$2:$AR$300&lt;&gt;"")*1)</f>
        <v>95</v>
      </c>
      <c r="D8" s="193">
        <f>IF(B8=0,0,ROUND(C8/B8*100,1))</f>
        <v>96</v>
      </c>
      <c r="E8" s="193" cm="1">
        <f t="array" ref="E8">SUMPRODUCT((MONTH(البيانات!$P$2:$P$300)=3)*(YEAR(البيانات!$P$2:$P$300)=2026)*(البيانات!$AD$2:$AD$300="Yes")*1)</f>
        <v>17</v>
      </c>
      <c r="F8" s="193" cm="1">
        <f t="array" ref="F8">SUMPRODUCT((MONTH(البيانات!$P$2:$P$300)=3)*(YEAR(البيانات!$P$2:$P$300)=2026)*(البيانات!$AD$2:$AD$300="Yes")*(البيانات!$AE$2:$AE$300&lt;&gt;"Yes")*1)</f>
        <v>10</v>
      </c>
      <c r="G8" s="167"/>
      <c r="H8" s="167"/>
      <c r="I8" s="167"/>
      <c r="J8" s="167"/>
      <c r="K8" s="167"/>
      <c r="L8" s="167"/>
      <c r="M8" s="167"/>
      <c r="N8" s="164" t="s">
        <v>2552</v>
      </c>
      <c r="O8" s="193">
        <f>D8</f>
        <v>96</v>
      </c>
      <c r="P8" s="193">
        <f>E24</f>
        <v>46.2</v>
      </c>
      <c r="Q8" s="193">
        <f>E40</f>
        <v>80.3</v>
      </c>
      <c r="R8" s="167"/>
    </row>
    <row r="9" spans="1:18" ht="14.25">
      <c r="A9" s="164" t="s">
        <v>2553</v>
      </c>
      <c r="B9" s="193" cm="1">
        <f t="array" ref="B9">SUMPRODUCT((MONTH(البيانات!$P$2:$P$300)=4)*(YEAR(البيانات!$P$2:$P$300)=2026)*1)</f>
        <v>123</v>
      </c>
      <c r="C9" s="193" cm="1">
        <f t="array" ref="C9">SUMPRODUCT((MONTH(البيانات!$P$2:$P$300)=4)*(YEAR(البيانات!$P$2:$P$300)=2026)*(البيانات!$AR$2:$AR$300&lt;&gt;"")*1)</f>
        <v>123</v>
      </c>
      <c r="D9" s="193">
        <f>IF(B9=0,0,ROUND(C9/B9*100,1))</f>
        <v>100</v>
      </c>
      <c r="E9" s="193" cm="1">
        <f t="array" ref="E9">SUMPRODUCT((MONTH(البيانات!$P$2:$P$300)=4)*(YEAR(البيانات!$P$2:$P$300)=2026)*(البيانات!$AD$2:$AD$300="Yes")*1)</f>
        <v>20</v>
      </c>
      <c r="F9" s="193" cm="1">
        <f t="array" ref="F9">SUMPRODUCT((MONTH(البيانات!$P$2:$P$300)=4)*(YEAR(البيانات!$P$2:$P$300)=2026)*(البيانات!$AD$2:$AD$300="Yes")*(البيانات!$AE$2:$AE$300&lt;&gt;"Yes")*1)</f>
        <v>11</v>
      </c>
      <c r="G9" s="167"/>
      <c r="H9" s="29" t="s">
        <v>2554</v>
      </c>
      <c r="I9" s="167"/>
      <c r="J9" s="167"/>
      <c r="K9" s="167"/>
      <c r="L9" s="167"/>
      <c r="M9" s="167"/>
      <c r="N9" s="164" t="s">
        <v>2553</v>
      </c>
      <c r="O9" s="193">
        <f>D9</f>
        <v>100</v>
      </c>
      <c r="P9" s="193">
        <f>E25</f>
        <v>43.8</v>
      </c>
      <c r="Q9" s="193">
        <f>E41</f>
        <v>95</v>
      </c>
      <c r="R9" s="167"/>
    </row>
    <row r="10" spans="1:18">
      <c r="A10" s="164" t="s">
        <v>2555</v>
      </c>
      <c r="B10" s="193" cm="1">
        <f t="array" ref="B10">SUMPRODUCT((MONTH(البيانات!$P$2:$P$300)=5)*(YEAR(البيانات!$P$2:$P$300)=2026)*1)</f>
        <v>35</v>
      </c>
      <c r="C10" s="193" cm="1">
        <f t="array" ref="C10">SUMPRODUCT((MONTH(البيانات!$P$2:$P$300)=5)*(YEAR(البيانات!$P$2:$P$300)=2026)*(البيانات!$AR$2:$AR$300&lt;&gt;"")*1)</f>
        <v>35</v>
      </c>
      <c r="D10" s="193">
        <f>IF(B10=0,0,ROUND(C10/B10*100,1))</f>
        <v>100</v>
      </c>
      <c r="E10" s="193" cm="1">
        <f t="array" ref="E10">SUMPRODUCT((MONTH(البيانات!$P$2:$P$300)=5)*(YEAR(البيانات!$P$2:$P$300)=2026)*(البيانات!$AD$2:$AD$300="Yes")*1)</f>
        <v>6</v>
      </c>
      <c r="F10" s="193" cm="1">
        <f t="array" ref="F10">SUMPRODUCT((MONTH(البيانات!$P$2:$P$300)=5)*(YEAR(البيانات!$P$2:$P$300)=2026)*(البيانات!$AD$2:$AD$300="Yes")*(البيانات!$AE$2:$AE$300&lt;&gt;"Yes")*1)</f>
        <v>4</v>
      </c>
      <c r="G10" s="167"/>
      <c r="H10" s="167" t="s">
        <v>2556</v>
      </c>
      <c r="I10" s="167"/>
      <c r="J10" s="167"/>
      <c r="K10" s="167"/>
      <c r="L10" s="167"/>
      <c r="M10" s="167"/>
      <c r="N10" s="164" t="s">
        <v>2555</v>
      </c>
      <c r="O10" s="193">
        <f>D10</f>
        <v>100</v>
      </c>
      <c r="P10" s="193">
        <f>E26</f>
        <v>75</v>
      </c>
      <c r="Q10" s="193">
        <f>E42</f>
        <v>92.9</v>
      </c>
      <c r="R10" s="167"/>
    </row>
    <row r="11" spans="1:18">
      <c r="A11" s="164" t="s">
        <v>2557</v>
      </c>
      <c r="B11" s="193" cm="1">
        <f t="array" ref="B11">SUMPRODUCT((MONTH(البيانات!$P$2:$P$300)=6)*(YEAR(البيانات!$P$2:$P$300)=2026)*1)</f>
        <v>0</v>
      </c>
      <c r="C11" s="193" cm="1">
        <f t="array" ref="C11">SUMPRODUCT((MONTH(البيانات!$P$2:$P$300)=6)*(YEAR(البيانات!$P$2:$P$300)=2026)*(البيانات!$AR$2:$AR$300&lt;&gt;"")*1)</f>
        <v>0</v>
      </c>
      <c r="D11" s="193">
        <f>IF(B11=0,0,ROUND(C11/B11*100,1))</f>
        <v>0</v>
      </c>
      <c r="E11" s="193" cm="1">
        <f t="array" ref="E11">SUMPRODUCT((MONTH(البيانات!$P$2:$P$300)=6)*(YEAR(البيانات!$P$2:$P$300)=2026)*(البيانات!$AD$2:$AD$300="Yes")*1)</f>
        <v>0</v>
      </c>
      <c r="F11" s="193" cm="1">
        <f t="array" ref="F11">SUMPRODUCT((MONTH(البيانات!$P$2:$P$300)=6)*(YEAR(البيانات!$P$2:$P$300)=2026)*(البيانات!$AD$2:$AD$300="Yes")*(البيانات!$AE$2:$AE$300&lt;&gt;"Yes")*1)</f>
        <v>0</v>
      </c>
      <c r="G11" s="167"/>
      <c r="H11" s="167" t="s">
        <v>2558</v>
      </c>
      <c r="I11" s="167"/>
      <c r="J11" s="167"/>
      <c r="K11" s="167"/>
      <c r="L11" s="167"/>
      <c r="M11" s="167"/>
      <c r="N11" s="164" t="s">
        <v>2557</v>
      </c>
      <c r="O11" s="193">
        <f>D11</f>
        <v>0</v>
      </c>
      <c r="P11" s="193">
        <f>E27</f>
        <v>0</v>
      </c>
      <c r="Q11" s="193">
        <f>E43</f>
        <v>0</v>
      </c>
      <c r="R11" s="167"/>
    </row>
    <row r="12" spans="1:18">
      <c r="A12" s="164" t="s">
        <v>2559</v>
      </c>
      <c r="B12" s="193" cm="1">
        <f t="array" ref="B12">SUMPRODUCT((MONTH(البيانات!$P$2:$P$300)=7)*(YEAR(البيانات!$P$2:$P$300)=2026)*1)</f>
        <v>0</v>
      </c>
      <c r="C12" s="193" cm="1">
        <f t="array" ref="C12">SUMPRODUCT((MONTH(البيانات!$P$2:$P$300)=7)*(YEAR(البيانات!$P$2:$P$300)=2026)*(البيانات!$AR$2:$AR$300&lt;&gt;"")*1)</f>
        <v>0</v>
      </c>
      <c r="D12" s="193">
        <f>IF(B12=0,0,ROUND(C12/B12*100,1))</f>
        <v>0</v>
      </c>
      <c r="E12" s="193" cm="1">
        <f t="array" ref="E12">SUMPRODUCT((MONTH(البيانات!$P$2:$P$300)=7)*(YEAR(البيانات!$P$2:$P$300)=2026)*(البيانات!$AD$2:$AD$300="Yes")*1)</f>
        <v>0</v>
      </c>
      <c r="F12" s="193" cm="1">
        <f t="array" ref="F12">SUMPRODUCT((MONTH(البيانات!$P$2:$P$300)=7)*(YEAR(البيانات!$P$2:$P$300)=2026)*(البيانات!$AD$2:$AD$300="Yes")*(البيانات!$AE$2:$AE$300&lt;&gt;"Yes")*1)</f>
        <v>0</v>
      </c>
      <c r="G12" s="167"/>
      <c r="H12" s="167" t="s">
        <v>2560</v>
      </c>
      <c r="I12" s="167"/>
      <c r="J12" s="167"/>
      <c r="K12" s="167"/>
      <c r="L12" s="167"/>
      <c r="M12" s="167"/>
      <c r="N12" s="164" t="s">
        <v>2559</v>
      </c>
      <c r="O12" s="193">
        <f>D12</f>
        <v>0</v>
      </c>
      <c r="P12" s="193">
        <f>E28</f>
        <v>0</v>
      </c>
      <c r="Q12" s="193">
        <f>E44</f>
        <v>0</v>
      </c>
      <c r="R12" s="167"/>
    </row>
    <row r="13" spans="1:18">
      <c r="A13" s="164" t="s">
        <v>2561</v>
      </c>
      <c r="B13" s="193" cm="1">
        <f t="array" ref="B13">SUMPRODUCT((MONTH(البيانات!$P$2:$P$300)=8)*(YEAR(البيانات!$P$2:$P$300)=2026)*1)</f>
        <v>0</v>
      </c>
      <c r="C13" s="193" cm="1">
        <f t="array" ref="C13">SUMPRODUCT((MONTH(البيانات!$P$2:$P$300)=8)*(YEAR(البيانات!$P$2:$P$300)=2026)*(البيانات!$AR$2:$AR$300&lt;&gt;"")*1)</f>
        <v>0</v>
      </c>
      <c r="D13" s="193">
        <f>IF(B13=0,0,ROUND(C13/B13*100,1))</f>
        <v>0</v>
      </c>
      <c r="E13" s="193" cm="1">
        <f t="array" ref="E13">SUMPRODUCT((MONTH(البيانات!$P$2:$P$300)=8)*(YEAR(البيانات!$P$2:$P$300)=2026)*(البيانات!$AD$2:$AD$300="Yes")*1)</f>
        <v>0</v>
      </c>
      <c r="F13" s="193" cm="1">
        <f t="array" ref="F13">SUMPRODUCT((MONTH(البيانات!$P$2:$P$300)=8)*(YEAR(البيانات!$P$2:$P$300)=2026)*(البيانات!$AD$2:$AD$300="Yes")*(البيانات!$AE$2:$AE$300&lt;&gt;"Yes")*1)</f>
        <v>0</v>
      </c>
      <c r="G13" s="167"/>
      <c r="H13" s="167" t="s">
        <v>2562</v>
      </c>
      <c r="I13" s="167"/>
      <c r="J13" s="167"/>
      <c r="K13" s="167"/>
      <c r="L13" s="167"/>
      <c r="M13" s="167"/>
      <c r="N13" s="164" t="s">
        <v>2561</v>
      </c>
      <c r="O13" s="193">
        <f>D13</f>
        <v>0</v>
      </c>
      <c r="P13" s="193">
        <f>E29</f>
        <v>0</v>
      </c>
      <c r="Q13" s="193">
        <f>E45</f>
        <v>0</v>
      </c>
      <c r="R13" s="167"/>
    </row>
    <row r="14" spans="1:18">
      <c r="A14" s="164" t="s">
        <v>2563</v>
      </c>
      <c r="B14" s="193" cm="1">
        <f t="array" ref="B14">SUMPRODUCT((MONTH(البيانات!$P$2:$P$300)=9)*(YEAR(البيانات!$P$2:$P$300)=2026)*1)</f>
        <v>0</v>
      </c>
      <c r="C14" s="193" cm="1">
        <f t="array" ref="C14">SUMPRODUCT((MONTH(البيانات!$P$2:$P$300)=9)*(YEAR(البيانات!$P$2:$P$300)=2026)*(البيانات!$AR$2:$AR$300&lt;&gt;"")*1)</f>
        <v>0</v>
      </c>
      <c r="D14" s="193">
        <f>IF(B14=0,0,ROUND(C14/B14*100,1))</f>
        <v>0</v>
      </c>
      <c r="E14" s="193" cm="1">
        <f t="array" ref="E14">SUMPRODUCT((MONTH(البيانات!$P$2:$P$300)=9)*(YEAR(البيانات!$P$2:$P$300)=2026)*(البيانات!$AD$2:$AD$300="Yes")*1)</f>
        <v>0</v>
      </c>
      <c r="F14" s="193" cm="1">
        <f t="array" ref="F14">SUMPRODUCT((MONTH(البيانات!$P$2:$P$300)=9)*(YEAR(البيانات!$P$2:$P$300)=2026)*(البيانات!$AD$2:$AD$300="Yes")*(البيانات!$AE$2:$AE$300&lt;&gt;"Yes")*1)</f>
        <v>0</v>
      </c>
      <c r="G14" s="167"/>
      <c r="H14" s="167" t="s">
        <v>2564</v>
      </c>
      <c r="I14" s="167"/>
      <c r="J14" s="167"/>
      <c r="K14" s="167"/>
      <c r="L14" s="167"/>
      <c r="M14" s="167"/>
      <c r="N14" s="164" t="s">
        <v>2563</v>
      </c>
      <c r="O14" s="193">
        <f>D14</f>
        <v>0</v>
      </c>
      <c r="P14" s="193">
        <f>E30</f>
        <v>0</v>
      </c>
      <c r="Q14" s="193">
        <f>E46</f>
        <v>0</v>
      </c>
      <c r="R14" s="167"/>
    </row>
    <row r="15" spans="1:18">
      <c r="A15" s="164" t="s">
        <v>2565</v>
      </c>
      <c r="B15" s="193" cm="1">
        <f t="array" ref="B15">SUMPRODUCT((MONTH(البيانات!$P$2:$P$300)=10)*(YEAR(البيانات!$P$2:$P$300)=2026)*1)</f>
        <v>0</v>
      </c>
      <c r="C15" s="193" cm="1">
        <f t="array" ref="C15">SUMPRODUCT((MONTH(البيانات!$P$2:$P$300)=10)*(YEAR(البيانات!$P$2:$P$300)=2026)*(البيانات!$AR$2:$AR$300&lt;&gt;"")*1)</f>
        <v>0</v>
      </c>
      <c r="D15" s="193">
        <f>IF(B15=0,0,ROUND(C15/B15*100,1))</f>
        <v>0</v>
      </c>
      <c r="E15" s="193" cm="1">
        <f t="array" ref="E15">SUMPRODUCT((MONTH(البيانات!$P$2:$P$300)=10)*(YEAR(البيانات!$P$2:$P$300)=2026)*(البيانات!$AD$2:$AD$300="Yes")*1)</f>
        <v>0</v>
      </c>
      <c r="F15" s="193" cm="1">
        <f t="array" ref="F15">SUMPRODUCT((MONTH(البيانات!$P$2:$P$300)=10)*(YEAR(البيانات!$P$2:$P$300)=2026)*(البيانات!$AD$2:$AD$300="Yes")*(البيانات!$AE$2:$AE$300&lt;&gt;"Yes")*1)</f>
        <v>0</v>
      </c>
      <c r="G15" s="167"/>
      <c r="H15" s="167"/>
      <c r="I15" s="167"/>
      <c r="J15" s="167"/>
      <c r="K15" s="167"/>
      <c r="L15" s="167"/>
      <c r="M15" s="167"/>
      <c r="N15" s="164" t="s">
        <v>2565</v>
      </c>
      <c r="O15" s="193">
        <f>D15</f>
        <v>0</v>
      </c>
      <c r="P15" s="193">
        <f>E31</f>
        <v>0</v>
      </c>
      <c r="Q15" s="193">
        <f>E47</f>
        <v>0</v>
      </c>
      <c r="R15" s="167"/>
    </row>
    <row r="16" spans="1:18">
      <c r="A16" s="164" t="s">
        <v>2566</v>
      </c>
      <c r="B16" s="193" cm="1">
        <f t="array" ref="B16">SUMPRODUCT((MONTH(البيانات!$P$2:$P$300)=11)*(YEAR(البيانات!$P$2:$P$300)=2026)*1)</f>
        <v>0</v>
      </c>
      <c r="C16" s="193" cm="1">
        <f t="array" ref="C16">SUMPRODUCT((MONTH(البيانات!$P$2:$P$300)=11)*(YEAR(البيانات!$P$2:$P$300)=2026)*(البيانات!$AR$2:$AR$300&lt;&gt;"")*1)</f>
        <v>0</v>
      </c>
      <c r="D16" s="193">
        <f>IF(B16=0,0,ROUND(C16/B16*100,1))</f>
        <v>0</v>
      </c>
      <c r="E16" s="193" cm="1">
        <f t="array" ref="E16">SUMPRODUCT((MONTH(البيانات!$P$2:$P$300)=11)*(YEAR(البيانات!$P$2:$P$300)=2026)*(البيانات!$AD$2:$AD$300="Yes")*1)</f>
        <v>0</v>
      </c>
      <c r="F16" s="193" cm="1">
        <f t="array" ref="F16">SUMPRODUCT((MONTH(البيانات!$P$2:$P$300)=11)*(YEAR(البيانات!$P$2:$P$300)=2026)*(البيانات!$AD$2:$AD$300="Yes")*(البيانات!$AE$2:$AE$300&lt;&gt;"Yes")*1)</f>
        <v>0</v>
      </c>
      <c r="G16" s="167"/>
      <c r="H16" s="167"/>
      <c r="I16" s="167"/>
      <c r="J16" s="167"/>
      <c r="K16" s="167"/>
      <c r="L16" s="167"/>
      <c r="M16" s="167"/>
      <c r="N16" s="164" t="s">
        <v>2566</v>
      </c>
      <c r="O16" s="193">
        <f>D16</f>
        <v>0</v>
      </c>
      <c r="P16" s="193">
        <f>E32</f>
        <v>0</v>
      </c>
      <c r="Q16" s="193">
        <f>E48</f>
        <v>0</v>
      </c>
      <c r="R16" s="167"/>
    </row>
    <row r="17" spans="1:18">
      <c r="A17" s="164" t="s">
        <v>2567</v>
      </c>
      <c r="B17" s="193" cm="1">
        <f t="array" ref="B17">SUMPRODUCT((MONTH(البيانات!$P$2:$P$300)=12)*(YEAR(البيانات!$P$2:$P$300)=2026)*1)</f>
        <v>0</v>
      </c>
      <c r="C17" s="193" cm="1">
        <f t="array" ref="C17">SUMPRODUCT((MONTH(البيانات!$P$2:$P$300)=12)*(YEAR(البيانات!$P$2:$P$300)=2026)*(البيانات!$AR$2:$AR$300&lt;&gt;"")*1)</f>
        <v>0</v>
      </c>
      <c r="D17" s="193">
        <f>IF(B17=0,0,ROUND(C17/B17*100,1))</f>
        <v>0</v>
      </c>
      <c r="E17" s="193" cm="1">
        <f t="array" ref="E17">SUMPRODUCT((MONTH(البيانات!$P$2:$P$300)=12)*(YEAR(البيانات!$P$2:$P$300)=2026)*(البيانات!$AD$2:$AD$300="Yes")*1)</f>
        <v>0</v>
      </c>
      <c r="F17" s="193" cm="1">
        <f t="array" ref="F17">SUMPRODUCT((MONTH(البيانات!$P$2:$P$300)=12)*(YEAR(البيانات!$P$2:$P$300)=2026)*(البيانات!$AD$2:$AD$300="Yes")*(البيانات!$AE$2:$AE$300&lt;&gt;"Yes")*1)</f>
        <v>0</v>
      </c>
      <c r="G17" s="167"/>
      <c r="H17" s="167"/>
      <c r="I17" s="167"/>
      <c r="J17" s="167"/>
      <c r="K17" s="167"/>
      <c r="L17" s="167"/>
      <c r="M17" s="167"/>
      <c r="N17" s="164" t="s">
        <v>2567</v>
      </c>
      <c r="O17" s="193">
        <f>D17</f>
        <v>0</v>
      </c>
      <c r="P17" s="193">
        <f>E33</f>
        <v>0</v>
      </c>
      <c r="Q17" s="193">
        <f>E49</f>
        <v>0</v>
      </c>
      <c r="R17" s="167"/>
    </row>
    <row r="18" spans="1:18">
      <c r="A18" s="166" t="s">
        <v>2568</v>
      </c>
      <c r="B18" s="194">
        <f>SUM(B6:B17)</f>
        <v>264</v>
      </c>
      <c r="C18" s="194">
        <f>SUM(C6:C17)</f>
        <v>260</v>
      </c>
      <c r="D18" s="194">
        <f>IF(B18=0,0,ROUND(C18/B18*100,1))</f>
        <v>98.5</v>
      </c>
      <c r="E18" s="194">
        <f>SUM(E6:E17)</f>
        <v>45</v>
      </c>
      <c r="F18" s="194">
        <f>SUM(F6:F17)</f>
        <v>27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</row>
    <row r="19" spans="1:18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</row>
    <row r="20" spans="1:18" ht="17.25">
      <c r="A20" s="362" t="s">
        <v>2569</v>
      </c>
      <c r="B20" s="315"/>
      <c r="C20" s="315"/>
      <c r="D20" s="315"/>
      <c r="E20" s="315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</row>
    <row r="21" spans="1:18">
      <c r="A21" s="196" t="s">
        <v>2539</v>
      </c>
      <c r="B21" s="196" t="s">
        <v>221</v>
      </c>
      <c r="C21" s="196" t="s">
        <v>223</v>
      </c>
      <c r="D21" s="196" t="s">
        <v>225</v>
      </c>
      <c r="E21" s="196" t="s">
        <v>2570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</row>
    <row r="22" spans="1:18">
      <c r="A22" s="164" t="s">
        <v>2545</v>
      </c>
      <c r="B22" s="193" cm="1">
        <f t="array" ref="B22">SUMPRODUCT((MONTH(البيانات!$P$2:$P$300)=1)*(YEAR(البيانات!$P$2:$P$300)=2026)*(البيانات!$AK$2:$AK$300="✅ ملتزم")*1)</f>
        <v>0</v>
      </c>
      <c r="C22" s="193" cm="1">
        <f t="array" ref="C22">SUMPRODUCT((MONTH(البيانات!$P$2:$P$300)=1)*(YEAR(البيانات!$P$2:$P$300)=2026)*(البيانات!$AK$2:$AK$300="❌ غير ملتزم")*1)</f>
        <v>2</v>
      </c>
      <c r="D22" s="193" cm="1">
        <f t="array" ref="D22">SUMPRODUCT((MONTH(البيانات!$P$2:$P$300)=1)*(YEAR(البيانات!$P$2:$P$300)=2026)*(البيانات!$AK$2:$AK$300="⏳ بانتظار")*1)</f>
        <v>0</v>
      </c>
      <c r="E22" s="193">
        <f>IF((B22+C22)=0,0,ROUND(B22/(B22+C22)*100,1))</f>
        <v>0</v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</row>
    <row r="23" spans="1:18">
      <c r="A23" s="164" t="s">
        <v>2551</v>
      </c>
      <c r="B23" s="193" cm="1">
        <f t="array" ref="B23">SUMPRODUCT((MONTH(البيانات!$P$2:$P$300)=2)*(YEAR(البيانات!$P$2:$P$300)=2026)*(البيانات!$AK$2:$AK$300="✅ ملتزم")*1)</f>
        <v>0</v>
      </c>
      <c r="C23" s="193" cm="1">
        <f t="array" ref="C23">SUMPRODUCT((MONTH(البيانات!$P$2:$P$300)=2)*(YEAR(البيانات!$P$2:$P$300)=2026)*(البيانات!$AK$2:$AK$300="❌ غير ملتزم")*1)</f>
        <v>5</v>
      </c>
      <c r="D23" s="193" cm="1">
        <f t="array" ref="D23">SUMPRODUCT((MONTH(البيانات!$P$2:$P$300)=2)*(YEAR(البيانات!$P$2:$P$300)=2026)*(البيانات!$AK$2:$AK$300="⏳ بانتظار")*1)</f>
        <v>0</v>
      </c>
      <c r="E23" s="193">
        <f>IF((B23+C23)=0,0,ROUND(B23/(B23+C23)*100,1))</f>
        <v>0</v>
      </c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</row>
    <row r="24" spans="1:18">
      <c r="A24" s="164" t="s">
        <v>2552</v>
      </c>
      <c r="B24" s="193" cm="1">
        <f t="array" ref="B24">SUMPRODUCT((MONTH(البيانات!$P$2:$P$300)=3)*(YEAR(البيانات!$P$2:$P$300)=2026)*(البيانات!$AK$2:$AK$300="✅ ملتزم")*1)</f>
        <v>43</v>
      </c>
      <c r="C24" s="193" cm="1">
        <f t="array" ref="C24">SUMPRODUCT((MONTH(البيانات!$P$2:$P$300)=3)*(YEAR(البيانات!$P$2:$P$300)=2026)*(البيانات!$AK$2:$AK$300="❌ غير ملتزم")*1)</f>
        <v>50</v>
      </c>
      <c r="D24" s="193" cm="1">
        <f t="array" ref="D24">SUMPRODUCT((MONTH(البيانات!$P$2:$P$300)=3)*(YEAR(البيانات!$P$2:$P$300)=2026)*(البيانات!$AK$2:$AK$300="⏳ بانتظار")*1)</f>
        <v>6</v>
      </c>
      <c r="E24" s="193">
        <f>IF((B24+C24)=0,0,ROUND(B24/(B24+C24)*100,1))</f>
        <v>46.2</v>
      </c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</row>
    <row r="25" spans="1:18">
      <c r="A25" s="164" t="s">
        <v>2553</v>
      </c>
      <c r="B25" s="193" cm="1">
        <f t="array" ref="B25">SUMPRODUCT((MONTH(البيانات!$P$2:$P$300)=4)*(YEAR(البيانات!$P$2:$P$300)=2026)*(البيانات!$AK$2:$AK$300="✅ ملتزم")*1)</f>
        <v>53</v>
      </c>
      <c r="C25" s="193" cm="1">
        <f t="array" ref="C25">SUMPRODUCT((MONTH(البيانات!$P$2:$P$300)=4)*(YEAR(البيانات!$P$2:$P$300)=2026)*(البيانات!$AK$2:$AK$300="❌ غير ملتزم")*1)</f>
        <v>68</v>
      </c>
      <c r="D25" s="193" cm="1">
        <f t="array" ref="D25">SUMPRODUCT((MONTH(البيانات!$P$2:$P$300)=4)*(YEAR(البيانات!$P$2:$P$300)=2026)*(البيانات!$AK$2:$AK$300="⏳ بانتظار")*1)</f>
        <v>2</v>
      </c>
      <c r="E25" s="193">
        <f>IF((B25+C25)=0,0,ROUND(B25/(B25+C25)*100,1))</f>
        <v>43.8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</row>
    <row r="26" spans="1:18">
      <c r="A26" s="164" t="s">
        <v>2555</v>
      </c>
      <c r="B26" s="193" cm="1">
        <f t="array" ref="B26">SUMPRODUCT((MONTH(البيانات!$P$2:$P$300)=5)*(YEAR(البيانات!$P$2:$P$300)=2026)*(البيانات!$AK$2:$AK$300="✅ ملتزم")*1)</f>
        <v>21</v>
      </c>
      <c r="C26" s="193" cm="1">
        <f t="array" ref="C26">SUMPRODUCT((MONTH(البيانات!$P$2:$P$300)=5)*(YEAR(البيانات!$P$2:$P$300)=2026)*(البيانات!$AK$2:$AK$300="❌ غير ملتزم")*1)</f>
        <v>7</v>
      </c>
      <c r="D26" s="193" cm="1">
        <f t="array" ref="D26">SUMPRODUCT((MONTH(البيانات!$P$2:$P$300)=5)*(YEAR(البيانات!$P$2:$P$300)=2026)*(البيانات!$AK$2:$AK$300="⏳ بانتظار")*1)</f>
        <v>7</v>
      </c>
      <c r="E26" s="193">
        <f>IF((B26+C26)=0,0,ROUND(B26/(B26+C26)*100,1))</f>
        <v>75</v>
      </c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</row>
    <row r="27" spans="1:18">
      <c r="A27" s="164" t="s">
        <v>2557</v>
      </c>
      <c r="B27" s="193" cm="1">
        <f t="array" ref="B27">SUMPRODUCT((MONTH(البيانات!$P$2:$P$300)=6)*(YEAR(البيانات!$P$2:$P$300)=2026)*(البيانات!$AK$2:$AK$300="✅ ملتزم")*1)</f>
        <v>0</v>
      </c>
      <c r="C27" s="193" cm="1">
        <f t="array" ref="C27">SUMPRODUCT((MONTH(البيانات!$P$2:$P$300)=6)*(YEAR(البيانات!$P$2:$P$300)=2026)*(البيانات!$AK$2:$AK$300="❌ غير ملتزم")*1)</f>
        <v>0</v>
      </c>
      <c r="D27" s="193" cm="1">
        <f t="array" ref="D27">SUMPRODUCT((MONTH(البيانات!$P$2:$P$300)=6)*(YEAR(البيانات!$P$2:$P$300)=2026)*(البيانات!$AK$2:$AK$300="⏳ بانتظار")*1)</f>
        <v>0</v>
      </c>
      <c r="E27" s="193">
        <f>IF((B27+C27)=0,0,ROUND(B27/(B27+C27)*100,1))</f>
        <v>0</v>
      </c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</row>
    <row r="28" spans="1:18">
      <c r="A28" s="164" t="s">
        <v>2559</v>
      </c>
      <c r="B28" s="193" cm="1">
        <f t="array" ref="B28">SUMPRODUCT((MONTH(البيانات!$P$2:$P$300)=7)*(YEAR(البيانات!$P$2:$P$300)=2026)*(البيانات!$AK$2:$AK$300="✅ ملتزم")*1)</f>
        <v>0</v>
      </c>
      <c r="C28" s="193" cm="1">
        <f t="array" ref="C28">SUMPRODUCT((MONTH(البيانات!$P$2:$P$300)=7)*(YEAR(البيانات!$P$2:$P$300)=2026)*(البيانات!$AK$2:$AK$300="❌ غير ملتزم")*1)</f>
        <v>0</v>
      </c>
      <c r="D28" s="193" cm="1">
        <f t="array" ref="D28">SUMPRODUCT((MONTH(البيانات!$P$2:$P$300)=7)*(YEAR(البيانات!$P$2:$P$300)=2026)*(البيانات!$AK$2:$AK$300="⏳ بانتظار")*1)</f>
        <v>0</v>
      </c>
      <c r="E28" s="193">
        <f>IF((B28+C28)=0,0,ROUND(B28/(B28+C28)*100,1))</f>
        <v>0</v>
      </c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</row>
    <row r="29" spans="1:18">
      <c r="A29" s="164" t="s">
        <v>2561</v>
      </c>
      <c r="B29" s="193" cm="1">
        <f t="array" ref="B29">SUMPRODUCT((MONTH(البيانات!$P$2:$P$300)=8)*(YEAR(البيانات!$P$2:$P$300)=2026)*(البيانات!$AK$2:$AK$300="✅ ملتزم")*1)</f>
        <v>0</v>
      </c>
      <c r="C29" s="193" cm="1">
        <f t="array" ref="C29">SUMPRODUCT((MONTH(البيانات!$P$2:$P$300)=8)*(YEAR(البيانات!$P$2:$P$300)=2026)*(البيانات!$AK$2:$AK$300="❌ غير ملتزم")*1)</f>
        <v>0</v>
      </c>
      <c r="D29" s="193" cm="1">
        <f t="array" ref="D29">SUMPRODUCT((MONTH(البيانات!$P$2:$P$300)=8)*(YEAR(البيانات!$P$2:$P$300)=2026)*(البيانات!$AK$2:$AK$300="⏳ بانتظار")*1)</f>
        <v>0</v>
      </c>
      <c r="E29" s="193">
        <f>IF((B29+C29)=0,0,ROUND(B29/(B29+C29)*100,1))</f>
        <v>0</v>
      </c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</row>
    <row r="30" spans="1:18">
      <c r="A30" s="164" t="s">
        <v>2563</v>
      </c>
      <c r="B30" s="193" cm="1">
        <f t="array" ref="B30">SUMPRODUCT((MONTH(البيانات!$P$2:$P$300)=9)*(YEAR(البيانات!$P$2:$P$300)=2026)*(البيانات!$AK$2:$AK$300="✅ ملتزم")*1)</f>
        <v>0</v>
      </c>
      <c r="C30" s="193" cm="1">
        <f t="array" ref="C30">SUMPRODUCT((MONTH(البيانات!$P$2:$P$300)=9)*(YEAR(البيانات!$P$2:$P$300)=2026)*(البيانات!$AK$2:$AK$300="❌ غير ملتزم")*1)</f>
        <v>0</v>
      </c>
      <c r="D30" s="193" cm="1">
        <f t="array" ref="D30">SUMPRODUCT((MONTH(البيانات!$P$2:$P$300)=9)*(YEAR(البيانات!$P$2:$P$300)=2026)*(البيانات!$AK$2:$AK$300="⏳ بانتظار")*1)</f>
        <v>0</v>
      </c>
      <c r="E30" s="193">
        <f>IF((B30+C30)=0,0,ROUND(B30/(B30+C30)*100,1))</f>
        <v>0</v>
      </c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</row>
    <row r="31" spans="1:18">
      <c r="A31" s="164" t="s">
        <v>2565</v>
      </c>
      <c r="B31" s="193" cm="1">
        <f t="array" ref="B31">SUMPRODUCT((MONTH(البيانات!$P$2:$P$300)=10)*(YEAR(البيانات!$P$2:$P$300)=2026)*(البيانات!$AK$2:$AK$300="✅ ملتزم")*1)</f>
        <v>0</v>
      </c>
      <c r="C31" s="193" cm="1">
        <f t="array" ref="C31">SUMPRODUCT((MONTH(البيانات!$P$2:$P$300)=10)*(YEAR(البيانات!$P$2:$P$300)=2026)*(البيانات!$AK$2:$AK$300="❌ غير ملتزم")*1)</f>
        <v>0</v>
      </c>
      <c r="D31" s="193" cm="1">
        <f t="array" ref="D31">SUMPRODUCT((MONTH(البيانات!$P$2:$P$300)=10)*(YEAR(البيانات!$P$2:$P$300)=2026)*(البيانات!$AK$2:$AK$300="⏳ بانتظار")*1)</f>
        <v>0</v>
      </c>
      <c r="E31" s="193">
        <f>IF((B31+C31)=0,0,ROUND(B31/(B31+C31)*100,1))</f>
        <v>0</v>
      </c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</row>
    <row r="32" spans="1:18">
      <c r="A32" s="164" t="s">
        <v>2566</v>
      </c>
      <c r="B32" s="193" cm="1">
        <f t="array" ref="B32">SUMPRODUCT((MONTH(البيانات!$P$2:$P$300)=11)*(YEAR(البيانات!$P$2:$P$300)=2026)*(البيانات!$AK$2:$AK$300="✅ ملتزم")*1)</f>
        <v>0</v>
      </c>
      <c r="C32" s="193" cm="1">
        <f t="array" ref="C32">SUMPRODUCT((MONTH(البيانات!$P$2:$P$300)=11)*(YEAR(البيانات!$P$2:$P$300)=2026)*(البيانات!$AK$2:$AK$300="❌ غير ملتزم")*1)</f>
        <v>0</v>
      </c>
      <c r="D32" s="193" cm="1">
        <f t="array" ref="D32">SUMPRODUCT((MONTH(البيانات!$P$2:$P$300)=11)*(YEAR(البيانات!$P$2:$P$300)=2026)*(البيانات!$AK$2:$AK$300="⏳ بانتظار")*1)</f>
        <v>0</v>
      </c>
      <c r="E32" s="193">
        <f>IF((B32+C32)=0,0,ROUND(B32/(B32+C32)*100,1))</f>
        <v>0</v>
      </c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</row>
    <row r="33" spans="1:16">
      <c r="A33" s="164" t="s">
        <v>2567</v>
      </c>
      <c r="B33" s="193" cm="1">
        <f t="array" ref="B33">SUMPRODUCT((MONTH(البيانات!$P$2:$P$300)=12)*(YEAR(البيانات!$P$2:$P$300)=2026)*(البيانات!$AK$2:$AK$300="✅ ملتزم")*1)</f>
        <v>0</v>
      </c>
      <c r="C33" s="193" cm="1">
        <f t="array" ref="C33">SUMPRODUCT((MONTH(البيانات!$P$2:$P$300)=12)*(YEAR(البيانات!$P$2:$P$300)=2026)*(البيانات!$AK$2:$AK$300="❌ غير ملتزم")*1)</f>
        <v>0</v>
      </c>
      <c r="D33" s="193" cm="1">
        <f t="array" ref="D33">SUMPRODUCT((MONTH(البيانات!$P$2:$P$300)=12)*(YEAR(البيانات!$P$2:$P$300)=2026)*(البيانات!$AK$2:$AK$300="⏳ بانتظار")*1)</f>
        <v>0</v>
      </c>
      <c r="E33" s="193">
        <f>IF((B33+C33)=0,0,ROUND(B33/(B33+C33)*100,1))</f>
        <v>0</v>
      </c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</row>
    <row r="34" spans="1:16">
      <c r="A34" s="163" t="s">
        <v>2568</v>
      </c>
      <c r="B34" s="197">
        <f>SUM(B22:B33)</f>
        <v>117</v>
      </c>
      <c r="C34" s="197">
        <f>SUM(C22:C33)</f>
        <v>132</v>
      </c>
      <c r="D34" s="197">
        <f>SUM(D22:D33)</f>
        <v>15</v>
      </c>
      <c r="E34" s="197">
        <f>IF((B34+C34)=0,0,ROUND(B34/(B34+C34)*100,1))</f>
        <v>47</v>
      </c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</row>
    <row r="35" spans="1:16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359" t="s">
        <v>2571</v>
      </c>
      <c r="O35" s="315"/>
      <c r="P35" s="315"/>
    </row>
    <row r="36" spans="1:16" ht="17.25">
      <c r="A36" s="363" t="s">
        <v>2572</v>
      </c>
      <c r="B36" s="315"/>
      <c r="C36" s="315"/>
      <c r="D36" s="315"/>
      <c r="E36" s="315"/>
      <c r="F36" s="167"/>
      <c r="G36" s="167"/>
      <c r="H36" s="167"/>
      <c r="I36" s="167"/>
      <c r="J36" s="167"/>
      <c r="K36" s="167"/>
      <c r="L36" s="167"/>
      <c r="M36" s="167"/>
      <c r="N36" s="200" t="s">
        <v>313</v>
      </c>
      <c r="O36" s="200" t="s">
        <v>288</v>
      </c>
      <c r="P36" s="167"/>
    </row>
    <row r="37" spans="1:16">
      <c r="A37" s="199" t="s">
        <v>2539</v>
      </c>
      <c r="B37" s="199" t="s">
        <v>2573</v>
      </c>
      <c r="C37" s="199" t="s">
        <v>2574</v>
      </c>
      <c r="D37" s="199" t="s">
        <v>225</v>
      </c>
      <c r="E37" s="199" t="s">
        <v>2575</v>
      </c>
      <c r="F37" s="167"/>
      <c r="G37" s="167"/>
      <c r="H37" s="167"/>
      <c r="I37" s="167"/>
      <c r="J37" s="167"/>
      <c r="K37" s="167"/>
      <c r="L37" s="167"/>
      <c r="M37" s="167"/>
      <c r="N37" s="164" t="s">
        <v>298</v>
      </c>
      <c r="O37" s="164">
        <f>G18-F18</f>
        <v>-27</v>
      </c>
      <c r="P37" s="167"/>
    </row>
    <row r="38" spans="1:16">
      <c r="A38" s="164" t="s">
        <v>2545</v>
      </c>
      <c r="B38" s="193" cm="1">
        <f t="array" ref="B38">SUMPRODUCT((MONTH(البيانات!$P$2:$P$300)=1)*(YEAR(البيانات!$P$2:$P$300)=2026)*(ISNUMBER(SEARCH("حضر",البيانات!$AJ$2:$AJ$300))+ISNUMBER(SEARCH("حظور",البيانات!$AJ$2:$AJ$300))&gt;0)*1)</f>
        <v>0</v>
      </c>
      <c r="C38" s="193" cm="1">
        <f t="array" ref="C38">SUMPRODUCT((MONTH(البيانات!$P$2:$P$300)=1)*(YEAR(البيانات!$P$2:$P$300)=2026)*(ISNUMBER(SEARCH("لم تحض",البيانات!$AJ$2:$AJ$300))+ISNUMBER(SEARCH("لم تحظ",البيانات!$AJ$2:$AJ$300))&gt;0)*1)</f>
        <v>2</v>
      </c>
      <c r="D38" s="193" cm="1">
        <f t="array" ref="D38">SUMPRODUCT((MONTH(البيانات!$P$2:$P$300)=1)*(YEAR(البيانات!$P$2:$P$300)=2026)*1)-B38-C38</f>
        <v>0</v>
      </c>
      <c r="E38" s="193">
        <f>IF((B38+C38)=0,0,ROUND(B38/(B38+C38)*100,1))</f>
        <v>0</v>
      </c>
      <c r="F38" s="167"/>
      <c r="G38" s="167"/>
      <c r="H38" s="167"/>
      <c r="I38" s="167"/>
      <c r="J38" s="167"/>
      <c r="K38" s="167"/>
      <c r="L38" s="167"/>
      <c r="M38" s="167"/>
      <c r="N38" s="164" t="s">
        <v>297</v>
      </c>
      <c r="O38" s="164">
        <f>F18</f>
        <v>27</v>
      </c>
      <c r="P38" s="167"/>
    </row>
    <row r="39" spans="1:16">
      <c r="A39" s="164" t="s">
        <v>2551</v>
      </c>
      <c r="B39" s="193" cm="1">
        <f t="array" ref="B39">SUMPRODUCT((MONTH(البيانات!$P$2:$P$300)=2)*(YEAR(البيانات!$P$2:$P$300)=2026)*(ISNUMBER(SEARCH("حضر",البيانات!$AJ$2:$AJ$300))+ISNUMBER(SEARCH("حظور",البيانات!$AJ$2:$AJ$300))&gt;0)*1)</f>
        <v>5</v>
      </c>
      <c r="C39" s="193" cm="1">
        <f t="array" ref="C39">SUMPRODUCT((MONTH(البيانات!$P$2:$P$300)=2)*(YEAR(البيانات!$P$2:$P$300)=2026)*(ISNUMBER(SEARCH("لم تحض",البيانات!$AJ$2:$AJ$300))+ISNUMBER(SEARCH("لم تحظ",البيانات!$AJ$2:$AJ$300))&gt;0)*1)</f>
        <v>0</v>
      </c>
      <c r="D39" s="193" cm="1">
        <f t="array" ref="D39">SUMPRODUCT((MONTH(البيانات!$P$2:$P$300)=2)*(YEAR(البيانات!$P$2:$P$300)=2026)*1)-B39-C39</f>
        <v>0</v>
      </c>
      <c r="E39" s="193">
        <f>IF((B39+C39)=0,0,ROUND(B39/(B39+C39)*100,1))</f>
        <v>100</v>
      </c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</row>
    <row r="40" spans="1:16">
      <c r="A40" s="164" t="s">
        <v>2552</v>
      </c>
      <c r="B40" s="193" cm="1">
        <f t="array" ref="B40">SUMPRODUCT((MONTH(البيانات!$P$2:$P$300)=3)*(YEAR(البيانات!$P$2:$P$300)=2026)*(ISNUMBER(SEARCH("حضر",البيانات!$AJ$2:$AJ$300))+ISNUMBER(SEARCH("حظور",البيانات!$AJ$2:$AJ$300))&gt;0)*1)</f>
        <v>49</v>
      </c>
      <c r="C40" s="193" cm="1">
        <f t="array" ref="C40">SUMPRODUCT((MONTH(البيانات!$P$2:$P$300)=3)*(YEAR(البيانات!$P$2:$P$300)=2026)*(ISNUMBER(SEARCH("لم تحض",البيانات!$AJ$2:$AJ$300))+ISNUMBER(SEARCH("لم تحظ",البيانات!$AJ$2:$AJ$300))&gt;0)*1)</f>
        <v>12</v>
      </c>
      <c r="D40" s="193" cm="1">
        <f t="array" ref="D40">SUMPRODUCT((MONTH(البيانات!$P$2:$P$300)=3)*(YEAR(البيانات!$P$2:$P$300)=2026)*1)-B40-C40</f>
        <v>38</v>
      </c>
      <c r="E40" s="193">
        <f>IF((B40+C40)=0,0,ROUND(B40/(B40+C40)*100,1))</f>
        <v>80.3</v>
      </c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</row>
    <row r="41" spans="1:16">
      <c r="A41" s="164" t="s">
        <v>2553</v>
      </c>
      <c r="B41" s="193" cm="1">
        <f t="array" ref="B41">SUMPRODUCT((MONTH(البيانات!$P$2:$P$300)=4)*(YEAR(البيانات!$P$2:$P$300)=2026)*(ISNUMBER(SEARCH("حضر",البيانات!$AJ$2:$AJ$300))+ISNUMBER(SEARCH("حظور",البيانات!$AJ$2:$AJ$300))&gt;0)*1)</f>
        <v>113</v>
      </c>
      <c r="C41" s="193" cm="1">
        <f t="array" ref="C41">SUMPRODUCT((MONTH(البيانات!$P$2:$P$300)=4)*(YEAR(البيانات!$P$2:$P$300)=2026)*(ISNUMBER(SEARCH("لم تحض",البيانات!$AJ$2:$AJ$300))+ISNUMBER(SEARCH("لم تحظ",البيانات!$AJ$2:$AJ$300))&gt;0)*1)</f>
        <v>6</v>
      </c>
      <c r="D41" s="193" cm="1">
        <f t="array" ref="D41">SUMPRODUCT((MONTH(البيانات!$P$2:$P$300)=4)*(YEAR(البيانات!$P$2:$P$300)=2026)*1)-B41-C41</f>
        <v>4</v>
      </c>
      <c r="E41" s="193">
        <f>IF((B41+C41)=0,0,ROUND(B41/(B41+C41)*100,1))</f>
        <v>95</v>
      </c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</row>
    <row r="42" spans="1:16">
      <c r="A42" s="164" t="s">
        <v>2555</v>
      </c>
      <c r="B42" s="193" cm="1">
        <f t="array" ref="B42">SUMPRODUCT((MONTH(البيانات!$P$2:$P$300)=5)*(YEAR(البيانات!$P$2:$P$300)=2026)*(ISNUMBER(SEARCH("حضر",البيانات!$AJ$2:$AJ$300))+ISNUMBER(SEARCH("حظور",البيانات!$AJ$2:$AJ$300))&gt;0)*1)</f>
        <v>13</v>
      </c>
      <c r="C42" s="193" cm="1">
        <f t="array" ref="C42">SUMPRODUCT((MONTH(البيانات!$P$2:$P$300)=5)*(YEAR(البيانات!$P$2:$P$300)=2026)*(ISNUMBER(SEARCH("لم تحض",البيانات!$AJ$2:$AJ$300))+ISNUMBER(SEARCH("لم تحظ",البيانات!$AJ$2:$AJ$300))&gt;0)*1)</f>
        <v>1</v>
      </c>
      <c r="D42" s="193" cm="1">
        <f t="array" ref="D42">SUMPRODUCT((MONTH(البيانات!$P$2:$P$300)=5)*(YEAR(البيانات!$P$2:$P$300)=2026)*1)-B42-C42</f>
        <v>21</v>
      </c>
      <c r="E42" s="193">
        <f>IF((B42+C42)=0,0,ROUND(B42/(B42+C42)*100,1))</f>
        <v>92.9</v>
      </c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</row>
    <row r="43" spans="1:16">
      <c r="A43" s="164" t="s">
        <v>2557</v>
      </c>
      <c r="B43" s="193" cm="1">
        <f t="array" ref="B43">SUMPRODUCT((MONTH(البيانات!$P$2:$P$300)=6)*(YEAR(البيانات!$P$2:$P$300)=2026)*(ISNUMBER(SEARCH("حضر",البيانات!$AJ$2:$AJ$300))+ISNUMBER(SEARCH("حظور",البيانات!$AJ$2:$AJ$300))&gt;0)*1)</f>
        <v>0</v>
      </c>
      <c r="C43" s="193" cm="1">
        <f t="array" ref="C43">SUMPRODUCT((MONTH(البيانات!$P$2:$P$300)=6)*(YEAR(البيانات!$P$2:$P$300)=2026)*(ISNUMBER(SEARCH("لم تحض",البيانات!$AJ$2:$AJ$300))+ISNUMBER(SEARCH("لم تحظ",البيانات!$AJ$2:$AJ$300))&gt;0)*1)</f>
        <v>0</v>
      </c>
      <c r="D43" s="193" cm="1">
        <f t="array" ref="D43">SUMPRODUCT((MONTH(البيانات!$P$2:$P$300)=6)*(YEAR(البيانات!$P$2:$P$300)=2026)*1)-B43-C43</f>
        <v>0</v>
      </c>
      <c r="E43" s="193">
        <f>IF((B43+C43)=0,0,ROUND(B43/(B43+C43)*100,1))</f>
        <v>0</v>
      </c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</row>
    <row r="44" spans="1:16">
      <c r="A44" s="164" t="s">
        <v>2559</v>
      </c>
      <c r="B44" s="193" cm="1">
        <f t="array" ref="B44">SUMPRODUCT((MONTH(البيانات!$P$2:$P$300)=7)*(YEAR(البيانات!$P$2:$P$300)=2026)*(ISNUMBER(SEARCH("حضر",البيانات!$AJ$2:$AJ$300))+ISNUMBER(SEARCH("حظور",البيانات!$AJ$2:$AJ$300))&gt;0)*1)</f>
        <v>0</v>
      </c>
      <c r="C44" s="193" cm="1">
        <f t="array" ref="C44">SUMPRODUCT((MONTH(البيانات!$P$2:$P$300)=7)*(YEAR(البيانات!$P$2:$P$300)=2026)*(ISNUMBER(SEARCH("لم تحض",البيانات!$AJ$2:$AJ$300))+ISNUMBER(SEARCH("لم تحظ",البيانات!$AJ$2:$AJ$300))&gt;0)*1)</f>
        <v>0</v>
      </c>
      <c r="D44" s="193" cm="1">
        <f t="array" ref="D44">SUMPRODUCT((MONTH(البيانات!$P$2:$P$300)=7)*(YEAR(البيانات!$P$2:$P$300)=2026)*1)-B44-C44</f>
        <v>0</v>
      </c>
      <c r="E44" s="193">
        <f>IF((B44+C44)=0,0,ROUND(B44/(B44+C44)*100,1))</f>
        <v>0</v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</row>
    <row r="45" spans="1:16">
      <c r="A45" s="164" t="s">
        <v>2561</v>
      </c>
      <c r="B45" s="193" cm="1">
        <f t="array" ref="B45">SUMPRODUCT((MONTH(البيانات!$P$2:$P$300)=8)*(YEAR(البيانات!$P$2:$P$300)=2026)*(ISNUMBER(SEARCH("حضر",البيانات!$AJ$2:$AJ$300))+ISNUMBER(SEARCH("حظور",البيانات!$AJ$2:$AJ$300))&gt;0)*1)</f>
        <v>0</v>
      </c>
      <c r="C45" s="193" cm="1">
        <f t="array" ref="C45">SUMPRODUCT((MONTH(البيانات!$P$2:$P$300)=8)*(YEAR(البيانات!$P$2:$P$300)=2026)*(ISNUMBER(SEARCH("لم تحض",البيانات!$AJ$2:$AJ$300))+ISNUMBER(SEARCH("لم تحظ",البيانات!$AJ$2:$AJ$300))&gt;0)*1)</f>
        <v>0</v>
      </c>
      <c r="D45" s="193" cm="1">
        <f t="array" ref="D45">SUMPRODUCT((MONTH(البيانات!$P$2:$P$300)=8)*(YEAR(البيانات!$P$2:$P$300)=2026)*1)-B45-C45</f>
        <v>0</v>
      </c>
      <c r="E45" s="193">
        <f>IF((B45+C45)=0,0,ROUND(B45/(B45+C45)*100,1))</f>
        <v>0</v>
      </c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</row>
    <row r="46" spans="1:16">
      <c r="A46" s="164" t="s">
        <v>2563</v>
      </c>
      <c r="B46" s="193" cm="1">
        <f t="array" ref="B46">SUMPRODUCT((MONTH(البيانات!$P$2:$P$300)=9)*(YEAR(البيانات!$P$2:$P$300)=2026)*(ISNUMBER(SEARCH("حضر",البيانات!$AJ$2:$AJ$300))+ISNUMBER(SEARCH("حظور",البيانات!$AJ$2:$AJ$300))&gt;0)*1)</f>
        <v>0</v>
      </c>
      <c r="C46" s="193" cm="1">
        <f t="array" ref="C46">SUMPRODUCT((MONTH(البيانات!$P$2:$P$300)=9)*(YEAR(البيانات!$P$2:$P$300)=2026)*(ISNUMBER(SEARCH("لم تحض",البيانات!$AJ$2:$AJ$300))+ISNUMBER(SEARCH("لم تحظ",البيانات!$AJ$2:$AJ$300))&gt;0)*1)</f>
        <v>0</v>
      </c>
      <c r="D46" s="193" cm="1">
        <f t="array" ref="D46">SUMPRODUCT((MONTH(البيانات!$P$2:$P$300)=9)*(YEAR(البيانات!$P$2:$P$300)=2026)*1)-B46-C46</f>
        <v>0</v>
      </c>
      <c r="E46" s="193">
        <f>IF((B46+C46)=0,0,ROUND(B46/(B46+C46)*100,1))</f>
        <v>0</v>
      </c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</row>
    <row r="47" spans="1:16">
      <c r="A47" s="164" t="s">
        <v>2565</v>
      </c>
      <c r="B47" s="193" cm="1">
        <f t="array" ref="B47">SUMPRODUCT((MONTH(البيانات!$P$2:$P$300)=10)*(YEAR(البيانات!$P$2:$P$300)=2026)*(ISNUMBER(SEARCH("حضر",البيانات!$AJ$2:$AJ$300))+ISNUMBER(SEARCH("حظور",البيانات!$AJ$2:$AJ$300))&gt;0)*1)</f>
        <v>0</v>
      </c>
      <c r="C47" s="193" cm="1">
        <f t="array" ref="C47">SUMPRODUCT((MONTH(البيانات!$P$2:$P$300)=10)*(YEAR(البيانات!$P$2:$P$300)=2026)*(ISNUMBER(SEARCH("لم تحض",البيانات!$AJ$2:$AJ$300))+ISNUMBER(SEARCH("لم تحظ",البيانات!$AJ$2:$AJ$300))&gt;0)*1)</f>
        <v>0</v>
      </c>
      <c r="D47" s="193" cm="1">
        <f t="array" ref="D47">SUMPRODUCT((MONTH(البيانات!$P$2:$P$300)=10)*(YEAR(البيانات!$P$2:$P$300)=2026)*1)-B47-C47</f>
        <v>0</v>
      </c>
      <c r="E47" s="193">
        <f>IF((B47+C47)=0,0,ROUND(B47/(B47+C47)*100,1))</f>
        <v>0</v>
      </c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</row>
    <row r="48" spans="1:16">
      <c r="A48" s="164" t="s">
        <v>2566</v>
      </c>
      <c r="B48" s="193" cm="1">
        <f t="array" ref="B48">SUMPRODUCT((MONTH(البيانات!$P$2:$P$300)=11)*(YEAR(البيانات!$P$2:$P$300)=2026)*(ISNUMBER(SEARCH("حضر",البيانات!$AJ$2:$AJ$300))+ISNUMBER(SEARCH("حظور",البيانات!$AJ$2:$AJ$300))&gt;0)*1)</f>
        <v>0</v>
      </c>
      <c r="C48" s="193" cm="1">
        <f t="array" ref="C48">SUMPRODUCT((MONTH(البيانات!$P$2:$P$300)=11)*(YEAR(البيانات!$P$2:$P$300)=2026)*(ISNUMBER(SEARCH("لم تحض",البيانات!$AJ$2:$AJ$300))+ISNUMBER(SEARCH("لم تحظ",البيانات!$AJ$2:$AJ$300))&gt;0)*1)</f>
        <v>0</v>
      </c>
      <c r="D48" s="193" cm="1">
        <f t="array" ref="D48">SUMPRODUCT((MONTH(البيانات!$P$2:$P$300)=11)*(YEAR(البيانات!$P$2:$P$300)=2026)*1)-B48-C48</f>
        <v>0</v>
      </c>
      <c r="E48" s="193">
        <f>IF((B48+C48)=0,0,ROUND(B48/(B48+C48)*100,1))</f>
        <v>0</v>
      </c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</row>
    <row r="49" spans="1:7">
      <c r="A49" s="164" t="s">
        <v>2567</v>
      </c>
      <c r="B49" s="193" cm="1">
        <f t="array" ref="B49">SUMPRODUCT((MONTH(البيانات!$P$2:$P$300)=12)*(YEAR(البيانات!$P$2:$P$300)=2026)*(ISNUMBER(SEARCH("حضر",البيانات!$AJ$2:$AJ$300))+ISNUMBER(SEARCH("حظور",البيانات!$AJ$2:$AJ$300))&gt;0)*1)</f>
        <v>0</v>
      </c>
      <c r="C49" s="193" cm="1">
        <f t="array" ref="C49">SUMPRODUCT((MONTH(البيانات!$P$2:$P$300)=12)*(YEAR(البيانات!$P$2:$P$300)=2026)*(ISNUMBER(SEARCH("لم تحض",البيانات!$AJ$2:$AJ$300))+ISNUMBER(SEARCH("لم تحظ",البيانات!$AJ$2:$AJ$300))&gt;0)*1)</f>
        <v>0</v>
      </c>
      <c r="D49" s="193" cm="1">
        <f t="array" ref="D49">SUMPRODUCT((MONTH(البيانات!$P$2:$P$300)=12)*(YEAR(البيانات!$P$2:$P$300)=2026)*1)-B49-C49</f>
        <v>0</v>
      </c>
      <c r="E49" s="193">
        <f>IF((B49+C49)=0,0,ROUND(B49/(B49+C49)*100,1))</f>
        <v>0</v>
      </c>
      <c r="F49" s="167"/>
      <c r="G49" s="167"/>
    </row>
    <row r="50" spans="1:7">
      <c r="A50" s="200" t="s">
        <v>2568</v>
      </c>
      <c r="B50" s="201">
        <f>SUM(B38:B49)</f>
        <v>180</v>
      </c>
      <c r="C50" s="201">
        <f>SUM(C38:C49)</f>
        <v>21</v>
      </c>
      <c r="D50" s="201">
        <f>SUM(D38:D49)</f>
        <v>63</v>
      </c>
      <c r="E50" s="201">
        <f>IF((B50+C50)=0,0,ROUND(B50/(B50+C50)*100,1))</f>
        <v>89.6</v>
      </c>
      <c r="F50" s="167"/>
      <c r="G50" s="167"/>
    </row>
    <row r="51" spans="1:7">
      <c r="A51" s="167"/>
      <c r="B51" s="167"/>
      <c r="C51" s="167"/>
      <c r="D51" s="167"/>
      <c r="E51" s="167"/>
      <c r="F51" s="167"/>
      <c r="G51" s="167"/>
    </row>
    <row r="52" spans="1:7" ht="18">
      <c r="A52" s="360" t="s">
        <v>2576</v>
      </c>
      <c r="B52" s="315"/>
      <c r="C52" s="315"/>
      <c r="D52" s="315"/>
      <c r="E52" s="315"/>
      <c r="F52" s="315"/>
      <c r="G52" s="167"/>
    </row>
    <row r="53" spans="1:7">
      <c r="A53" s="192" t="s">
        <v>200</v>
      </c>
      <c r="B53" s="192" t="s">
        <v>201</v>
      </c>
      <c r="C53" s="192" t="s">
        <v>2577</v>
      </c>
      <c r="D53" s="192" t="s">
        <v>2578</v>
      </c>
      <c r="E53" s="192" t="s">
        <v>2579</v>
      </c>
      <c r="F53" s="192" t="s">
        <v>313</v>
      </c>
      <c r="G53" s="167"/>
    </row>
    <row r="54" spans="1:7">
      <c r="A54" s="211" t="s">
        <v>2580</v>
      </c>
      <c r="B54" s="212">
        <v>90</v>
      </c>
      <c r="C54" s="212">
        <f>D18</f>
        <v>98.5</v>
      </c>
      <c r="D54" s="212">
        <f>C54-B54</f>
        <v>8.5</v>
      </c>
      <c r="E54" s="212">
        <f>ROUND(C54/B54*100,1)</f>
        <v>109.4</v>
      </c>
      <c r="F54" s="212" t="str">
        <f>IF(C54&gt;=B54,"✅ تم التحقيق",IF(C54&gt;=B54*0.8,"🟡 قريب","❌ يحتاج متابعة"))</f>
        <v>✅ تم التحقيق</v>
      </c>
      <c r="G54" s="167"/>
    </row>
    <row r="55" spans="1:7">
      <c r="A55" s="165" t="s">
        <v>2581</v>
      </c>
      <c r="B55" s="213">
        <v>80</v>
      </c>
      <c r="C55" s="213">
        <f>E34</f>
        <v>47</v>
      </c>
      <c r="D55" s="213">
        <f>C55-B55</f>
        <v>-33</v>
      </c>
      <c r="E55" s="213">
        <f>ROUND(C55/B55*100,1)</f>
        <v>58.8</v>
      </c>
      <c r="F55" s="213" t="str">
        <f>IF(C55&gt;=B55,"✅ تم التحقيق",IF(C55&gt;=B55*0.8,"🟡 قريب","❌ يحتاج متابعة"))</f>
        <v>❌ يحتاج متابعة</v>
      </c>
      <c r="G55" s="167"/>
    </row>
    <row r="56" spans="1:7">
      <c r="A56" s="214" t="s">
        <v>2582</v>
      </c>
      <c r="B56" s="215">
        <v>85</v>
      </c>
      <c r="C56" s="215">
        <f>E50</f>
        <v>89.6</v>
      </c>
      <c r="D56" s="215">
        <f>C56-B56</f>
        <v>4.5999999999999943</v>
      </c>
      <c r="E56" s="215">
        <f>ROUND(C56/B56*100,1)</f>
        <v>105.4</v>
      </c>
      <c r="F56" s="215" t="str">
        <f>IF(C56&gt;=B56,"✅ تم التحقيق",IF(C56&gt;=B56*0.8,"🟡 قريب","❌ يحتاج متابعة"))</f>
        <v>✅ تم التحقيق</v>
      </c>
      <c r="G56" s="167"/>
    </row>
    <row r="57" spans="1:7">
      <c r="A57" s="216" t="s">
        <v>2583</v>
      </c>
      <c r="B57" s="217">
        <v>95</v>
      </c>
      <c r="C57" s="217">
        <f>IF(E18=0,0,ROUND((E18-F18)/E18*100,1))</f>
        <v>40</v>
      </c>
      <c r="D57" s="217">
        <f>C57-B57</f>
        <v>-55</v>
      </c>
      <c r="E57" s="217">
        <f>ROUND(C57/B57*100,1)</f>
        <v>42.1</v>
      </c>
      <c r="F57" s="217" t="str">
        <f>IF(C57&gt;=B57,"✅ تم التحقيق",IF(C57&gt;=B57*0.8,"🟡 قريب","❌ يحتاج متابعة"))</f>
        <v>❌ يحتاج متابعة</v>
      </c>
      <c r="G57" s="167"/>
    </row>
    <row r="58" spans="1:7">
      <c r="A58" s="167"/>
      <c r="B58" s="167"/>
      <c r="C58" s="167"/>
      <c r="D58" s="167"/>
      <c r="E58" s="167"/>
      <c r="F58" s="167"/>
      <c r="G58" s="167"/>
    </row>
  </sheetData>
  <sheetProtection sheet="1" objects="1" scenarios="1"/>
  <mergeCells count="8">
    <mergeCell ref="N4:Q4"/>
    <mergeCell ref="N35:P35"/>
    <mergeCell ref="A52:F52"/>
    <mergeCell ref="A1:L1"/>
    <mergeCell ref="A4:F4"/>
    <mergeCell ref="A20:E20"/>
    <mergeCell ref="A36:E36"/>
    <mergeCell ref="H4:L4"/>
  </mergeCells>
  <pageMargins left="0.25" right="0.25" top="0.75" bottom="0.75" header="0.3" footer="0.3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939426-D31F-43A9-A5A5-28A011EBB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2026-05-08T21:53:37Z</dcterms:created>
  <dcterms:modified xsi:type="dcterms:W3CDTF">2026-05-16T13:09:01Z</dcterms:modified>
  <cp:category/>
  <cp:contentStatus/>
</cp:coreProperties>
</file>